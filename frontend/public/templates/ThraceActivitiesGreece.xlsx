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EUFMD\New Programme\EuFMD-Nexus\frontend\public\templates\"/>
    </mc:Choice>
  </mc:AlternateContent>
  <xr:revisionPtr revIDLastSave="0" documentId="13_ncr:1_{7CFA5736-595D-483A-A36C-04399595798A}" xr6:coauthVersionLast="47" xr6:coauthVersionMax="47" xr10:uidLastSave="{00000000-0000-0000-0000-000000000000}"/>
  <bookViews>
    <workbookView xWindow="2730" yWindow="2730" windowWidth="21600" windowHeight="11325" xr2:uid="{00000000-000D-0000-FFFF-FFFF00000000}"/>
  </bookViews>
  <sheets>
    <sheet name="Data" sheetId="1" r:id="rId1"/>
    <sheet name="epiunits" sheetId="2" r:id="rId2"/>
    <sheet name="Inspec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0" i="1" l="1"/>
  <c r="L400" i="1"/>
  <c r="K400" i="1"/>
  <c r="J400" i="1"/>
  <c r="I400" i="1"/>
  <c r="C400" i="1"/>
  <c r="B400" i="1"/>
  <c r="A400" i="1"/>
  <c r="M399" i="1"/>
  <c r="L399" i="1"/>
  <c r="K399" i="1"/>
  <c r="J399" i="1"/>
  <c r="I399" i="1"/>
  <c r="C399" i="1"/>
  <c r="B399" i="1"/>
  <c r="A399" i="1"/>
  <c r="M398" i="1"/>
  <c r="L398" i="1"/>
  <c r="K398" i="1"/>
  <c r="J398" i="1"/>
  <c r="I398" i="1"/>
  <c r="C398" i="1"/>
  <c r="B398" i="1"/>
  <c r="A398" i="1"/>
  <c r="M397" i="1"/>
  <c r="L397" i="1"/>
  <c r="K397" i="1"/>
  <c r="J397" i="1"/>
  <c r="I397" i="1"/>
  <c r="C397" i="1"/>
  <c r="B397" i="1"/>
  <c r="A397" i="1"/>
  <c r="M396" i="1"/>
  <c r="L396" i="1"/>
  <c r="K396" i="1"/>
  <c r="J396" i="1"/>
  <c r="I396" i="1"/>
  <c r="C396" i="1"/>
  <c r="B396" i="1"/>
  <c r="A396" i="1"/>
  <c r="M395" i="1"/>
  <c r="L395" i="1"/>
  <c r="K395" i="1"/>
  <c r="J395" i="1"/>
  <c r="I395" i="1"/>
  <c r="C395" i="1"/>
  <c r="B395" i="1"/>
  <c r="A395" i="1"/>
  <c r="M394" i="1"/>
  <c r="L394" i="1"/>
  <c r="K394" i="1"/>
  <c r="J394" i="1"/>
  <c r="I394" i="1"/>
  <c r="C394" i="1"/>
  <c r="B394" i="1"/>
  <c r="A394" i="1"/>
  <c r="M393" i="1"/>
  <c r="L393" i="1"/>
  <c r="K393" i="1"/>
  <c r="J393" i="1"/>
  <c r="I393" i="1"/>
  <c r="C393" i="1"/>
  <c r="B393" i="1"/>
  <c r="A393" i="1"/>
  <c r="M392" i="1"/>
  <c r="L392" i="1"/>
  <c r="K392" i="1"/>
  <c r="J392" i="1"/>
  <c r="I392" i="1"/>
  <c r="C392" i="1"/>
  <c r="B392" i="1"/>
  <c r="A392" i="1"/>
  <c r="M391" i="1"/>
  <c r="L391" i="1"/>
  <c r="K391" i="1"/>
  <c r="J391" i="1"/>
  <c r="I391" i="1"/>
  <c r="C391" i="1"/>
  <c r="B391" i="1"/>
  <c r="A391" i="1"/>
  <c r="M390" i="1"/>
  <c r="L390" i="1"/>
  <c r="K390" i="1"/>
  <c r="J390" i="1"/>
  <c r="I390" i="1"/>
  <c r="C390" i="1"/>
  <c r="B390" i="1"/>
  <c r="A390" i="1"/>
  <c r="M389" i="1"/>
  <c r="L389" i="1"/>
  <c r="K389" i="1"/>
  <c r="J389" i="1"/>
  <c r="I389" i="1"/>
  <c r="C389" i="1"/>
  <c r="B389" i="1"/>
  <c r="A389" i="1"/>
  <c r="M388" i="1"/>
  <c r="L388" i="1"/>
  <c r="K388" i="1"/>
  <c r="J388" i="1"/>
  <c r="I388" i="1"/>
  <c r="C388" i="1"/>
  <c r="B388" i="1"/>
  <c r="A388" i="1"/>
  <c r="M387" i="1"/>
  <c r="L387" i="1"/>
  <c r="K387" i="1"/>
  <c r="J387" i="1"/>
  <c r="I387" i="1"/>
  <c r="C387" i="1"/>
  <c r="B387" i="1"/>
  <c r="A387" i="1"/>
  <c r="M386" i="1"/>
  <c r="L386" i="1"/>
  <c r="K386" i="1"/>
  <c r="J386" i="1"/>
  <c r="I386" i="1"/>
  <c r="C386" i="1"/>
  <c r="B386" i="1"/>
  <c r="A386" i="1"/>
  <c r="M385" i="1"/>
  <c r="L385" i="1"/>
  <c r="K385" i="1"/>
  <c r="J385" i="1"/>
  <c r="I385" i="1"/>
  <c r="C385" i="1"/>
  <c r="B385" i="1"/>
  <c r="A385" i="1"/>
  <c r="M384" i="1"/>
  <c r="L384" i="1"/>
  <c r="K384" i="1"/>
  <c r="J384" i="1"/>
  <c r="I384" i="1"/>
  <c r="C384" i="1"/>
  <c r="B384" i="1"/>
  <c r="A384" i="1"/>
  <c r="M383" i="1"/>
  <c r="L383" i="1"/>
  <c r="K383" i="1"/>
  <c r="J383" i="1"/>
  <c r="I383" i="1"/>
  <c r="C383" i="1"/>
  <c r="B383" i="1"/>
  <c r="A383" i="1"/>
  <c r="M382" i="1"/>
  <c r="L382" i="1"/>
  <c r="K382" i="1"/>
  <c r="J382" i="1"/>
  <c r="I382" i="1"/>
  <c r="C382" i="1"/>
  <c r="B382" i="1"/>
  <c r="A382" i="1"/>
  <c r="M381" i="1"/>
  <c r="L381" i="1"/>
  <c r="K381" i="1"/>
  <c r="J381" i="1"/>
  <c r="I381" i="1"/>
  <c r="C381" i="1"/>
  <c r="B381" i="1"/>
  <c r="A381" i="1"/>
  <c r="M380" i="1"/>
  <c r="L380" i="1"/>
  <c r="K380" i="1"/>
  <c r="J380" i="1"/>
  <c r="I380" i="1"/>
  <c r="C380" i="1"/>
  <c r="B380" i="1"/>
  <c r="A380" i="1"/>
  <c r="M379" i="1"/>
  <c r="L379" i="1"/>
  <c r="K379" i="1"/>
  <c r="J379" i="1"/>
  <c r="I379" i="1"/>
  <c r="C379" i="1"/>
  <c r="B379" i="1"/>
  <c r="A379" i="1"/>
  <c r="M378" i="1"/>
  <c r="L378" i="1"/>
  <c r="K378" i="1"/>
  <c r="J378" i="1"/>
  <c r="I378" i="1"/>
  <c r="C378" i="1"/>
  <c r="B378" i="1"/>
  <c r="A378" i="1"/>
  <c r="M377" i="1"/>
  <c r="L377" i="1"/>
  <c r="K377" i="1"/>
  <c r="J377" i="1"/>
  <c r="I377" i="1"/>
  <c r="C377" i="1"/>
  <c r="B377" i="1"/>
  <c r="A377" i="1"/>
  <c r="M376" i="1"/>
  <c r="L376" i="1"/>
  <c r="K376" i="1"/>
  <c r="J376" i="1"/>
  <c r="I376" i="1"/>
  <c r="C376" i="1"/>
  <c r="B376" i="1"/>
  <c r="A376" i="1"/>
  <c r="M375" i="1"/>
  <c r="L375" i="1"/>
  <c r="K375" i="1"/>
  <c r="J375" i="1"/>
  <c r="I375" i="1"/>
  <c r="C375" i="1"/>
  <c r="B375" i="1"/>
  <c r="A375" i="1"/>
  <c r="M374" i="1"/>
  <c r="L374" i="1"/>
  <c r="K374" i="1"/>
  <c r="J374" i="1"/>
  <c r="I374" i="1"/>
  <c r="C374" i="1"/>
  <c r="B374" i="1"/>
  <c r="A374" i="1"/>
  <c r="M373" i="1"/>
  <c r="L373" i="1"/>
  <c r="K373" i="1"/>
  <c r="J373" i="1"/>
  <c r="I373" i="1"/>
  <c r="C373" i="1"/>
  <c r="B373" i="1"/>
  <c r="A373" i="1"/>
  <c r="M372" i="1"/>
  <c r="L372" i="1"/>
  <c r="K372" i="1"/>
  <c r="J372" i="1"/>
  <c r="I372" i="1"/>
  <c r="C372" i="1"/>
  <c r="B372" i="1"/>
  <c r="A372" i="1"/>
  <c r="M371" i="1"/>
  <c r="L371" i="1"/>
  <c r="K371" i="1"/>
  <c r="J371" i="1"/>
  <c r="I371" i="1"/>
  <c r="C371" i="1"/>
  <c r="B371" i="1"/>
  <c r="A371" i="1"/>
  <c r="M370" i="1"/>
  <c r="L370" i="1"/>
  <c r="K370" i="1"/>
  <c r="J370" i="1"/>
  <c r="I370" i="1"/>
  <c r="C370" i="1"/>
  <c r="B370" i="1"/>
  <c r="A370" i="1"/>
  <c r="M369" i="1"/>
  <c r="L369" i="1"/>
  <c r="K369" i="1"/>
  <c r="J369" i="1"/>
  <c r="I369" i="1"/>
  <c r="C369" i="1"/>
  <c r="B369" i="1"/>
  <c r="A369" i="1"/>
  <c r="M368" i="1"/>
  <c r="L368" i="1"/>
  <c r="K368" i="1"/>
  <c r="J368" i="1"/>
  <c r="I368" i="1"/>
  <c r="C368" i="1"/>
  <c r="B368" i="1"/>
  <c r="A368" i="1"/>
  <c r="M367" i="1"/>
  <c r="L367" i="1"/>
  <c r="K367" i="1"/>
  <c r="J367" i="1"/>
  <c r="I367" i="1"/>
  <c r="C367" i="1"/>
  <c r="B367" i="1"/>
  <c r="A367" i="1"/>
  <c r="M366" i="1"/>
  <c r="L366" i="1"/>
  <c r="K366" i="1"/>
  <c r="J366" i="1"/>
  <c r="I366" i="1"/>
  <c r="C366" i="1"/>
  <c r="B366" i="1"/>
  <c r="A366" i="1"/>
  <c r="M365" i="1"/>
  <c r="L365" i="1"/>
  <c r="K365" i="1"/>
  <c r="J365" i="1"/>
  <c r="I365" i="1"/>
  <c r="C365" i="1"/>
  <c r="B365" i="1"/>
  <c r="A365" i="1"/>
  <c r="M364" i="1"/>
  <c r="L364" i="1"/>
  <c r="K364" i="1"/>
  <c r="J364" i="1"/>
  <c r="I364" i="1"/>
  <c r="C364" i="1"/>
  <c r="B364" i="1"/>
  <c r="A364" i="1"/>
  <c r="M363" i="1"/>
  <c r="L363" i="1"/>
  <c r="K363" i="1"/>
  <c r="J363" i="1"/>
  <c r="I363" i="1"/>
  <c r="C363" i="1"/>
  <c r="B363" i="1"/>
  <c r="A363" i="1"/>
  <c r="M362" i="1"/>
  <c r="L362" i="1"/>
  <c r="K362" i="1"/>
  <c r="J362" i="1"/>
  <c r="I362" i="1"/>
  <c r="C362" i="1"/>
  <c r="B362" i="1"/>
  <c r="A362" i="1"/>
  <c r="M361" i="1"/>
  <c r="L361" i="1"/>
  <c r="K361" i="1"/>
  <c r="J361" i="1"/>
  <c r="I361" i="1"/>
  <c r="C361" i="1"/>
  <c r="B361" i="1"/>
  <c r="A361" i="1"/>
  <c r="M360" i="1"/>
  <c r="L360" i="1"/>
  <c r="K360" i="1"/>
  <c r="J360" i="1"/>
  <c r="I360" i="1"/>
  <c r="C360" i="1"/>
  <c r="B360" i="1"/>
  <c r="A360" i="1"/>
  <c r="M359" i="1"/>
  <c r="L359" i="1"/>
  <c r="K359" i="1"/>
  <c r="J359" i="1"/>
  <c r="I359" i="1"/>
  <c r="C359" i="1"/>
  <c r="B359" i="1"/>
  <c r="A359" i="1"/>
  <c r="M358" i="1"/>
  <c r="L358" i="1"/>
  <c r="K358" i="1"/>
  <c r="J358" i="1"/>
  <c r="I358" i="1"/>
  <c r="C358" i="1"/>
  <c r="B358" i="1"/>
  <c r="A358" i="1"/>
  <c r="M357" i="1"/>
  <c r="L357" i="1"/>
  <c r="K357" i="1"/>
  <c r="J357" i="1"/>
  <c r="I357" i="1"/>
  <c r="C357" i="1"/>
  <c r="B357" i="1"/>
  <c r="A357" i="1"/>
  <c r="M356" i="1"/>
  <c r="L356" i="1"/>
  <c r="K356" i="1"/>
  <c r="J356" i="1"/>
  <c r="I356" i="1"/>
  <c r="C356" i="1"/>
  <c r="B356" i="1"/>
  <c r="A356" i="1"/>
  <c r="M355" i="1"/>
  <c r="L355" i="1"/>
  <c r="K355" i="1"/>
  <c r="J355" i="1"/>
  <c r="I355" i="1"/>
  <c r="C355" i="1"/>
  <c r="B355" i="1"/>
  <c r="A355" i="1"/>
  <c r="M354" i="1"/>
  <c r="L354" i="1"/>
  <c r="K354" i="1"/>
  <c r="J354" i="1"/>
  <c r="I354" i="1"/>
  <c r="C354" i="1"/>
  <c r="B354" i="1"/>
  <c r="A354" i="1"/>
  <c r="M353" i="1"/>
  <c r="L353" i="1"/>
  <c r="K353" i="1"/>
  <c r="J353" i="1"/>
  <c r="I353" i="1"/>
  <c r="C353" i="1"/>
  <c r="B353" i="1"/>
  <c r="A353" i="1"/>
  <c r="M352" i="1"/>
  <c r="L352" i="1"/>
  <c r="K352" i="1"/>
  <c r="J352" i="1"/>
  <c r="I352" i="1"/>
  <c r="C352" i="1"/>
  <c r="B352" i="1"/>
  <c r="A352" i="1"/>
  <c r="M351" i="1"/>
  <c r="L351" i="1"/>
  <c r="K351" i="1"/>
  <c r="J351" i="1"/>
  <c r="I351" i="1"/>
  <c r="C351" i="1"/>
  <c r="B351" i="1"/>
  <c r="A351" i="1"/>
  <c r="M350" i="1"/>
  <c r="L350" i="1"/>
  <c r="K350" i="1"/>
  <c r="J350" i="1"/>
  <c r="I350" i="1"/>
  <c r="C350" i="1"/>
  <c r="B350" i="1"/>
  <c r="A350" i="1"/>
  <c r="M349" i="1"/>
  <c r="L349" i="1"/>
  <c r="K349" i="1"/>
  <c r="J349" i="1"/>
  <c r="I349" i="1"/>
  <c r="C349" i="1"/>
  <c r="B349" i="1"/>
  <c r="A349" i="1"/>
  <c r="M348" i="1"/>
  <c r="L348" i="1"/>
  <c r="K348" i="1"/>
  <c r="J348" i="1"/>
  <c r="I348" i="1"/>
  <c r="C348" i="1"/>
  <c r="B348" i="1"/>
  <c r="A348" i="1"/>
  <c r="M347" i="1"/>
  <c r="L347" i="1"/>
  <c r="K347" i="1"/>
  <c r="J347" i="1"/>
  <c r="I347" i="1"/>
  <c r="C347" i="1"/>
  <c r="B347" i="1"/>
  <c r="A347" i="1"/>
  <c r="M346" i="1"/>
  <c r="L346" i="1"/>
  <c r="K346" i="1"/>
  <c r="J346" i="1"/>
  <c r="I346" i="1"/>
  <c r="C346" i="1"/>
  <c r="B346" i="1"/>
  <c r="A346" i="1"/>
  <c r="M345" i="1"/>
  <c r="L345" i="1"/>
  <c r="K345" i="1"/>
  <c r="J345" i="1"/>
  <c r="I345" i="1"/>
  <c r="C345" i="1"/>
  <c r="B345" i="1"/>
  <c r="A345" i="1"/>
  <c r="M344" i="1"/>
  <c r="L344" i="1"/>
  <c r="K344" i="1"/>
  <c r="J344" i="1"/>
  <c r="I344" i="1"/>
  <c r="C344" i="1"/>
  <c r="B344" i="1"/>
  <c r="A344" i="1"/>
  <c r="M343" i="1"/>
  <c r="L343" i="1"/>
  <c r="K343" i="1"/>
  <c r="J343" i="1"/>
  <c r="I343" i="1"/>
  <c r="C343" i="1"/>
  <c r="B343" i="1"/>
  <c r="A343" i="1"/>
  <c r="M342" i="1"/>
  <c r="L342" i="1"/>
  <c r="K342" i="1"/>
  <c r="J342" i="1"/>
  <c r="I342" i="1"/>
  <c r="C342" i="1"/>
  <c r="B342" i="1"/>
  <c r="A342" i="1"/>
  <c r="M341" i="1"/>
  <c r="L341" i="1"/>
  <c r="K341" i="1"/>
  <c r="J341" i="1"/>
  <c r="I341" i="1"/>
  <c r="C341" i="1"/>
  <c r="B341" i="1"/>
  <c r="A341" i="1"/>
  <c r="M340" i="1"/>
  <c r="L340" i="1"/>
  <c r="K340" i="1"/>
  <c r="J340" i="1"/>
  <c r="I340" i="1"/>
  <c r="C340" i="1"/>
  <c r="B340" i="1"/>
  <c r="A340" i="1"/>
  <c r="M339" i="1"/>
  <c r="L339" i="1"/>
  <c r="K339" i="1"/>
  <c r="J339" i="1"/>
  <c r="I339" i="1"/>
  <c r="C339" i="1"/>
  <c r="B339" i="1"/>
  <c r="A339" i="1"/>
  <c r="M338" i="1"/>
  <c r="L338" i="1"/>
  <c r="K338" i="1"/>
  <c r="J338" i="1"/>
  <c r="I338" i="1"/>
  <c r="C338" i="1"/>
  <c r="B338" i="1"/>
  <c r="A338" i="1"/>
  <c r="M337" i="1"/>
  <c r="L337" i="1"/>
  <c r="K337" i="1"/>
  <c r="J337" i="1"/>
  <c r="I337" i="1"/>
  <c r="C337" i="1"/>
  <c r="B337" i="1"/>
  <c r="A337" i="1"/>
  <c r="M336" i="1"/>
  <c r="L336" i="1"/>
  <c r="K336" i="1"/>
  <c r="J336" i="1"/>
  <c r="I336" i="1"/>
  <c r="C336" i="1"/>
  <c r="B336" i="1"/>
  <c r="A336" i="1"/>
  <c r="M335" i="1"/>
  <c r="L335" i="1"/>
  <c r="K335" i="1"/>
  <c r="J335" i="1"/>
  <c r="I335" i="1"/>
  <c r="C335" i="1"/>
  <c r="B335" i="1"/>
  <c r="A335" i="1"/>
  <c r="M334" i="1"/>
  <c r="L334" i="1"/>
  <c r="K334" i="1"/>
  <c r="J334" i="1"/>
  <c r="I334" i="1"/>
  <c r="C334" i="1"/>
  <c r="B334" i="1"/>
  <c r="A334" i="1"/>
  <c r="M333" i="1"/>
  <c r="L333" i="1"/>
  <c r="K333" i="1"/>
  <c r="J333" i="1"/>
  <c r="I333" i="1"/>
  <c r="C333" i="1"/>
  <c r="B333" i="1"/>
  <c r="A333" i="1"/>
  <c r="M332" i="1"/>
  <c r="L332" i="1"/>
  <c r="K332" i="1"/>
  <c r="J332" i="1"/>
  <c r="I332" i="1"/>
  <c r="C332" i="1"/>
  <c r="B332" i="1"/>
  <c r="A332" i="1"/>
  <c r="M331" i="1"/>
  <c r="L331" i="1"/>
  <c r="K331" i="1"/>
  <c r="J331" i="1"/>
  <c r="I331" i="1"/>
  <c r="C331" i="1"/>
  <c r="B331" i="1"/>
  <c r="A331" i="1"/>
  <c r="M330" i="1"/>
  <c r="L330" i="1"/>
  <c r="K330" i="1"/>
  <c r="J330" i="1"/>
  <c r="I330" i="1"/>
  <c r="C330" i="1"/>
  <c r="B330" i="1"/>
  <c r="A330" i="1"/>
  <c r="M329" i="1"/>
  <c r="L329" i="1"/>
  <c r="K329" i="1"/>
  <c r="J329" i="1"/>
  <c r="I329" i="1"/>
  <c r="C329" i="1"/>
  <c r="B329" i="1"/>
  <c r="A329" i="1"/>
  <c r="M328" i="1"/>
  <c r="L328" i="1"/>
  <c r="K328" i="1"/>
  <c r="J328" i="1"/>
  <c r="I328" i="1"/>
  <c r="C328" i="1"/>
  <c r="B328" i="1"/>
  <c r="A328" i="1"/>
  <c r="M327" i="1"/>
  <c r="L327" i="1"/>
  <c r="K327" i="1"/>
  <c r="J327" i="1"/>
  <c r="I327" i="1"/>
  <c r="C327" i="1"/>
  <c r="B327" i="1"/>
  <c r="A327" i="1"/>
  <c r="M326" i="1"/>
  <c r="L326" i="1"/>
  <c r="K326" i="1"/>
  <c r="J326" i="1"/>
  <c r="I326" i="1"/>
  <c r="C326" i="1"/>
  <c r="B326" i="1"/>
  <c r="A326" i="1"/>
  <c r="M325" i="1"/>
  <c r="L325" i="1"/>
  <c r="K325" i="1"/>
  <c r="J325" i="1"/>
  <c r="I325" i="1"/>
  <c r="C325" i="1"/>
  <c r="B325" i="1"/>
  <c r="A325" i="1"/>
  <c r="M324" i="1"/>
  <c r="L324" i="1"/>
  <c r="K324" i="1"/>
  <c r="J324" i="1"/>
  <c r="I324" i="1"/>
  <c r="C324" i="1"/>
  <c r="B324" i="1"/>
  <c r="A324" i="1"/>
  <c r="M323" i="1"/>
  <c r="L323" i="1"/>
  <c r="K323" i="1"/>
  <c r="J323" i="1"/>
  <c r="I323" i="1"/>
  <c r="C323" i="1"/>
  <c r="B323" i="1"/>
  <c r="A323" i="1"/>
  <c r="M322" i="1"/>
  <c r="L322" i="1"/>
  <c r="K322" i="1"/>
  <c r="J322" i="1"/>
  <c r="I322" i="1"/>
  <c r="C322" i="1"/>
  <c r="B322" i="1"/>
  <c r="A322" i="1"/>
  <c r="M321" i="1"/>
  <c r="L321" i="1"/>
  <c r="K321" i="1"/>
  <c r="J321" i="1"/>
  <c r="I321" i="1"/>
  <c r="C321" i="1"/>
  <c r="B321" i="1"/>
  <c r="A321" i="1"/>
  <c r="M320" i="1"/>
  <c r="L320" i="1"/>
  <c r="K320" i="1"/>
  <c r="J320" i="1"/>
  <c r="I320" i="1"/>
  <c r="C320" i="1"/>
  <c r="B320" i="1"/>
  <c r="A320" i="1"/>
  <c r="M319" i="1"/>
  <c r="L319" i="1"/>
  <c r="K319" i="1"/>
  <c r="J319" i="1"/>
  <c r="I319" i="1"/>
  <c r="C319" i="1"/>
  <c r="B319" i="1"/>
  <c r="A319" i="1"/>
  <c r="M318" i="1"/>
  <c r="L318" i="1"/>
  <c r="K318" i="1"/>
  <c r="J318" i="1"/>
  <c r="I318" i="1"/>
  <c r="C318" i="1"/>
  <c r="B318" i="1"/>
  <c r="A318" i="1"/>
  <c r="M317" i="1"/>
  <c r="L317" i="1"/>
  <c r="K317" i="1"/>
  <c r="J317" i="1"/>
  <c r="I317" i="1"/>
  <c r="C317" i="1"/>
  <c r="B317" i="1"/>
  <c r="A317" i="1"/>
  <c r="M316" i="1"/>
  <c r="L316" i="1"/>
  <c r="K316" i="1"/>
  <c r="J316" i="1"/>
  <c r="I316" i="1"/>
  <c r="C316" i="1"/>
  <c r="B316" i="1"/>
  <c r="A316" i="1"/>
  <c r="M315" i="1"/>
  <c r="L315" i="1"/>
  <c r="K315" i="1"/>
  <c r="J315" i="1"/>
  <c r="I315" i="1"/>
  <c r="C315" i="1"/>
  <c r="B315" i="1"/>
  <c r="A315" i="1"/>
  <c r="M314" i="1"/>
  <c r="L314" i="1"/>
  <c r="K314" i="1"/>
  <c r="J314" i="1"/>
  <c r="I314" i="1"/>
  <c r="C314" i="1"/>
  <c r="B314" i="1"/>
  <c r="A314" i="1"/>
  <c r="M313" i="1"/>
  <c r="L313" i="1"/>
  <c r="K313" i="1"/>
  <c r="J313" i="1"/>
  <c r="I313" i="1"/>
  <c r="C313" i="1"/>
  <c r="B313" i="1"/>
  <c r="A313" i="1"/>
  <c r="M312" i="1"/>
  <c r="L312" i="1"/>
  <c r="K312" i="1"/>
  <c r="J312" i="1"/>
  <c r="I312" i="1"/>
  <c r="C312" i="1"/>
  <c r="B312" i="1"/>
  <c r="A312" i="1"/>
  <c r="M311" i="1"/>
  <c r="L311" i="1"/>
  <c r="K311" i="1"/>
  <c r="J311" i="1"/>
  <c r="I311" i="1"/>
  <c r="C311" i="1"/>
  <c r="B311" i="1"/>
  <c r="A311" i="1"/>
  <c r="M310" i="1"/>
  <c r="L310" i="1"/>
  <c r="K310" i="1"/>
  <c r="J310" i="1"/>
  <c r="I310" i="1"/>
  <c r="C310" i="1"/>
  <c r="B310" i="1"/>
  <c r="A310" i="1"/>
  <c r="M309" i="1"/>
  <c r="L309" i="1"/>
  <c r="K309" i="1"/>
  <c r="J309" i="1"/>
  <c r="I309" i="1"/>
  <c r="C309" i="1"/>
  <c r="B309" i="1"/>
  <c r="A309" i="1"/>
  <c r="M308" i="1"/>
  <c r="L308" i="1"/>
  <c r="K308" i="1"/>
  <c r="J308" i="1"/>
  <c r="I308" i="1"/>
  <c r="C308" i="1"/>
  <c r="B308" i="1"/>
  <c r="A308" i="1"/>
  <c r="M307" i="1"/>
  <c r="L307" i="1"/>
  <c r="K307" i="1"/>
  <c r="J307" i="1"/>
  <c r="I307" i="1"/>
  <c r="C307" i="1"/>
  <c r="B307" i="1"/>
  <c r="A307" i="1"/>
  <c r="M306" i="1"/>
  <c r="L306" i="1"/>
  <c r="K306" i="1"/>
  <c r="J306" i="1"/>
  <c r="I306" i="1"/>
  <c r="C306" i="1"/>
  <c r="B306" i="1"/>
  <c r="A306" i="1"/>
  <c r="M305" i="1"/>
  <c r="L305" i="1"/>
  <c r="K305" i="1"/>
  <c r="J305" i="1"/>
  <c r="I305" i="1"/>
  <c r="C305" i="1"/>
  <c r="B305" i="1"/>
  <c r="A305" i="1"/>
  <c r="M304" i="1"/>
  <c r="L304" i="1"/>
  <c r="K304" i="1"/>
  <c r="J304" i="1"/>
  <c r="I304" i="1"/>
  <c r="C304" i="1"/>
  <c r="B304" i="1"/>
  <c r="A304" i="1"/>
  <c r="M303" i="1"/>
  <c r="L303" i="1"/>
  <c r="K303" i="1"/>
  <c r="J303" i="1"/>
  <c r="I303" i="1"/>
  <c r="C303" i="1"/>
  <c r="B303" i="1"/>
  <c r="A303" i="1"/>
  <c r="M302" i="1"/>
  <c r="L302" i="1"/>
  <c r="K302" i="1"/>
  <c r="J302" i="1"/>
  <c r="I302" i="1"/>
  <c r="C302" i="1"/>
  <c r="B302" i="1"/>
  <c r="A302" i="1"/>
  <c r="M301" i="1"/>
  <c r="L301" i="1"/>
  <c r="K301" i="1"/>
  <c r="J301" i="1"/>
  <c r="I301" i="1"/>
  <c r="C301" i="1"/>
  <c r="B301" i="1"/>
  <c r="A301" i="1"/>
  <c r="M300" i="1"/>
  <c r="L300" i="1"/>
  <c r="K300" i="1"/>
  <c r="J300" i="1"/>
  <c r="I300" i="1"/>
  <c r="C300" i="1"/>
  <c r="B300" i="1"/>
  <c r="A300" i="1"/>
  <c r="M299" i="1"/>
  <c r="L299" i="1"/>
  <c r="K299" i="1"/>
  <c r="J299" i="1"/>
  <c r="I299" i="1"/>
  <c r="C299" i="1"/>
  <c r="B299" i="1"/>
  <c r="A299" i="1"/>
  <c r="M298" i="1"/>
  <c r="L298" i="1"/>
  <c r="K298" i="1"/>
  <c r="J298" i="1"/>
  <c r="I298" i="1"/>
  <c r="C298" i="1"/>
  <c r="B298" i="1"/>
  <c r="A298" i="1"/>
  <c r="M297" i="1"/>
  <c r="L297" i="1"/>
  <c r="K297" i="1"/>
  <c r="J297" i="1"/>
  <c r="I297" i="1"/>
  <c r="C297" i="1"/>
  <c r="B297" i="1"/>
  <c r="A297" i="1"/>
  <c r="M296" i="1"/>
  <c r="L296" i="1"/>
  <c r="K296" i="1"/>
  <c r="J296" i="1"/>
  <c r="I296" i="1"/>
  <c r="C296" i="1"/>
  <c r="B296" i="1"/>
  <c r="A296" i="1"/>
  <c r="M295" i="1"/>
  <c r="L295" i="1"/>
  <c r="K295" i="1"/>
  <c r="J295" i="1"/>
  <c r="I295" i="1"/>
  <c r="C295" i="1"/>
  <c r="B295" i="1"/>
  <c r="A295" i="1"/>
  <c r="M294" i="1"/>
  <c r="L294" i="1"/>
  <c r="K294" i="1"/>
  <c r="J294" i="1"/>
  <c r="I294" i="1"/>
  <c r="C294" i="1"/>
  <c r="B294" i="1"/>
  <c r="A294" i="1"/>
  <c r="M293" i="1"/>
  <c r="L293" i="1"/>
  <c r="K293" i="1"/>
  <c r="J293" i="1"/>
  <c r="I293" i="1"/>
  <c r="C293" i="1"/>
  <c r="B293" i="1"/>
  <c r="A293" i="1"/>
  <c r="M292" i="1"/>
  <c r="L292" i="1"/>
  <c r="K292" i="1"/>
  <c r="J292" i="1"/>
  <c r="I292" i="1"/>
  <c r="C292" i="1"/>
  <c r="B292" i="1"/>
  <c r="A292" i="1"/>
  <c r="M291" i="1"/>
  <c r="L291" i="1"/>
  <c r="K291" i="1"/>
  <c r="J291" i="1"/>
  <c r="I291" i="1"/>
  <c r="C291" i="1"/>
  <c r="B291" i="1"/>
  <c r="A291" i="1"/>
  <c r="M290" i="1"/>
  <c r="L290" i="1"/>
  <c r="K290" i="1"/>
  <c r="J290" i="1"/>
  <c r="I290" i="1"/>
  <c r="C290" i="1"/>
  <c r="B290" i="1"/>
  <c r="A290" i="1"/>
  <c r="M289" i="1"/>
  <c r="L289" i="1"/>
  <c r="K289" i="1"/>
  <c r="J289" i="1"/>
  <c r="I289" i="1"/>
  <c r="C289" i="1"/>
  <c r="B289" i="1"/>
  <c r="A289" i="1"/>
  <c r="M288" i="1"/>
  <c r="L288" i="1"/>
  <c r="K288" i="1"/>
  <c r="J288" i="1"/>
  <c r="I288" i="1"/>
  <c r="C288" i="1"/>
  <c r="B288" i="1"/>
  <c r="A288" i="1"/>
  <c r="M287" i="1"/>
  <c r="L287" i="1"/>
  <c r="K287" i="1"/>
  <c r="J287" i="1"/>
  <c r="I287" i="1"/>
  <c r="C287" i="1"/>
  <c r="B287" i="1"/>
  <c r="A287" i="1"/>
  <c r="M286" i="1"/>
  <c r="L286" i="1"/>
  <c r="K286" i="1"/>
  <c r="J286" i="1"/>
  <c r="I286" i="1"/>
  <c r="C286" i="1"/>
  <c r="B286" i="1"/>
  <c r="A286" i="1"/>
  <c r="M285" i="1"/>
  <c r="L285" i="1"/>
  <c r="K285" i="1"/>
  <c r="J285" i="1"/>
  <c r="I285" i="1"/>
  <c r="C285" i="1"/>
  <c r="B285" i="1"/>
  <c r="A285" i="1"/>
  <c r="M284" i="1"/>
  <c r="L284" i="1"/>
  <c r="K284" i="1"/>
  <c r="J284" i="1"/>
  <c r="I284" i="1"/>
  <c r="C284" i="1"/>
  <c r="B284" i="1"/>
  <c r="A284" i="1"/>
  <c r="M283" i="1"/>
  <c r="L283" i="1"/>
  <c r="K283" i="1"/>
  <c r="J283" i="1"/>
  <c r="I283" i="1"/>
  <c r="C283" i="1"/>
  <c r="B283" i="1"/>
  <c r="A283" i="1"/>
  <c r="M282" i="1"/>
  <c r="L282" i="1"/>
  <c r="K282" i="1"/>
  <c r="J282" i="1"/>
  <c r="I282" i="1"/>
  <c r="C282" i="1"/>
  <c r="B282" i="1"/>
  <c r="A282" i="1"/>
  <c r="M281" i="1"/>
  <c r="L281" i="1"/>
  <c r="K281" i="1"/>
  <c r="J281" i="1"/>
  <c r="I281" i="1"/>
  <c r="C281" i="1"/>
  <c r="B281" i="1"/>
  <c r="A281" i="1"/>
  <c r="M280" i="1"/>
  <c r="L280" i="1"/>
  <c r="K280" i="1"/>
  <c r="J280" i="1"/>
  <c r="I280" i="1"/>
  <c r="C280" i="1"/>
  <c r="B280" i="1"/>
  <c r="A280" i="1"/>
  <c r="M279" i="1"/>
  <c r="L279" i="1"/>
  <c r="K279" i="1"/>
  <c r="J279" i="1"/>
  <c r="I279" i="1"/>
  <c r="C279" i="1"/>
  <c r="B279" i="1"/>
  <c r="A279" i="1"/>
  <c r="M278" i="1"/>
  <c r="L278" i="1"/>
  <c r="K278" i="1"/>
  <c r="J278" i="1"/>
  <c r="I278" i="1"/>
  <c r="C278" i="1"/>
  <c r="B278" i="1"/>
  <c r="A278" i="1"/>
  <c r="M277" i="1"/>
  <c r="L277" i="1"/>
  <c r="K277" i="1"/>
  <c r="J277" i="1"/>
  <c r="I277" i="1"/>
  <c r="C277" i="1"/>
  <c r="B277" i="1"/>
  <c r="A277" i="1"/>
  <c r="M276" i="1"/>
  <c r="L276" i="1"/>
  <c r="K276" i="1"/>
  <c r="J276" i="1"/>
  <c r="I276" i="1"/>
  <c r="C276" i="1"/>
  <c r="B276" i="1"/>
  <c r="A276" i="1"/>
  <c r="M275" i="1"/>
  <c r="L275" i="1"/>
  <c r="K275" i="1"/>
  <c r="J275" i="1"/>
  <c r="I275" i="1"/>
  <c r="C275" i="1"/>
  <c r="B275" i="1"/>
  <c r="A275" i="1"/>
  <c r="M274" i="1"/>
  <c r="L274" i="1"/>
  <c r="K274" i="1"/>
  <c r="J274" i="1"/>
  <c r="I274" i="1"/>
  <c r="C274" i="1"/>
  <c r="B274" i="1"/>
  <c r="A274" i="1"/>
  <c r="M273" i="1"/>
  <c r="L273" i="1"/>
  <c r="K273" i="1"/>
  <c r="J273" i="1"/>
  <c r="I273" i="1"/>
  <c r="C273" i="1"/>
  <c r="B273" i="1"/>
  <c r="A273" i="1"/>
  <c r="M272" i="1"/>
  <c r="L272" i="1"/>
  <c r="K272" i="1"/>
  <c r="J272" i="1"/>
  <c r="I272" i="1"/>
  <c r="C272" i="1"/>
  <c r="B272" i="1"/>
  <c r="A272" i="1"/>
  <c r="M271" i="1"/>
  <c r="L271" i="1"/>
  <c r="K271" i="1"/>
  <c r="J271" i="1"/>
  <c r="I271" i="1"/>
  <c r="C271" i="1"/>
  <c r="B271" i="1"/>
  <c r="A271" i="1"/>
  <c r="M270" i="1"/>
  <c r="L270" i="1"/>
  <c r="K270" i="1"/>
  <c r="J270" i="1"/>
  <c r="I270" i="1"/>
  <c r="C270" i="1"/>
  <c r="B270" i="1"/>
  <c r="A270" i="1"/>
  <c r="M269" i="1"/>
  <c r="L269" i="1"/>
  <c r="K269" i="1"/>
  <c r="J269" i="1"/>
  <c r="I269" i="1"/>
  <c r="C269" i="1"/>
  <c r="B269" i="1"/>
  <c r="A269" i="1"/>
  <c r="M268" i="1"/>
  <c r="L268" i="1"/>
  <c r="K268" i="1"/>
  <c r="J268" i="1"/>
  <c r="I268" i="1"/>
  <c r="C268" i="1"/>
  <c r="B268" i="1"/>
  <c r="A268" i="1"/>
  <c r="M267" i="1"/>
  <c r="L267" i="1"/>
  <c r="K267" i="1"/>
  <c r="J267" i="1"/>
  <c r="I267" i="1"/>
  <c r="C267" i="1"/>
  <c r="B267" i="1"/>
  <c r="A267" i="1"/>
  <c r="M266" i="1"/>
  <c r="L266" i="1"/>
  <c r="K266" i="1"/>
  <c r="J266" i="1"/>
  <c r="I266" i="1"/>
  <c r="C266" i="1"/>
  <c r="B266" i="1"/>
  <c r="A266" i="1"/>
  <c r="M265" i="1"/>
  <c r="L265" i="1"/>
  <c r="K265" i="1"/>
  <c r="J265" i="1"/>
  <c r="I265" i="1"/>
  <c r="C265" i="1"/>
  <c r="B265" i="1"/>
  <c r="A265" i="1"/>
  <c r="M264" i="1"/>
  <c r="L264" i="1"/>
  <c r="K264" i="1"/>
  <c r="J264" i="1"/>
  <c r="I264" i="1"/>
  <c r="C264" i="1"/>
  <c r="B264" i="1"/>
  <c r="A264" i="1"/>
  <c r="M263" i="1"/>
  <c r="L263" i="1"/>
  <c r="K263" i="1"/>
  <c r="J263" i="1"/>
  <c r="I263" i="1"/>
  <c r="C263" i="1"/>
  <c r="B263" i="1"/>
  <c r="A263" i="1"/>
  <c r="M262" i="1"/>
  <c r="L262" i="1"/>
  <c r="K262" i="1"/>
  <c r="J262" i="1"/>
  <c r="I262" i="1"/>
  <c r="C262" i="1"/>
  <c r="B262" i="1"/>
  <c r="A262" i="1"/>
  <c r="M261" i="1"/>
  <c r="L261" i="1"/>
  <c r="K261" i="1"/>
  <c r="J261" i="1"/>
  <c r="I261" i="1"/>
  <c r="C261" i="1"/>
  <c r="B261" i="1"/>
  <c r="A261" i="1"/>
  <c r="M260" i="1"/>
  <c r="L260" i="1"/>
  <c r="K260" i="1"/>
  <c r="J260" i="1"/>
  <c r="I260" i="1"/>
  <c r="C260" i="1"/>
  <c r="B260" i="1"/>
  <c r="A260" i="1"/>
  <c r="M259" i="1"/>
  <c r="L259" i="1"/>
  <c r="K259" i="1"/>
  <c r="J259" i="1"/>
  <c r="I259" i="1"/>
  <c r="C259" i="1"/>
  <c r="B259" i="1"/>
  <c r="A259" i="1"/>
  <c r="M258" i="1"/>
  <c r="L258" i="1"/>
  <c r="K258" i="1"/>
  <c r="J258" i="1"/>
  <c r="I258" i="1"/>
  <c r="C258" i="1"/>
  <c r="B258" i="1"/>
  <c r="A258" i="1"/>
  <c r="M257" i="1"/>
  <c r="L257" i="1"/>
  <c r="K257" i="1"/>
  <c r="J257" i="1"/>
  <c r="I257" i="1"/>
  <c r="C257" i="1"/>
  <c r="B257" i="1"/>
  <c r="A257" i="1"/>
  <c r="M256" i="1"/>
  <c r="L256" i="1"/>
  <c r="K256" i="1"/>
  <c r="J256" i="1"/>
  <c r="I256" i="1"/>
  <c r="C256" i="1"/>
  <c r="B256" i="1"/>
  <c r="A256" i="1"/>
  <c r="M255" i="1"/>
  <c r="L255" i="1"/>
  <c r="K255" i="1"/>
  <c r="J255" i="1"/>
  <c r="I255" i="1"/>
  <c r="C255" i="1"/>
  <c r="B255" i="1"/>
  <c r="A255" i="1"/>
  <c r="M254" i="1"/>
  <c r="L254" i="1"/>
  <c r="K254" i="1"/>
  <c r="J254" i="1"/>
  <c r="I254" i="1"/>
  <c r="C254" i="1"/>
  <c r="B254" i="1"/>
  <c r="A254" i="1"/>
  <c r="M253" i="1"/>
  <c r="L253" i="1"/>
  <c r="K253" i="1"/>
  <c r="J253" i="1"/>
  <c r="I253" i="1"/>
  <c r="C253" i="1"/>
  <c r="B253" i="1"/>
  <c r="A253" i="1"/>
  <c r="M252" i="1"/>
  <c r="L252" i="1"/>
  <c r="K252" i="1"/>
  <c r="J252" i="1"/>
  <c r="I252" i="1"/>
  <c r="C252" i="1"/>
  <c r="B252" i="1"/>
  <c r="A252" i="1"/>
  <c r="M251" i="1"/>
  <c r="L251" i="1"/>
  <c r="K251" i="1"/>
  <c r="J251" i="1"/>
  <c r="I251" i="1"/>
  <c r="C251" i="1"/>
  <c r="B251" i="1"/>
  <c r="A251" i="1"/>
  <c r="M250" i="1"/>
  <c r="L250" i="1"/>
  <c r="K250" i="1"/>
  <c r="J250" i="1"/>
  <c r="I250" i="1"/>
  <c r="C250" i="1"/>
  <c r="B250" i="1"/>
  <c r="A250" i="1"/>
  <c r="M249" i="1"/>
  <c r="L249" i="1"/>
  <c r="K249" i="1"/>
  <c r="J249" i="1"/>
  <c r="I249" i="1"/>
  <c r="C249" i="1"/>
  <c r="B249" i="1"/>
  <c r="A249" i="1"/>
  <c r="M248" i="1"/>
  <c r="L248" i="1"/>
  <c r="K248" i="1"/>
  <c r="J248" i="1"/>
  <c r="I248" i="1"/>
  <c r="C248" i="1"/>
  <c r="B248" i="1"/>
  <c r="A248" i="1"/>
  <c r="M247" i="1"/>
  <c r="L247" i="1"/>
  <c r="K247" i="1"/>
  <c r="J247" i="1"/>
  <c r="I247" i="1"/>
  <c r="C247" i="1"/>
  <c r="B247" i="1"/>
  <c r="A247" i="1"/>
  <c r="M246" i="1"/>
  <c r="L246" i="1"/>
  <c r="K246" i="1"/>
  <c r="J246" i="1"/>
  <c r="I246" i="1"/>
  <c r="C246" i="1"/>
  <c r="B246" i="1"/>
  <c r="A246" i="1"/>
  <c r="M245" i="1"/>
  <c r="L245" i="1"/>
  <c r="K245" i="1"/>
  <c r="J245" i="1"/>
  <c r="I245" i="1"/>
  <c r="C245" i="1"/>
  <c r="B245" i="1"/>
  <c r="A245" i="1"/>
  <c r="M244" i="1"/>
  <c r="L244" i="1"/>
  <c r="K244" i="1"/>
  <c r="J244" i="1"/>
  <c r="I244" i="1"/>
  <c r="C244" i="1"/>
  <c r="B244" i="1"/>
  <c r="A244" i="1"/>
  <c r="M243" i="1"/>
  <c r="L243" i="1"/>
  <c r="K243" i="1"/>
  <c r="J243" i="1"/>
  <c r="I243" i="1"/>
  <c r="C243" i="1"/>
  <c r="B243" i="1"/>
  <c r="A243" i="1"/>
  <c r="M242" i="1"/>
  <c r="L242" i="1"/>
  <c r="K242" i="1"/>
  <c r="J242" i="1"/>
  <c r="I242" i="1"/>
  <c r="C242" i="1"/>
  <c r="B242" i="1"/>
  <c r="A242" i="1"/>
  <c r="M241" i="1"/>
  <c r="L241" i="1"/>
  <c r="K241" i="1"/>
  <c r="J241" i="1"/>
  <c r="I241" i="1"/>
  <c r="C241" i="1"/>
  <c r="B241" i="1"/>
  <c r="A241" i="1"/>
  <c r="M240" i="1"/>
  <c r="L240" i="1"/>
  <c r="K240" i="1"/>
  <c r="J240" i="1"/>
  <c r="I240" i="1"/>
  <c r="C240" i="1"/>
  <c r="B240" i="1"/>
  <c r="A240" i="1"/>
  <c r="M239" i="1"/>
  <c r="L239" i="1"/>
  <c r="K239" i="1"/>
  <c r="J239" i="1"/>
  <c r="I239" i="1"/>
  <c r="C239" i="1"/>
  <c r="B239" i="1"/>
  <c r="A239" i="1"/>
  <c r="M238" i="1"/>
  <c r="L238" i="1"/>
  <c r="K238" i="1"/>
  <c r="J238" i="1"/>
  <c r="I238" i="1"/>
  <c r="C238" i="1"/>
  <c r="B238" i="1"/>
  <c r="A238" i="1"/>
  <c r="M237" i="1"/>
  <c r="L237" i="1"/>
  <c r="K237" i="1"/>
  <c r="J237" i="1"/>
  <c r="I237" i="1"/>
  <c r="C237" i="1"/>
  <c r="B237" i="1"/>
  <c r="A237" i="1"/>
  <c r="M236" i="1"/>
  <c r="L236" i="1"/>
  <c r="K236" i="1"/>
  <c r="J236" i="1"/>
  <c r="I236" i="1"/>
  <c r="C236" i="1"/>
  <c r="B236" i="1"/>
  <c r="A236" i="1"/>
  <c r="M235" i="1"/>
  <c r="L235" i="1"/>
  <c r="K235" i="1"/>
  <c r="J235" i="1"/>
  <c r="I235" i="1"/>
  <c r="C235" i="1"/>
  <c r="B235" i="1"/>
  <c r="A235" i="1"/>
  <c r="M234" i="1"/>
  <c r="L234" i="1"/>
  <c r="K234" i="1"/>
  <c r="J234" i="1"/>
  <c r="I234" i="1"/>
  <c r="C234" i="1"/>
  <c r="B234" i="1"/>
  <c r="A234" i="1"/>
  <c r="M233" i="1"/>
  <c r="L233" i="1"/>
  <c r="K233" i="1"/>
  <c r="J233" i="1"/>
  <c r="I233" i="1"/>
  <c r="C233" i="1"/>
  <c r="B233" i="1"/>
  <c r="A233" i="1"/>
  <c r="M232" i="1"/>
  <c r="L232" i="1"/>
  <c r="K232" i="1"/>
  <c r="J232" i="1"/>
  <c r="I232" i="1"/>
  <c r="C232" i="1"/>
  <c r="B232" i="1"/>
  <c r="A232" i="1"/>
  <c r="M231" i="1"/>
  <c r="L231" i="1"/>
  <c r="K231" i="1"/>
  <c r="J231" i="1"/>
  <c r="I231" i="1"/>
  <c r="C231" i="1"/>
  <c r="B231" i="1"/>
  <c r="A231" i="1"/>
  <c r="M230" i="1"/>
  <c r="L230" i="1"/>
  <c r="K230" i="1"/>
  <c r="J230" i="1"/>
  <c r="I230" i="1"/>
  <c r="C230" i="1"/>
  <c r="B230" i="1"/>
  <c r="A230" i="1"/>
  <c r="M229" i="1"/>
  <c r="L229" i="1"/>
  <c r="K229" i="1"/>
  <c r="J229" i="1"/>
  <c r="I229" i="1"/>
  <c r="C229" i="1"/>
  <c r="B229" i="1"/>
  <c r="A229" i="1"/>
  <c r="M228" i="1"/>
  <c r="L228" i="1"/>
  <c r="K228" i="1"/>
  <c r="J228" i="1"/>
  <c r="I228" i="1"/>
  <c r="C228" i="1"/>
  <c r="B228" i="1"/>
  <c r="A228" i="1"/>
  <c r="M227" i="1"/>
  <c r="L227" i="1"/>
  <c r="K227" i="1"/>
  <c r="J227" i="1"/>
  <c r="I227" i="1"/>
  <c r="C227" i="1"/>
  <c r="B227" i="1"/>
  <c r="A227" i="1"/>
  <c r="M226" i="1"/>
  <c r="L226" i="1"/>
  <c r="K226" i="1"/>
  <c r="J226" i="1"/>
  <c r="I226" i="1"/>
  <c r="C226" i="1"/>
  <c r="B226" i="1"/>
  <c r="A226" i="1"/>
  <c r="M225" i="1"/>
  <c r="L225" i="1"/>
  <c r="K225" i="1"/>
  <c r="J225" i="1"/>
  <c r="I225" i="1"/>
  <c r="C225" i="1"/>
  <c r="B225" i="1"/>
  <c r="A225" i="1"/>
  <c r="M224" i="1"/>
  <c r="L224" i="1"/>
  <c r="K224" i="1"/>
  <c r="J224" i="1"/>
  <c r="I224" i="1"/>
  <c r="C224" i="1"/>
  <c r="B224" i="1"/>
  <c r="A224" i="1"/>
  <c r="M223" i="1"/>
  <c r="L223" i="1"/>
  <c r="K223" i="1"/>
  <c r="J223" i="1"/>
  <c r="I223" i="1"/>
  <c r="C223" i="1"/>
  <c r="B223" i="1"/>
  <c r="A223" i="1"/>
  <c r="M222" i="1"/>
  <c r="L222" i="1"/>
  <c r="K222" i="1"/>
  <c r="J222" i="1"/>
  <c r="I222" i="1"/>
  <c r="C222" i="1"/>
  <c r="B222" i="1"/>
  <c r="A222" i="1"/>
  <c r="M221" i="1"/>
  <c r="L221" i="1"/>
  <c r="K221" i="1"/>
  <c r="J221" i="1"/>
  <c r="I221" i="1"/>
  <c r="C221" i="1"/>
  <c r="B221" i="1"/>
  <c r="A221" i="1"/>
  <c r="M220" i="1"/>
  <c r="L220" i="1"/>
  <c r="K220" i="1"/>
  <c r="J220" i="1"/>
  <c r="I220" i="1"/>
  <c r="C220" i="1"/>
  <c r="B220" i="1"/>
  <c r="A220" i="1"/>
  <c r="M219" i="1"/>
  <c r="L219" i="1"/>
  <c r="K219" i="1"/>
  <c r="J219" i="1"/>
  <c r="I219" i="1"/>
  <c r="C219" i="1"/>
  <c r="B219" i="1"/>
  <c r="A219" i="1"/>
  <c r="M218" i="1"/>
  <c r="L218" i="1"/>
  <c r="K218" i="1"/>
  <c r="J218" i="1"/>
  <c r="I218" i="1"/>
  <c r="C218" i="1"/>
  <c r="B218" i="1"/>
  <c r="A218" i="1"/>
  <c r="M217" i="1"/>
  <c r="L217" i="1"/>
  <c r="K217" i="1"/>
  <c r="J217" i="1"/>
  <c r="I217" i="1"/>
  <c r="C217" i="1"/>
  <c r="B217" i="1"/>
  <c r="A217" i="1"/>
  <c r="M216" i="1"/>
  <c r="L216" i="1"/>
  <c r="K216" i="1"/>
  <c r="J216" i="1"/>
  <c r="I216" i="1"/>
  <c r="C216" i="1"/>
  <c r="B216" i="1"/>
  <c r="A216" i="1"/>
  <c r="M215" i="1"/>
  <c r="L215" i="1"/>
  <c r="K215" i="1"/>
  <c r="J215" i="1"/>
  <c r="I215" i="1"/>
  <c r="C215" i="1"/>
  <c r="B215" i="1"/>
  <c r="A215" i="1"/>
  <c r="M214" i="1"/>
  <c r="L214" i="1"/>
  <c r="K214" i="1"/>
  <c r="J214" i="1"/>
  <c r="I214" i="1"/>
  <c r="C214" i="1"/>
  <c r="B214" i="1"/>
  <c r="A214" i="1"/>
  <c r="M213" i="1"/>
  <c r="L213" i="1"/>
  <c r="K213" i="1"/>
  <c r="J213" i="1"/>
  <c r="I213" i="1"/>
  <c r="C213" i="1"/>
  <c r="B213" i="1"/>
  <c r="A213" i="1"/>
  <c r="M212" i="1"/>
  <c r="L212" i="1"/>
  <c r="K212" i="1"/>
  <c r="J212" i="1"/>
  <c r="I212" i="1"/>
  <c r="C212" i="1"/>
  <c r="B212" i="1"/>
  <c r="A212" i="1"/>
  <c r="M211" i="1"/>
  <c r="L211" i="1"/>
  <c r="K211" i="1"/>
  <c r="J211" i="1"/>
  <c r="I211" i="1"/>
  <c r="C211" i="1"/>
  <c r="B211" i="1"/>
  <c r="A211" i="1"/>
  <c r="M210" i="1"/>
  <c r="L210" i="1"/>
  <c r="K210" i="1"/>
  <c r="J210" i="1"/>
  <c r="I210" i="1"/>
  <c r="C210" i="1"/>
  <c r="B210" i="1"/>
  <c r="A210" i="1"/>
  <c r="M209" i="1"/>
  <c r="L209" i="1"/>
  <c r="K209" i="1"/>
  <c r="J209" i="1"/>
  <c r="I209" i="1"/>
  <c r="C209" i="1"/>
  <c r="B209" i="1"/>
  <c r="A209" i="1"/>
  <c r="M208" i="1"/>
  <c r="L208" i="1"/>
  <c r="K208" i="1"/>
  <c r="J208" i="1"/>
  <c r="I208" i="1"/>
  <c r="C208" i="1"/>
  <c r="B208" i="1"/>
  <c r="A208" i="1"/>
  <c r="M207" i="1"/>
  <c r="L207" i="1"/>
  <c r="K207" i="1"/>
  <c r="J207" i="1"/>
  <c r="I207" i="1"/>
  <c r="C207" i="1"/>
  <c r="B207" i="1"/>
  <c r="A207" i="1"/>
  <c r="M206" i="1"/>
  <c r="L206" i="1"/>
  <c r="K206" i="1"/>
  <c r="J206" i="1"/>
  <c r="I206" i="1"/>
  <c r="C206" i="1"/>
  <c r="B206" i="1"/>
  <c r="A206" i="1"/>
  <c r="M205" i="1"/>
  <c r="L205" i="1"/>
  <c r="K205" i="1"/>
  <c r="J205" i="1"/>
  <c r="I205" i="1"/>
  <c r="C205" i="1"/>
  <c r="B205" i="1"/>
  <c r="A205" i="1"/>
  <c r="M204" i="1"/>
  <c r="L204" i="1"/>
  <c r="K204" i="1"/>
  <c r="J204" i="1"/>
  <c r="I204" i="1"/>
  <c r="C204" i="1"/>
  <c r="B204" i="1"/>
  <c r="A204" i="1"/>
  <c r="M203" i="1"/>
  <c r="L203" i="1"/>
  <c r="K203" i="1"/>
  <c r="J203" i="1"/>
  <c r="I203" i="1"/>
  <c r="C203" i="1"/>
  <c r="B203" i="1"/>
  <c r="A203" i="1"/>
  <c r="M202" i="1"/>
  <c r="L202" i="1"/>
  <c r="K202" i="1"/>
  <c r="J202" i="1"/>
  <c r="I202" i="1"/>
  <c r="C202" i="1"/>
  <c r="B202" i="1"/>
  <c r="A202" i="1"/>
  <c r="M201" i="1"/>
  <c r="L201" i="1"/>
  <c r="K201" i="1"/>
  <c r="J201" i="1"/>
  <c r="I201" i="1"/>
  <c r="C201" i="1"/>
  <c r="B201" i="1"/>
  <c r="A201" i="1"/>
  <c r="M200" i="1"/>
  <c r="L200" i="1"/>
  <c r="K200" i="1"/>
  <c r="J200" i="1"/>
  <c r="I200" i="1"/>
  <c r="C200" i="1"/>
  <c r="B200" i="1"/>
  <c r="A200" i="1"/>
  <c r="M199" i="1"/>
  <c r="L199" i="1"/>
  <c r="K199" i="1"/>
  <c r="J199" i="1"/>
  <c r="I199" i="1"/>
  <c r="C199" i="1"/>
  <c r="B199" i="1"/>
  <c r="A199" i="1"/>
  <c r="M198" i="1"/>
  <c r="L198" i="1"/>
  <c r="K198" i="1"/>
  <c r="J198" i="1"/>
  <c r="I198" i="1"/>
  <c r="C198" i="1"/>
  <c r="B198" i="1"/>
  <c r="A198" i="1"/>
  <c r="M197" i="1"/>
  <c r="L197" i="1"/>
  <c r="K197" i="1"/>
  <c r="J197" i="1"/>
  <c r="I197" i="1"/>
  <c r="C197" i="1"/>
  <c r="B197" i="1"/>
  <c r="A197" i="1"/>
  <c r="M196" i="1"/>
  <c r="L196" i="1"/>
  <c r="K196" i="1"/>
  <c r="J196" i="1"/>
  <c r="I196" i="1"/>
  <c r="C196" i="1"/>
  <c r="B196" i="1"/>
  <c r="A196" i="1"/>
  <c r="M195" i="1"/>
  <c r="L195" i="1"/>
  <c r="K195" i="1"/>
  <c r="J195" i="1"/>
  <c r="I195" i="1"/>
  <c r="C195" i="1"/>
  <c r="B195" i="1"/>
  <c r="A195" i="1"/>
  <c r="M194" i="1"/>
  <c r="L194" i="1"/>
  <c r="K194" i="1"/>
  <c r="J194" i="1"/>
  <c r="I194" i="1"/>
  <c r="C194" i="1"/>
  <c r="B194" i="1"/>
  <c r="A194" i="1"/>
  <c r="M193" i="1"/>
  <c r="L193" i="1"/>
  <c r="K193" i="1"/>
  <c r="J193" i="1"/>
  <c r="I193" i="1"/>
  <c r="C193" i="1"/>
  <c r="B193" i="1"/>
  <c r="A193" i="1"/>
  <c r="M192" i="1"/>
  <c r="L192" i="1"/>
  <c r="K192" i="1"/>
  <c r="J192" i="1"/>
  <c r="I192" i="1"/>
  <c r="C192" i="1"/>
  <c r="B192" i="1"/>
  <c r="A192" i="1"/>
  <c r="M191" i="1"/>
  <c r="L191" i="1"/>
  <c r="K191" i="1"/>
  <c r="J191" i="1"/>
  <c r="I191" i="1"/>
  <c r="C191" i="1"/>
  <c r="B191" i="1"/>
  <c r="A191" i="1"/>
  <c r="M190" i="1"/>
  <c r="L190" i="1"/>
  <c r="K190" i="1"/>
  <c r="J190" i="1"/>
  <c r="I190" i="1"/>
  <c r="C190" i="1"/>
  <c r="B190" i="1"/>
  <c r="A190" i="1"/>
  <c r="M189" i="1"/>
  <c r="L189" i="1"/>
  <c r="K189" i="1"/>
  <c r="J189" i="1"/>
  <c r="I189" i="1"/>
  <c r="C189" i="1"/>
  <c r="B189" i="1"/>
  <c r="A189" i="1"/>
  <c r="M188" i="1"/>
  <c r="L188" i="1"/>
  <c r="K188" i="1"/>
  <c r="J188" i="1"/>
  <c r="I188" i="1"/>
  <c r="C188" i="1"/>
  <c r="B188" i="1"/>
  <c r="A188" i="1"/>
  <c r="M187" i="1"/>
  <c r="L187" i="1"/>
  <c r="K187" i="1"/>
  <c r="J187" i="1"/>
  <c r="I187" i="1"/>
  <c r="C187" i="1"/>
  <c r="B187" i="1"/>
  <c r="A187" i="1"/>
  <c r="M186" i="1"/>
  <c r="L186" i="1"/>
  <c r="K186" i="1"/>
  <c r="J186" i="1"/>
  <c r="I186" i="1"/>
  <c r="C186" i="1"/>
  <c r="B186" i="1"/>
  <c r="A186" i="1"/>
  <c r="M185" i="1"/>
  <c r="L185" i="1"/>
  <c r="K185" i="1"/>
  <c r="J185" i="1"/>
  <c r="I185" i="1"/>
  <c r="C185" i="1"/>
  <c r="B185" i="1"/>
  <c r="A185" i="1"/>
  <c r="M184" i="1"/>
  <c r="L184" i="1"/>
  <c r="K184" i="1"/>
  <c r="J184" i="1"/>
  <c r="I184" i="1"/>
  <c r="C184" i="1"/>
  <c r="B184" i="1"/>
  <c r="A184" i="1"/>
  <c r="M183" i="1"/>
  <c r="L183" i="1"/>
  <c r="K183" i="1"/>
  <c r="J183" i="1"/>
  <c r="I183" i="1"/>
  <c r="C183" i="1"/>
  <c r="B183" i="1"/>
  <c r="A183" i="1"/>
  <c r="M182" i="1"/>
  <c r="L182" i="1"/>
  <c r="K182" i="1"/>
  <c r="J182" i="1"/>
  <c r="I182" i="1"/>
  <c r="C182" i="1"/>
  <c r="B182" i="1"/>
  <c r="A182" i="1"/>
  <c r="M181" i="1"/>
  <c r="L181" i="1"/>
  <c r="K181" i="1"/>
  <c r="J181" i="1"/>
  <c r="I181" i="1"/>
  <c r="C181" i="1"/>
  <c r="B181" i="1"/>
  <c r="A181" i="1"/>
  <c r="M180" i="1"/>
  <c r="L180" i="1"/>
  <c r="K180" i="1"/>
  <c r="J180" i="1"/>
  <c r="I180" i="1"/>
  <c r="C180" i="1"/>
  <c r="B180" i="1"/>
  <c r="A180" i="1"/>
  <c r="M179" i="1"/>
  <c r="L179" i="1"/>
  <c r="K179" i="1"/>
  <c r="J179" i="1"/>
  <c r="I179" i="1"/>
  <c r="C179" i="1"/>
  <c r="B179" i="1"/>
  <c r="A179" i="1"/>
  <c r="M178" i="1"/>
  <c r="L178" i="1"/>
  <c r="K178" i="1"/>
  <c r="J178" i="1"/>
  <c r="I178" i="1"/>
  <c r="C178" i="1"/>
  <c r="B178" i="1"/>
  <c r="A178" i="1"/>
  <c r="M177" i="1"/>
  <c r="L177" i="1"/>
  <c r="K177" i="1"/>
  <c r="J177" i="1"/>
  <c r="I177" i="1"/>
  <c r="C177" i="1"/>
  <c r="B177" i="1"/>
  <c r="A177" i="1"/>
  <c r="M176" i="1"/>
  <c r="L176" i="1"/>
  <c r="K176" i="1"/>
  <c r="J176" i="1"/>
  <c r="I176" i="1"/>
  <c r="C176" i="1"/>
  <c r="B176" i="1"/>
  <c r="A176" i="1"/>
  <c r="M175" i="1"/>
  <c r="L175" i="1"/>
  <c r="K175" i="1"/>
  <c r="J175" i="1"/>
  <c r="I175" i="1"/>
  <c r="C175" i="1"/>
  <c r="B175" i="1"/>
  <c r="A175" i="1"/>
  <c r="M174" i="1"/>
  <c r="L174" i="1"/>
  <c r="K174" i="1"/>
  <c r="J174" i="1"/>
  <c r="I174" i="1"/>
  <c r="C174" i="1"/>
  <c r="B174" i="1"/>
  <c r="A174" i="1"/>
  <c r="M173" i="1"/>
  <c r="L173" i="1"/>
  <c r="K173" i="1"/>
  <c r="J173" i="1"/>
  <c r="I173" i="1"/>
  <c r="C173" i="1"/>
  <c r="B173" i="1"/>
  <c r="A173" i="1"/>
  <c r="M172" i="1"/>
  <c r="L172" i="1"/>
  <c r="K172" i="1"/>
  <c r="J172" i="1"/>
  <c r="I172" i="1"/>
  <c r="C172" i="1"/>
  <c r="B172" i="1"/>
  <c r="A172" i="1"/>
  <c r="M171" i="1"/>
  <c r="L171" i="1"/>
  <c r="K171" i="1"/>
  <c r="J171" i="1"/>
  <c r="I171" i="1"/>
  <c r="C171" i="1"/>
  <c r="B171" i="1"/>
  <c r="A171" i="1"/>
  <c r="M170" i="1"/>
  <c r="L170" i="1"/>
  <c r="K170" i="1"/>
  <c r="J170" i="1"/>
  <c r="I170" i="1"/>
  <c r="C170" i="1"/>
  <c r="B170" i="1"/>
  <c r="A170" i="1"/>
  <c r="M169" i="1"/>
  <c r="L169" i="1"/>
  <c r="K169" i="1"/>
  <c r="J169" i="1"/>
  <c r="I169" i="1"/>
  <c r="C169" i="1"/>
  <c r="B169" i="1"/>
  <c r="A169" i="1"/>
  <c r="M168" i="1"/>
  <c r="L168" i="1"/>
  <c r="K168" i="1"/>
  <c r="J168" i="1"/>
  <c r="I168" i="1"/>
  <c r="C168" i="1"/>
  <c r="B168" i="1"/>
  <c r="A168" i="1"/>
  <c r="M167" i="1"/>
  <c r="L167" i="1"/>
  <c r="K167" i="1"/>
  <c r="J167" i="1"/>
  <c r="I167" i="1"/>
  <c r="C167" i="1"/>
  <c r="B167" i="1"/>
  <c r="A167" i="1"/>
  <c r="M166" i="1"/>
  <c r="L166" i="1"/>
  <c r="K166" i="1"/>
  <c r="J166" i="1"/>
  <c r="I166" i="1"/>
  <c r="C166" i="1"/>
  <c r="B166" i="1"/>
  <c r="A166" i="1"/>
  <c r="M165" i="1"/>
  <c r="L165" i="1"/>
  <c r="K165" i="1"/>
  <c r="J165" i="1"/>
  <c r="I165" i="1"/>
  <c r="C165" i="1"/>
  <c r="B165" i="1"/>
  <c r="A165" i="1"/>
  <c r="M164" i="1"/>
  <c r="L164" i="1"/>
  <c r="K164" i="1"/>
  <c r="J164" i="1"/>
  <c r="I164" i="1"/>
  <c r="C164" i="1"/>
  <c r="B164" i="1"/>
  <c r="A164" i="1"/>
  <c r="M163" i="1"/>
  <c r="L163" i="1"/>
  <c r="K163" i="1"/>
  <c r="J163" i="1"/>
  <c r="I163" i="1"/>
  <c r="C163" i="1"/>
  <c r="B163" i="1"/>
  <c r="A163" i="1"/>
  <c r="M162" i="1"/>
  <c r="L162" i="1"/>
  <c r="K162" i="1"/>
  <c r="J162" i="1"/>
  <c r="I162" i="1"/>
  <c r="C162" i="1"/>
  <c r="B162" i="1"/>
  <c r="A162" i="1"/>
  <c r="M161" i="1"/>
  <c r="L161" i="1"/>
  <c r="K161" i="1"/>
  <c r="J161" i="1"/>
  <c r="I161" i="1"/>
  <c r="C161" i="1"/>
  <c r="B161" i="1"/>
  <c r="A161" i="1"/>
  <c r="M160" i="1"/>
  <c r="L160" i="1"/>
  <c r="K160" i="1"/>
  <c r="J160" i="1"/>
  <c r="I160" i="1"/>
  <c r="C160" i="1"/>
  <c r="B160" i="1"/>
  <c r="A160" i="1"/>
  <c r="M159" i="1"/>
  <c r="L159" i="1"/>
  <c r="K159" i="1"/>
  <c r="J159" i="1"/>
  <c r="I159" i="1"/>
  <c r="C159" i="1"/>
  <c r="B159" i="1"/>
  <c r="A159" i="1"/>
  <c r="M158" i="1"/>
  <c r="L158" i="1"/>
  <c r="K158" i="1"/>
  <c r="J158" i="1"/>
  <c r="I158" i="1"/>
  <c r="C158" i="1"/>
  <c r="B158" i="1"/>
  <c r="A158" i="1"/>
  <c r="M157" i="1"/>
  <c r="L157" i="1"/>
  <c r="K157" i="1"/>
  <c r="J157" i="1"/>
  <c r="I157" i="1"/>
  <c r="C157" i="1"/>
  <c r="B157" i="1"/>
  <c r="A157" i="1"/>
  <c r="M156" i="1"/>
  <c r="L156" i="1"/>
  <c r="K156" i="1"/>
  <c r="J156" i="1"/>
  <c r="I156" i="1"/>
  <c r="C156" i="1"/>
  <c r="B156" i="1"/>
  <c r="A156" i="1"/>
  <c r="M155" i="1"/>
  <c r="L155" i="1"/>
  <c r="K155" i="1"/>
  <c r="J155" i="1"/>
  <c r="I155" i="1"/>
  <c r="C155" i="1"/>
  <c r="B155" i="1"/>
  <c r="A155" i="1"/>
  <c r="M154" i="1"/>
  <c r="L154" i="1"/>
  <c r="K154" i="1"/>
  <c r="J154" i="1"/>
  <c r="I154" i="1"/>
  <c r="C154" i="1"/>
  <c r="B154" i="1"/>
  <c r="A154" i="1"/>
  <c r="M153" i="1"/>
  <c r="L153" i="1"/>
  <c r="K153" i="1"/>
  <c r="J153" i="1"/>
  <c r="I153" i="1"/>
  <c r="C153" i="1"/>
  <c r="B153" i="1"/>
  <c r="A153" i="1"/>
  <c r="M152" i="1"/>
  <c r="L152" i="1"/>
  <c r="K152" i="1"/>
  <c r="J152" i="1"/>
  <c r="I152" i="1"/>
  <c r="C152" i="1"/>
  <c r="B152" i="1"/>
  <c r="A152" i="1"/>
  <c r="M151" i="1"/>
  <c r="L151" i="1"/>
  <c r="K151" i="1"/>
  <c r="J151" i="1"/>
  <c r="I151" i="1"/>
  <c r="C151" i="1"/>
  <c r="B151" i="1"/>
  <c r="A151" i="1"/>
  <c r="M150" i="1"/>
  <c r="L150" i="1"/>
  <c r="K150" i="1"/>
  <c r="J150" i="1"/>
  <c r="I150" i="1"/>
  <c r="C150" i="1"/>
  <c r="B150" i="1"/>
  <c r="A150" i="1"/>
  <c r="M149" i="1"/>
  <c r="L149" i="1"/>
  <c r="K149" i="1"/>
  <c r="J149" i="1"/>
  <c r="I149" i="1"/>
  <c r="C149" i="1"/>
  <c r="B149" i="1"/>
  <c r="A149" i="1"/>
  <c r="M148" i="1"/>
  <c r="L148" i="1"/>
  <c r="K148" i="1"/>
  <c r="J148" i="1"/>
  <c r="I148" i="1"/>
  <c r="C148" i="1"/>
  <c r="B148" i="1"/>
  <c r="A148" i="1"/>
  <c r="M147" i="1"/>
  <c r="L147" i="1"/>
  <c r="K147" i="1"/>
  <c r="J147" i="1"/>
  <c r="I147" i="1"/>
  <c r="C147" i="1"/>
  <c r="B147" i="1"/>
  <c r="A147" i="1"/>
  <c r="M146" i="1"/>
  <c r="L146" i="1"/>
  <c r="K146" i="1"/>
  <c r="J146" i="1"/>
  <c r="I146" i="1"/>
  <c r="C146" i="1"/>
  <c r="B146" i="1"/>
  <c r="A146" i="1"/>
  <c r="M145" i="1"/>
  <c r="L145" i="1"/>
  <c r="K145" i="1"/>
  <c r="J145" i="1"/>
  <c r="I145" i="1"/>
  <c r="C145" i="1"/>
  <c r="B145" i="1"/>
  <c r="A145" i="1"/>
  <c r="M144" i="1"/>
  <c r="L144" i="1"/>
  <c r="K144" i="1"/>
  <c r="J144" i="1"/>
  <c r="I144" i="1"/>
  <c r="C144" i="1"/>
  <c r="B144" i="1"/>
  <c r="A144" i="1"/>
  <c r="M143" i="1"/>
  <c r="L143" i="1"/>
  <c r="K143" i="1"/>
  <c r="J143" i="1"/>
  <c r="I143" i="1"/>
  <c r="C143" i="1"/>
  <c r="B143" i="1"/>
  <c r="A143" i="1"/>
  <c r="M142" i="1"/>
  <c r="L142" i="1"/>
  <c r="K142" i="1"/>
  <c r="J142" i="1"/>
  <c r="I142" i="1"/>
  <c r="C142" i="1"/>
  <c r="B142" i="1"/>
  <c r="A142" i="1"/>
  <c r="M141" i="1"/>
  <c r="L141" i="1"/>
  <c r="K141" i="1"/>
  <c r="J141" i="1"/>
  <c r="I141" i="1"/>
  <c r="C141" i="1"/>
  <c r="B141" i="1"/>
  <c r="A141" i="1"/>
  <c r="M140" i="1"/>
  <c r="L140" i="1"/>
  <c r="K140" i="1"/>
  <c r="J140" i="1"/>
  <c r="I140" i="1"/>
  <c r="C140" i="1"/>
  <c r="B140" i="1"/>
  <c r="A140" i="1"/>
  <c r="M139" i="1"/>
  <c r="L139" i="1"/>
  <c r="K139" i="1"/>
  <c r="J139" i="1"/>
  <c r="I139" i="1"/>
  <c r="C139" i="1"/>
  <c r="B139" i="1"/>
  <c r="A139" i="1"/>
  <c r="M138" i="1"/>
  <c r="L138" i="1"/>
  <c r="K138" i="1"/>
  <c r="J138" i="1"/>
  <c r="I138" i="1"/>
  <c r="C138" i="1"/>
  <c r="B138" i="1"/>
  <c r="A138" i="1"/>
  <c r="M137" i="1"/>
  <c r="L137" i="1"/>
  <c r="K137" i="1"/>
  <c r="J137" i="1"/>
  <c r="I137" i="1"/>
  <c r="C137" i="1"/>
  <c r="B137" i="1"/>
  <c r="A137" i="1"/>
  <c r="M136" i="1"/>
  <c r="L136" i="1"/>
  <c r="K136" i="1"/>
  <c r="J136" i="1"/>
  <c r="I136" i="1"/>
  <c r="C136" i="1"/>
  <c r="B136" i="1"/>
  <c r="A136" i="1"/>
  <c r="M135" i="1"/>
  <c r="L135" i="1"/>
  <c r="K135" i="1"/>
  <c r="J135" i="1"/>
  <c r="I135" i="1"/>
  <c r="C135" i="1"/>
  <c r="B135" i="1"/>
  <c r="A135" i="1"/>
  <c r="M134" i="1"/>
  <c r="L134" i="1"/>
  <c r="K134" i="1"/>
  <c r="J134" i="1"/>
  <c r="I134" i="1"/>
  <c r="C134" i="1"/>
  <c r="B134" i="1"/>
  <c r="A134" i="1"/>
  <c r="M133" i="1"/>
  <c r="L133" i="1"/>
  <c r="K133" i="1"/>
  <c r="J133" i="1"/>
  <c r="I133" i="1"/>
  <c r="C133" i="1"/>
  <c r="B133" i="1"/>
  <c r="A133" i="1"/>
  <c r="M132" i="1"/>
  <c r="L132" i="1"/>
  <c r="K132" i="1"/>
  <c r="J132" i="1"/>
  <c r="I132" i="1"/>
  <c r="C132" i="1"/>
  <c r="B132" i="1"/>
  <c r="A132" i="1"/>
  <c r="M131" i="1"/>
  <c r="L131" i="1"/>
  <c r="K131" i="1"/>
  <c r="J131" i="1"/>
  <c r="I131" i="1"/>
  <c r="C131" i="1"/>
  <c r="B131" i="1"/>
  <c r="A131" i="1"/>
  <c r="M130" i="1"/>
  <c r="L130" i="1"/>
  <c r="K130" i="1"/>
  <c r="J130" i="1"/>
  <c r="I130" i="1"/>
  <c r="C130" i="1"/>
  <c r="B130" i="1"/>
  <c r="A130" i="1"/>
  <c r="M129" i="1"/>
  <c r="L129" i="1"/>
  <c r="K129" i="1"/>
  <c r="J129" i="1"/>
  <c r="I129" i="1"/>
  <c r="C129" i="1"/>
  <c r="B129" i="1"/>
  <c r="A129" i="1"/>
  <c r="M128" i="1"/>
  <c r="L128" i="1"/>
  <c r="K128" i="1"/>
  <c r="J128" i="1"/>
  <c r="I128" i="1"/>
  <c r="C128" i="1"/>
  <c r="B128" i="1"/>
  <c r="A128" i="1"/>
  <c r="M127" i="1"/>
  <c r="L127" i="1"/>
  <c r="K127" i="1"/>
  <c r="J127" i="1"/>
  <c r="I127" i="1"/>
  <c r="C127" i="1"/>
  <c r="B127" i="1"/>
  <c r="A127" i="1"/>
  <c r="M126" i="1"/>
  <c r="L126" i="1"/>
  <c r="K126" i="1"/>
  <c r="J126" i="1"/>
  <c r="I126" i="1"/>
  <c r="C126" i="1"/>
  <c r="B126" i="1"/>
  <c r="A126" i="1"/>
  <c r="M125" i="1"/>
  <c r="L125" i="1"/>
  <c r="K125" i="1"/>
  <c r="J125" i="1"/>
  <c r="I125" i="1"/>
  <c r="C125" i="1"/>
  <c r="B125" i="1"/>
  <c r="A125" i="1"/>
  <c r="M124" i="1"/>
  <c r="L124" i="1"/>
  <c r="K124" i="1"/>
  <c r="J124" i="1"/>
  <c r="I124" i="1"/>
  <c r="C124" i="1"/>
  <c r="B124" i="1"/>
  <c r="A124" i="1"/>
  <c r="M123" i="1"/>
  <c r="L123" i="1"/>
  <c r="K123" i="1"/>
  <c r="J123" i="1"/>
  <c r="I123" i="1"/>
  <c r="C123" i="1"/>
  <c r="B123" i="1"/>
  <c r="A123" i="1"/>
  <c r="M122" i="1"/>
  <c r="L122" i="1"/>
  <c r="K122" i="1"/>
  <c r="J122" i="1"/>
  <c r="I122" i="1"/>
  <c r="C122" i="1"/>
  <c r="B122" i="1"/>
  <c r="A122" i="1"/>
  <c r="M121" i="1"/>
  <c r="L121" i="1"/>
  <c r="K121" i="1"/>
  <c r="J121" i="1"/>
  <c r="I121" i="1"/>
  <c r="C121" i="1"/>
  <c r="B121" i="1"/>
  <c r="A121" i="1"/>
  <c r="M120" i="1"/>
  <c r="L120" i="1"/>
  <c r="K120" i="1"/>
  <c r="J120" i="1"/>
  <c r="I120" i="1"/>
  <c r="C120" i="1"/>
  <c r="B120" i="1"/>
  <c r="A120" i="1"/>
  <c r="M119" i="1"/>
  <c r="L119" i="1"/>
  <c r="K119" i="1"/>
  <c r="J119" i="1"/>
  <c r="I119" i="1"/>
  <c r="C119" i="1"/>
  <c r="B119" i="1"/>
  <c r="A119" i="1"/>
  <c r="M118" i="1"/>
  <c r="L118" i="1"/>
  <c r="K118" i="1"/>
  <c r="J118" i="1"/>
  <c r="I118" i="1"/>
  <c r="C118" i="1"/>
  <c r="B118" i="1"/>
  <c r="A118" i="1"/>
  <c r="M117" i="1"/>
  <c r="L117" i="1"/>
  <c r="K117" i="1"/>
  <c r="J117" i="1"/>
  <c r="I117" i="1"/>
  <c r="C117" i="1"/>
  <c r="B117" i="1"/>
  <c r="A117" i="1"/>
  <c r="M116" i="1"/>
  <c r="L116" i="1"/>
  <c r="K116" i="1"/>
  <c r="J116" i="1"/>
  <c r="I116" i="1"/>
  <c r="C116" i="1"/>
  <c r="B116" i="1"/>
  <c r="A116" i="1"/>
  <c r="M115" i="1"/>
  <c r="L115" i="1"/>
  <c r="K115" i="1"/>
  <c r="J115" i="1"/>
  <c r="I115" i="1"/>
  <c r="C115" i="1"/>
  <c r="B115" i="1"/>
  <c r="A115" i="1"/>
  <c r="M114" i="1"/>
  <c r="L114" i="1"/>
  <c r="K114" i="1"/>
  <c r="J114" i="1"/>
  <c r="I114" i="1"/>
  <c r="C114" i="1"/>
  <c r="B114" i="1"/>
  <c r="A114" i="1"/>
  <c r="M113" i="1"/>
  <c r="L113" i="1"/>
  <c r="K113" i="1"/>
  <c r="J113" i="1"/>
  <c r="I113" i="1"/>
  <c r="C113" i="1"/>
  <c r="B113" i="1"/>
  <c r="A113" i="1"/>
  <c r="M112" i="1"/>
  <c r="L112" i="1"/>
  <c r="K112" i="1"/>
  <c r="J112" i="1"/>
  <c r="I112" i="1"/>
  <c r="C112" i="1"/>
  <c r="B112" i="1"/>
  <c r="A112" i="1"/>
  <c r="M111" i="1"/>
  <c r="L111" i="1"/>
  <c r="K111" i="1"/>
  <c r="J111" i="1"/>
  <c r="I111" i="1"/>
  <c r="C111" i="1"/>
  <c r="B111" i="1"/>
  <c r="A111" i="1"/>
  <c r="M110" i="1"/>
  <c r="L110" i="1"/>
  <c r="K110" i="1"/>
  <c r="J110" i="1"/>
  <c r="I110" i="1"/>
  <c r="C110" i="1"/>
  <c r="B110" i="1"/>
  <c r="A110" i="1"/>
  <c r="M109" i="1"/>
  <c r="L109" i="1"/>
  <c r="K109" i="1"/>
  <c r="J109" i="1"/>
  <c r="I109" i="1"/>
  <c r="C109" i="1"/>
  <c r="B109" i="1"/>
  <c r="A109" i="1"/>
  <c r="M108" i="1"/>
  <c r="L108" i="1"/>
  <c r="K108" i="1"/>
  <c r="J108" i="1"/>
  <c r="I108" i="1"/>
  <c r="C108" i="1"/>
  <c r="B108" i="1"/>
  <c r="A108" i="1"/>
  <c r="M107" i="1"/>
  <c r="L107" i="1"/>
  <c r="K107" i="1"/>
  <c r="J107" i="1"/>
  <c r="I107" i="1"/>
  <c r="C107" i="1"/>
  <c r="B107" i="1"/>
  <c r="A107" i="1"/>
  <c r="M106" i="1"/>
  <c r="L106" i="1"/>
  <c r="K106" i="1"/>
  <c r="J106" i="1"/>
  <c r="I106" i="1"/>
  <c r="C106" i="1"/>
  <c r="B106" i="1"/>
  <c r="A106" i="1"/>
  <c r="M105" i="1"/>
  <c r="L105" i="1"/>
  <c r="K105" i="1"/>
  <c r="J105" i="1"/>
  <c r="I105" i="1"/>
  <c r="C105" i="1"/>
  <c r="B105" i="1"/>
  <c r="A105" i="1"/>
  <c r="M104" i="1"/>
  <c r="L104" i="1"/>
  <c r="K104" i="1"/>
  <c r="J104" i="1"/>
  <c r="I104" i="1"/>
  <c r="C104" i="1"/>
  <c r="B104" i="1"/>
  <c r="A104" i="1"/>
  <c r="M103" i="1"/>
  <c r="L103" i="1"/>
  <c r="K103" i="1"/>
  <c r="J103" i="1"/>
  <c r="I103" i="1"/>
  <c r="C103" i="1"/>
  <c r="B103" i="1"/>
  <c r="A103" i="1"/>
  <c r="M102" i="1"/>
  <c r="L102" i="1"/>
  <c r="K102" i="1"/>
  <c r="J102" i="1"/>
  <c r="I102" i="1"/>
  <c r="C102" i="1"/>
  <c r="B102" i="1"/>
  <c r="A102" i="1"/>
  <c r="M101" i="1"/>
  <c r="L101" i="1"/>
  <c r="K101" i="1"/>
  <c r="J101" i="1"/>
  <c r="I101" i="1"/>
  <c r="C101" i="1"/>
  <c r="B101" i="1"/>
  <c r="A101" i="1"/>
  <c r="M100" i="1"/>
  <c r="L100" i="1"/>
  <c r="K100" i="1"/>
  <c r="J100" i="1"/>
  <c r="I100" i="1"/>
  <c r="C100" i="1"/>
  <c r="B100" i="1"/>
  <c r="A100" i="1"/>
  <c r="M99" i="1"/>
  <c r="L99" i="1"/>
  <c r="K99" i="1"/>
  <c r="J99" i="1"/>
  <c r="I99" i="1"/>
  <c r="C99" i="1"/>
  <c r="B99" i="1"/>
  <c r="A99" i="1"/>
  <c r="M98" i="1"/>
  <c r="L98" i="1"/>
  <c r="K98" i="1"/>
  <c r="J98" i="1"/>
  <c r="I98" i="1"/>
  <c r="C98" i="1"/>
  <c r="B98" i="1"/>
  <c r="A98" i="1"/>
  <c r="M97" i="1"/>
  <c r="L97" i="1"/>
  <c r="K97" i="1"/>
  <c r="J97" i="1"/>
  <c r="I97" i="1"/>
  <c r="C97" i="1"/>
  <c r="B97" i="1"/>
  <c r="A97" i="1"/>
  <c r="M96" i="1"/>
  <c r="L96" i="1"/>
  <c r="K96" i="1"/>
  <c r="J96" i="1"/>
  <c r="I96" i="1"/>
  <c r="C96" i="1"/>
  <c r="B96" i="1"/>
  <c r="A96" i="1"/>
  <c r="M95" i="1"/>
  <c r="L95" i="1"/>
  <c r="K95" i="1"/>
  <c r="J95" i="1"/>
  <c r="I95" i="1"/>
  <c r="C95" i="1"/>
  <c r="B95" i="1"/>
  <c r="A95" i="1"/>
  <c r="M94" i="1"/>
  <c r="L94" i="1"/>
  <c r="K94" i="1"/>
  <c r="J94" i="1"/>
  <c r="I94" i="1"/>
  <c r="C94" i="1"/>
  <c r="B94" i="1"/>
  <c r="A94" i="1"/>
  <c r="M93" i="1"/>
  <c r="L93" i="1"/>
  <c r="K93" i="1"/>
  <c r="J93" i="1"/>
  <c r="I93" i="1"/>
  <c r="C93" i="1"/>
  <c r="B93" i="1"/>
  <c r="A93" i="1"/>
  <c r="M92" i="1"/>
  <c r="L92" i="1"/>
  <c r="K92" i="1"/>
  <c r="J92" i="1"/>
  <c r="I92" i="1"/>
  <c r="C92" i="1"/>
  <c r="B92" i="1"/>
  <c r="A92" i="1"/>
  <c r="M91" i="1"/>
  <c r="L91" i="1"/>
  <c r="K91" i="1"/>
  <c r="J91" i="1"/>
  <c r="I91" i="1"/>
  <c r="C91" i="1"/>
  <c r="B91" i="1"/>
  <c r="A91" i="1"/>
  <c r="M90" i="1"/>
  <c r="L90" i="1"/>
  <c r="K90" i="1"/>
  <c r="J90" i="1"/>
  <c r="I90" i="1"/>
  <c r="C90" i="1"/>
  <c r="B90" i="1"/>
  <c r="A90" i="1"/>
  <c r="M89" i="1"/>
  <c r="L89" i="1"/>
  <c r="K89" i="1"/>
  <c r="J89" i="1"/>
  <c r="I89" i="1"/>
  <c r="C89" i="1"/>
  <c r="B89" i="1"/>
  <c r="A89" i="1"/>
  <c r="M88" i="1"/>
  <c r="L88" i="1"/>
  <c r="K88" i="1"/>
  <c r="J88" i="1"/>
  <c r="I88" i="1"/>
  <c r="C88" i="1"/>
  <c r="B88" i="1"/>
  <c r="A88" i="1"/>
  <c r="M87" i="1"/>
  <c r="L87" i="1"/>
  <c r="K87" i="1"/>
  <c r="J87" i="1"/>
  <c r="I87" i="1"/>
  <c r="C87" i="1"/>
  <c r="B87" i="1"/>
  <c r="A87" i="1"/>
  <c r="M86" i="1"/>
  <c r="L86" i="1"/>
  <c r="K86" i="1"/>
  <c r="J86" i="1"/>
  <c r="I86" i="1"/>
  <c r="C86" i="1"/>
  <c r="B86" i="1"/>
  <c r="A86" i="1"/>
  <c r="M85" i="1"/>
  <c r="L85" i="1"/>
  <c r="K85" i="1"/>
  <c r="J85" i="1"/>
  <c r="I85" i="1"/>
  <c r="C85" i="1"/>
  <c r="B85" i="1"/>
  <c r="A85" i="1"/>
  <c r="M84" i="1"/>
  <c r="L84" i="1"/>
  <c r="K84" i="1"/>
  <c r="J84" i="1"/>
  <c r="I84" i="1"/>
  <c r="C84" i="1"/>
  <c r="B84" i="1"/>
  <c r="A84" i="1"/>
  <c r="M83" i="1"/>
  <c r="L83" i="1"/>
  <c r="K83" i="1"/>
  <c r="J83" i="1"/>
  <c r="I83" i="1"/>
  <c r="C83" i="1"/>
  <c r="B83" i="1"/>
  <c r="A83" i="1"/>
  <c r="M82" i="1"/>
  <c r="L82" i="1"/>
  <c r="K82" i="1"/>
  <c r="J82" i="1"/>
  <c r="I82" i="1"/>
  <c r="C82" i="1"/>
  <c r="B82" i="1"/>
  <c r="A82" i="1"/>
  <c r="M81" i="1"/>
  <c r="L81" i="1"/>
  <c r="K81" i="1"/>
  <c r="J81" i="1"/>
  <c r="I81" i="1"/>
  <c r="C81" i="1"/>
  <c r="B81" i="1"/>
  <c r="A81" i="1"/>
  <c r="M80" i="1"/>
  <c r="L80" i="1"/>
  <c r="K80" i="1"/>
  <c r="J80" i="1"/>
  <c r="I80" i="1"/>
  <c r="C80" i="1"/>
  <c r="B80" i="1"/>
  <c r="A80" i="1"/>
  <c r="M79" i="1"/>
  <c r="L79" i="1"/>
  <c r="K79" i="1"/>
  <c r="J79" i="1"/>
  <c r="I79" i="1"/>
  <c r="C79" i="1"/>
  <c r="B79" i="1"/>
  <c r="A79" i="1"/>
  <c r="M78" i="1"/>
  <c r="L78" i="1"/>
  <c r="K78" i="1"/>
  <c r="J78" i="1"/>
  <c r="I78" i="1"/>
  <c r="C78" i="1"/>
  <c r="B78" i="1"/>
  <c r="A78" i="1"/>
  <c r="M77" i="1"/>
  <c r="L77" i="1"/>
  <c r="K77" i="1"/>
  <c r="J77" i="1"/>
  <c r="I77" i="1"/>
  <c r="C77" i="1"/>
  <c r="B77" i="1"/>
  <c r="A77" i="1"/>
  <c r="M76" i="1"/>
  <c r="L76" i="1"/>
  <c r="K76" i="1"/>
  <c r="J76" i="1"/>
  <c r="I76" i="1"/>
  <c r="C76" i="1"/>
  <c r="B76" i="1"/>
  <c r="A76" i="1"/>
  <c r="M75" i="1"/>
  <c r="L75" i="1"/>
  <c r="K75" i="1"/>
  <c r="J75" i="1"/>
  <c r="I75" i="1"/>
  <c r="C75" i="1"/>
  <c r="B75" i="1"/>
  <c r="A75" i="1"/>
  <c r="M74" i="1"/>
  <c r="L74" i="1"/>
  <c r="K74" i="1"/>
  <c r="J74" i="1"/>
  <c r="I74" i="1"/>
  <c r="C74" i="1"/>
  <c r="B74" i="1"/>
  <c r="A74" i="1"/>
  <c r="M73" i="1"/>
  <c r="L73" i="1"/>
  <c r="K73" i="1"/>
  <c r="J73" i="1"/>
  <c r="I73" i="1"/>
  <c r="C73" i="1"/>
  <c r="B73" i="1"/>
  <c r="A73" i="1"/>
  <c r="M72" i="1"/>
  <c r="L72" i="1"/>
  <c r="K72" i="1"/>
  <c r="J72" i="1"/>
  <c r="I72" i="1"/>
  <c r="C72" i="1"/>
  <c r="B72" i="1"/>
  <c r="A72" i="1"/>
  <c r="M71" i="1"/>
  <c r="L71" i="1"/>
  <c r="K71" i="1"/>
  <c r="J71" i="1"/>
  <c r="I71" i="1"/>
  <c r="C71" i="1"/>
  <c r="B71" i="1"/>
  <c r="A71" i="1"/>
  <c r="M70" i="1"/>
  <c r="L70" i="1"/>
  <c r="K70" i="1"/>
  <c r="J70" i="1"/>
  <c r="I70" i="1"/>
  <c r="C70" i="1"/>
  <c r="B70" i="1"/>
  <c r="A70" i="1"/>
  <c r="M69" i="1"/>
  <c r="L69" i="1"/>
  <c r="K69" i="1"/>
  <c r="J69" i="1"/>
  <c r="I69" i="1"/>
  <c r="C69" i="1"/>
  <c r="B69" i="1"/>
  <c r="A69" i="1"/>
  <c r="M68" i="1"/>
  <c r="L68" i="1"/>
  <c r="K68" i="1"/>
  <c r="J68" i="1"/>
  <c r="I68" i="1"/>
  <c r="C68" i="1"/>
  <c r="B68" i="1"/>
  <c r="A68" i="1"/>
  <c r="M67" i="1"/>
  <c r="L67" i="1"/>
  <c r="K67" i="1"/>
  <c r="J67" i="1"/>
  <c r="I67" i="1"/>
  <c r="C67" i="1"/>
  <c r="B67" i="1"/>
  <c r="A67" i="1"/>
  <c r="M66" i="1"/>
  <c r="L66" i="1"/>
  <c r="K66" i="1"/>
  <c r="J66" i="1"/>
  <c r="I66" i="1"/>
  <c r="C66" i="1"/>
  <c r="B66" i="1"/>
  <c r="A66" i="1"/>
  <c r="M65" i="1"/>
  <c r="L65" i="1"/>
  <c r="K65" i="1"/>
  <c r="J65" i="1"/>
  <c r="I65" i="1"/>
  <c r="C65" i="1"/>
  <c r="B65" i="1"/>
  <c r="A65" i="1"/>
  <c r="M64" i="1"/>
  <c r="L64" i="1"/>
  <c r="K64" i="1"/>
  <c r="J64" i="1"/>
  <c r="I64" i="1"/>
  <c r="C64" i="1"/>
  <c r="B64" i="1"/>
  <c r="A64" i="1"/>
  <c r="M63" i="1"/>
  <c r="L63" i="1"/>
  <c r="K63" i="1"/>
  <c r="J63" i="1"/>
  <c r="I63" i="1"/>
  <c r="C63" i="1"/>
  <c r="B63" i="1"/>
  <c r="A63" i="1"/>
  <c r="M62" i="1"/>
  <c r="L62" i="1"/>
  <c r="K62" i="1"/>
  <c r="J62" i="1"/>
  <c r="I62" i="1"/>
  <c r="C62" i="1"/>
  <c r="B62" i="1"/>
  <c r="A62" i="1"/>
  <c r="M61" i="1"/>
  <c r="L61" i="1"/>
  <c r="K61" i="1"/>
  <c r="J61" i="1"/>
  <c r="I61" i="1"/>
  <c r="C61" i="1"/>
  <c r="B61" i="1"/>
  <c r="A61" i="1"/>
  <c r="M60" i="1"/>
  <c r="L60" i="1"/>
  <c r="K60" i="1"/>
  <c r="J60" i="1"/>
  <c r="I60" i="1"/>
  <c r="C60" i="1"/>
  <c r="B60" i="1"/>
  <c r="A60" i="1"/>
  <c r="M59" i="1"/>
  <c r="L59" i="1"/>
  <c r="K59" i="1"/>
  <c r="J59" i="1"/>
  <c r="I59" i="1"/>
  <c r="C59" i="1"/>
  <c r="B59" i="1"/>
  <c r="A59" i="1"/>
  <c r="M58" i="1"/>
  <c r="L58" i="1"/>
  <c r="K58" i="1"/>
  <c r="J58" i="1"/>
  <c r="I58" i="1"/>
  <c r="C58" i="1"/>
  <c r="B58" i="1"/>
  <c r="A58" i="1"/>
  <c r="M57" i="1"/>
  <c r="L57" i="1"/>
  <c r="K57" i="1"/>
  <c r="J57" i="1"/>
  <c r="I57" i="1"/>
  <c r="C57" i="1"/>
  <c r="B57" i="1"/>
  <c r="A57" i="1"/>
  <c r="M56" i="1"/>
  <c r="L56" i="1"/>
  <c r="K56" i="1"/>
  <c r="J56" i="1"/>
  <c r="I56" i="1"/>
  <c r="C56" i="1"/>
  <c r="B56" i="1"/>
  <c r="A56" i="1"/>
  <c r="M55" i="1"/>
  <c r="L55" i="1"/>
  <c r="K55" i="1"/>
  <c r="J55" i="1"/>
  <c r="I55" i="1"/>
  <c r="C55" i="1"/>
  <c r="B55" i="1"/>
  <c r="A55" i="1"/>
  <c r="M54" i="1"/>
  <c r="L54" i="1"/>
  <c r="K54" i="1"/>
  <c r="J54" i="1"/>
  <c r="I54" i="1"/>
  <c r="C54" i="1"/>
  <c r="B54" i="1"/>
  <c r="A54" i="1"/>
  <c r="M53" i="1"/>
  <c r="L53" i="1"/>
  <c r="K53" i="1"/>
  <c r="J53" i="1"/>
  <c r="I53" i="1"/>
  <c r="C53" i="1"/>
  <c r="B53" i="1"/>
  <c r="A53" i="1"/>
  <c r="M52" i="1"/>
  <c r="L52" i="1"/>
  <c r="K52" i="1"/>
  <c r="J52" i="1"/>
  <c r="I52" i="1"/>
  <c r="C52" i="1"/>
  <c r="B52" i="1"/>
  <c r="A52" i="1"/>
  <c r="M51" i="1"/>
  <c r="L51" i="1"/>
  <c r="K51" i="1"/>
  <c r="J51" i="1"/>
  <c r="I51" i="1"/>
  <c r="C51" i="1"/>
  <c r="B51" i="1"/>
  <c r="A51" i="1"/>
  <c r="M50" i="1"/>
  <c r="L50" i="1"/>
  <c r="K50" i="1"/>
  <c r="J50" i="1"/>
  <c r="I50" i="1"/>
  <c r="C50" i="1"/>
  <c r="B50" i="1"/>
  <c r="A50" i="1"/>
  <c r="M49" i="1"/>
  <c r="L49" i="1"/>
  <c r="K49" i="1"/>
  <c r="J49" i="1"/>
  <c r="I49" i="1"/>
  <c r="C49" i="1"/>
  <c r="B49" i="1"/>
  <c r="A49" i="1"/>
  <c r="M48" i="1"/>
  <c r="L48" i="1"/>
  <c r="K48" i="1"/>
  <c r="J48" i="1"/>
  <c r="I48" i="1"/>
  <c r="C48" i="1"/>
  <c r="B48" i="1"/>
  <c r="A48" i="1"/>
  <c r="M47" i="1"/>
  <c r="L47" i="1"/>
  <c r="K47" i="1"/>
  <c r="J47" i="1"/>
  <c r="I47" i="1"/>
  <c r="C47" i="1"/>
  <c r="B47" i="1"/>
  <c r="A47" i="1"/>
  <c r="M46" i="1"/>
  <c r="L46" i="1"/>
  <c r="K46" i="1"/>
  <c r="J46" i="1"/>
  <c r="I46" i="1"/>
  <c r="C46" i="1"/>
  <c r="B46" i="1"/>
  <c r="A46" i="1"/>
  <c r="M45" i="1"/>
  <c r="L45" i="1"/>
  <c r="K45" i="1"/>
  <c r="J45" i="1"/>
  <c r="I45" i="1"/>
  <c r="C45" i="1"/>
  <c r="B45" i="1"/>
  <c r="A45" i="1"/>
  <c r="M44" i="1"/>
  <c r="L44" i="1"/>
  <c r="K44" i="1"/>
  <c r="J44" i="1"/>
  <c r="I44" i="1"/>
  <c r="C44" i="1"/>
  <c r="B44" i="1"/>
  <c r="A44" i="1"/>
  <c r="M43" i="1"/>
  <c r="L43" i="1"/>
  <c r="K43" i="1"/>
  <c r="J43" i="1"/>
  <c r="I43" i="1"/>
  <c r="C43" i="1"/>
  <c r="B43" i="1"/>
  <c r="A43" i="1"/>
  <c r="M42" i="1"/>
  <c r="L42" i="1"/>
  <c r="K42" i="1"/>
  <c r="J42" i="1"/>
  <c r="I42" i="1"/>
  <c r="C42" i="1"/>
  <c r="B42" i="1"/>
  <c r="A42" i="1"/>
  <c r="M41" i="1"/>
  <c r="L41" i="1"/>
  <c r="K41" i="1"/>
  <c r="J41" i="1"/>
  <c r="I41" i="1"/>
  <c r="C41" i="1"/>
  <c r="B41" i="1"/>
  <c r="A41" i="1"/>
  <c r="M40" i="1"/>
  <c r="L40" i="1"/>
  <c r="K40" i="1"/>
  <c r="J40" i="1"/>
  <c r="I40" i="1"/>
  <c r="C40" i="1"/>
  <c r="B40" i="1"/>
  <c r="A40" i="1"/>
  <c r="M39" i="1"/>
  <c r="L39" i="1"/>
  <c r="K39" i="1"/>
  <c r="J39" i="1"/>
  <c r="I39" i="1"/>
  <c r="C39" i="1"/>
  <c r="B39" i="1"/>
  <c r="A39" i="1"/>
  <c r="M38" i="1"/>
  <c r="L38" i="1"/>
  <c r="K38" i="1"/>
  <c r="J38" i="1"/>
  <c r="I38" i="1"/>
  <c r="C38" i="1"/>
  <c r="B38" i="1"/>
  <c r="A38" i="1"/>
  <c r="M37" i="1"/>
  <c r="L37" i="1"/>
  <c r="K37" i="1"/>
  <c r="J37" i="1"/>
  <c r="I37" i="1"/>
  <c r="C37" i="1"/>
  <c r="B37" i="1"/>
  <c r="A37" i="1"/>
  <c r="M36" i="1"/>
  <c r="L36" i="1"/>
  <c r="K36" i="1"/>
  <c r="J36" i="1"/>
  <c r="I36" i="1"/>
  <c r="C36" i="1"/>
  <c r="B36" i="1"/>
  <c r="A36" i="1"/>
  <c r="M35" i="1"/>
  <c r="L35" i="1"/>
  <c r="K35" i="1"/>
  <c r="J35" i="1"/>
  <c r="I35" i="1"/>
  <c r="C35" i="1"/>
  <c r="B35" i="1"/>
  <c r="A35" i="1"/>
  <c r="M34" i="1"/>
  <c r="L34" i="1"/>
  <c r="K34" i="1"/>
  <c r="J34" i="1"/>
  <c r="I34" i="1"/>
  <c r="C34" i="1"/>
  <c r="B34" i="1"/>
  <c r="A34" i="1"/>
  <c r="M33" i="1"/>
  <c r="L33" i="1"/>
  <c r="K33" i="1"/>
  <c r="J33" i="1"/>
  <c r="I33" i="1"/>
  <c r="C33" i="1"/>
  <c r="B33" i="1"/>
  <c r="A33" i="1"/>
  <c r="M32" i="1"/>
  <c r="L32" i="1"/>
  <c r="K32" i="1"/>
  <c r="J32" i="1"/>
  <c r="I32" i="1"/>
  <c r="C32" i="1"/>
  <c r="B32" i="1"/>
  <c r="A32" i="1"/>
  <c r="M31" i="1"/>
  <c r="L31" i="1"/>
  <c r="K31" i="1"/>
  <c r="J31" i="1"/>
  <c r="I31" i="1"/>
  <c r="C31" i="1"/>
  <c r="B31" i="1"/>
  <c r="A31" i="1"/>
  <c r="M30" i="1"/>
  <c r="L30" i="1"/>
  <c r="K30" i="1"/>
  <c r="J30" i="1"/>
  <c r="I30" i="1"/>
  <c r="C30" i="1"/>
  <c r="B30" i="1"/>
  <c r="A30" i="1"/>
  <c r="M29" i="1"/>
  <c r="L29" i="1"/>
  <c r="K29" i="1"/>
  <c r="J29" i="1"/>
  <c r="I29" i="1"/>
  <c r="C29" i="1"/>
  <c r="B29" i="1"/>
  <c r="A29" i="1"/>
  <c r="M28" i="1"/>
  <c r="L28" i="1"/>
  <c r="K28" i="1"/>
  <c r="J28" i="1"/>
  <c r="I28" i="1"/>
  <c r="C28" i="1"/>
  <c r="B28" i="1"/>
  <c r="A28" i="1"/>
  <c r="M27" i="1"/>
  <c r="L27" i="1"/>
  <c r="K27" i="1"/>
  <c r="J27" i="1"/>
  <c r="I27" i="1"/>
  <c r="C27" i="1"/>
  <c r="B27" i="1"/>
  <c r="A27" i="1"/>
  <c r="M26" i="1"/>
  <c r="L26" i="1"/>
  <c r="K26" i="1"/>
  <c r="J26" i="1"/>
  <c r="I26" i="1"/>
  <c r="C26" i="1"/>
  <c r="B26" i="1"/>
  <c r="A26" i="1"/>
  <c r="M25" i="1"/>
  <c r="L25" i="1"/>
  <c r="K25" i="1"/>
  <c r="J25" i="1"/>
  <c r="I25" i="1"/>
  <c r="C25" i="1"/>
  <c r="B25" i="1"/>
  <c r="A25" i="1"/>
  <c r="M24" i="1"/>
  <c r="L24" i="1"/>
  <c r="K24" i="1"/>
  <c r="J24" i="1"/>
  <c r="I24" i="1"/>
  <c r="C24" i="1"/>
  <c r="B24" i="1"/>
  <c r="A24" i="1"/>
  <c r="M23" i="1"/>
  <c r="L23" i="1"/>
  <c r="K23" i="1"/>
  <c r="J23" i="1"/>
  <c r="I23" i="1"/>
  <c r="C23" i="1"/>
  <c r="B23" i="1"/>
  <c r="A23" i="1"/>
  <c r="M22" i="1"/>
  <c r="L22" i="1"/>
  <c r="K22" i="1"/>
  <c r="J22" i="1"/>
  <c r="I22" i="1"/>
  <c r="C22" i="1"/>
  <c r="B22" i="1"/>
  <c r="A22" i="1"/>
  <c r="M21" i="1"/>
  <c r="L21" i="1"/>
  <c r="K21" i="1"/>
  <c r="J21" i="1"/>
  <c r="I21" i="1"/>
  <c r="C21" i="1"/>
  <c r="B21" i="1"/>
  <c r="A21" i="1"/>
  <c r="M20" i="1"/>
  <c r="L20" i="1"/>
  <c r="K20" i="1"/>
  <c r="J20" i="1"/>
  <c r="I20" i="1"/>
  <c r="C20" i="1"/>
  <c r="B20" i="1"/>
  <c r="A20" i="1"/>
  <c r="M19" i="1"/>
  <c r="L19" i="1"/>
  <c r="K19" i="1"/>
  <c r="J19" i="1"/>
  <c r="I19" i="1"/>
  <c r="C19" i="1"/>
  <c r="B19" i="1"/>
  <c r="A19" i="1"/>
  <c r="M18" i="1"/>
  <c r="L18" i="1"/>
  <c r="K18" i="1"/>
  <c r="J18" i="1"/>
  <c r="I18" i="1"/>
  <c r="C18" i="1"/>
  <c r="B18" i="1"/>
  <c r="A18" i="1"/>
  <c r="M17" i="1"/>
  <c r="L17" i="1"/>
  <c r="K17" i="1"/>
  <c r="J17" i="1"/>
  <c r="I17" i="1"/>
  <c r="C17" i="1"/>
  <c r="B17" i="1"/>
  <c r="A17" i="1"/>
  <c r="M16" i="1"/>
  <c r="L16" i="1"/>
  <c r="K16" i="1"/>
  <c r="J16" i="1"/>
  <c r="I16" i="1"/>
  <c r="C16" i="1"/>
  <c r="B16" i="1"/>
  <c r="A16" i="1"/>
  <c r="M15" i="1"/>
  <c r="L15" i="1"/>
  <c r="K15" i="1"/>
  <c r="J15" i="1"/>
  <c r="I15" i="1"/>
  <c r="C15" i="1"/>
  <c r="B15" i="1"/>
  <c r="A15" i="1"/>
  <c r="M14" i="1"/>
  <c r="L14" i="1"/>
  <c r="K14" i="1"/>
  <c r="J14" i="1"/>
  <c r="I14" i="1"/>
  <c r="C14" i="1"/>
  <c r="B14" i="1"/>
  <c r="A14" i="1"/>
  <c r="M13" i="1"/>
  <c r="L13" i="1"/>
  <c r="K13" i="1"/>
  <c r="J13" i="1"/>
  <c r="I13" i="1"/>
  <c r="C13" i="1"/>
  <c r="B13" i="1"/>
  <c r="A13" i="1"/>
  <c r="M12" i="1"/>
  <c r="L12" i="1"/>
  <c r="K12" i="1"/>
  <c r="J12" i="1"/>
  <c r="I12" i="1"/>
  <c r="C12" i="1"/>
  <c r="B12" i="1"/>
  <c r="A12" i="1"/>
  <c r="M11" i="1"/>
  <c r="L11" i="1"/>
  <c r="K11" i="1"/>
  <c r="J11" i="1"/>
  <c r="I11" i="1"/>
  <c r="C11" i="1"/>
  <c r="B11" i="1"/>
  <c r="A11" i="1"/>
  <c r="M10" i="1"/>
  <c r="L10" i="1"/>
  <c r="K10" i="1"/>
  <c r="J10" i="1"/>
  <c r="I10" i="1"/>
  <c r="C10" i="1"/>
  <c r="B10" i="1"/>
  <c r="A10" i="1"/>
  <c r="M9" i="1"/>
  <c r="L9" i="1"/>
  <c r="K9" i="1"/>
  <c r="J9" i="1"/>
  <c r="I9" i="1"/>
  <c r="C9" i="1"/>
  <c r="B9" i="1"/>
  <c r="A9" i="1"/>
  <c r="M8" i="1"/>
  <c r="L8" i="1"/>
  <c r="K8" i="1"/>
  <c r="J8" i="1"/>
  <c r="I8" i="1"/>
  <c r="C8" i="1"/>
  <c r="B8" i="1"/>
  <c r="A8" i="1"/>
  <c r="M7" i="1"/>
  <c r="L7" i="1"/>
  <c r="K7" i="1"/>
  <c r="J7" i="1"/>
  <c r="I7" i="1"/>
  <c r="C7" i="1"/>
  <c r="B7" i="1"/>
  <c r="A7" i="1"/>
  <c r="M6" i="1"/>
  <c r="L6" i="1"/>
  <c r="K6" i="1"/>
  <c r="J6" i="1"/>
  <c r="I6" i="1"/>
  <c r="C6" i="1"/>
  <c r="B6" i="1"/>
  <c r="A6" i="1"/>
  <c r="M5" i="1"/>
  <c r="L5" i="1"/>
  <c r="K5" i="1"/>
  <c r="J5" i="1"/>
  <c r="I5" i="1"/>
  <c r="C5" i="1"/>
  <c r="B5" i="1"/>
  <c r="A5" i="1"/>
  <c r="M4" i="1"/>
  <c r="L4" i="1"/>
  <c r="K4" i="1"/>
  <c r="J4" i="1"/>
  <c r="I4" i="1"/>
  <c r="C4" i="1"/>
  <c r="B4" i="1"/>
  <c r="A4" i="1"/>
  <c r="M3" i="1"/>
  <c r="L3" i="1"/>
  <c r="K3" i="1"/>
  <c r="J3" i="1"/>
  <c r="I3" i="1"/>
  <c r="C3" i="1"/>
  <c r="B3" i="1"/>
  <c r="A3" i="1"/>
  <c r="M2" i="1"/>
  <c r="L2" i="1"/>
  <c r="K2" i="1"/>
  <c r="J2" i="1"/>
  <c r="I2" i="1"/>
  <c r="C2" i="1"/>
  <c r="B2" i="1"/>
  <c r="A2" i="1"/>
</calcChain>
</file>

<file path=xl/sharedStrings.xml><?xml version="1.0" encoding="utf-8"?>
<sst xmlns="http://schemas.openxmlformats.org/spreadsheetml/2006/main" count="1298" uniqueCount="193">
  <si>
    <t>Farm ID</t>
  </si>
  <si>
    <t>InspectorID</t>
  </si>
  <si>
    <t>Village/Epiunit code</t>
  </si>
  <si>
    <t>Entered by</t>
  </si>
  <si>
    <t>Year</t>
  </si>
  <si>
    <t>Month</t>
  </si>
  <si>
    <t>Day</t>
  </si>
  <si>
    <t>Cattle</t>
  </si>
  <si>
    <t>Sheep</t>
  </si>
  <si>
    <t>Goats</t>
  </si>
  <si>
    <t>Pigs</t>
  </si>
  <si>
    <t>W Buffalo</t>
  </si>
  <si>
    <t>Cattle clin exam</t>
  </si>
  <si>
    <t>Cattle clin pos FMD</t>
  </si>
  <si>
    <t>Cattle clin pos LSD</t>
  </si>
  <si>
    <t>Sheep clin exam</t>
  </si>
  <si>
    <t>Sheep clin pos FMD</t>
  </si>
  <si>
    <t>Sheep clin pos SGP</t>
  </si>
  <si>
    <t>Sheep clin pos PPR</t>
  </si>
  <si>
    <t>Goats clin exam</t>
  </si>
  <si>
    <t>Goats clin pos FMD</t>
  </si>
  <si>
    <t>Goats clin pos SGP</t>
  </si>
  <si>
    <t>Goats clin pos PPR</t>
  </si>
  <si>
    <t>Buffalo clin exam</t>
  </si>
  <si>
    <t>Buffalo clin pos FMD</t>
  </si>
  <si>
    <t>Buffalo clin pos LSD</t>
  </si>
  <si>
    <t>Cattle sero pos FMD</t>
  </si>
  <si>
    <t>Cattle pos LSD</t>
  </si>
  <si>
    <t>Sheep smpl</t>
  </si>
  <si>
    <t>Sheep sero pos FMD</t>
  </si>
  <si>
    <t>Sheep test pos SGP</t>
  </si>
  <si>
    <t>Sheep sero pos PPR</t>
  </si>
  <si>
    <t>Goats smpl</t>
  </si>
  <si>
    <t>Goats sero pos FMD</t>
  </si>
  <si>
    <t>Goats test pos SGP</t>
  </si>
  <si>
    <t>Goat sero pos PPR</t>
  </si>
  <si>
    <t>Pigs smpl</t>
  </si>
  <si>
    <t>Pigs sero pos FMD</t>
  </si>
  <si>
    <t>Buffalo smpl</t>
  </si>
  <si>
    <t>Buffalo sero pos FMD</t>
  </si>
  <si>
    <t>Buffalo test pos LSD</t>
  </si>
  <si>
    <t>Wild smpl</t>
  </si>
  <si>
    <t>Wild sero pos FMD</t>
  </si>
  <si>
    <t>aa</t>
  </si>
  <si>
    <t>KANADAS</t>
  </si>
  <si>
    <t>MESIMVRIA</t>
  </si>
  <si>
    <t>AMFITRITI</t>
  </si>
  <si>
    <t>DIDYMOTEICHO</t>
  </si>
  <si>
    <t>LEPROKARIA</t>
  </si>
  <si>
    <t>SIKORACHI</t>
  </si>
  <si>
    <t>GERIKO</t>
  </si>
  <si>
    <t>ANTHEIA</t>
  </si>
  <si>
    <t>MESTI</t>
  </si>
  <si>
    <t>KOMAROS</t>
  </si>
  <si>
    <t>AISIMI</t>
  </si>
  <si>
    <t>AVRA</t>
  </si>
  <si>
    <t>ARISTEINO</t>
  </si>
  <si>
    <t>ALEXANDROUPOLI</t>
  </si>
  <si>
    <t>APALOS</t>
  </si>
  <si>
    <t>DIKELA</t>
  </si>
  <si>
    <t>PLAKA</t>
  </si>
  <si>
    <t>NIPSA</t>
  </si>
  <si>
    <t>TRIFYLLI</t>
  </si>
  <si>
    <t>MONASTIRAKI</t>
  </si>
  <si>
    <t>FERES</t>
  </si>
  <si>
    <t>LOUTRA</t>
  </si>
  <si>
    <t>DORISKOS</t>
  </si>
  <si>
    <t>PEPLOS</t>
  </si>
  <si>
    <t>ARDANIO</t>
  </si>
  <si>
    <t>SIDIRO</t>
  </si>
  <si>
    <t>LIKOFI</t>
  </si>
  <si>
    <t>DADIA</t>
  </si>
  <si>
    <t>LAVARA</t>
  </si>
  <si>
    <t>SIDIROCHORI</t>
  </si>
  <si>
    <t>ROUSA</t>
  </si>
  <si>
    <t>MEGALO DEREIO</t>
  </si>
  <si>
    <t>AGRIANI</t>
  </si>
  <si>
    <t>AGIA MARINA</t>
  </si>
  <si>
    <t>ANO MIKRAKIO</t>
  </si>
  <si>
    <t>GONIKO</t>
  </si>
  <si>
    <t>MESIMERI</t>
  </si>
  <si>
    <t>URANIA</t>
  </si>
  <si>
    <t>PETROLOFOS</t>
  </si>
  <si>
    <t>CHALDINI</t>
  </si>
  <si>
    <t>FILE MAHALA</t>
  </si>
  <si>
    <t>ASIMENIO</t>
  </si>
  <si>
    <t>MANI</t>
  </si>
  <si>
    <t>SITARIA</t>
  </si>
  <si>
    <t>ISAAKIO</t>
  </si>
  <si>
    <t>KIANI</t>
  </si>
  <si>
    <t>THYREA</t>
  </si>
  <si>
    <t>ASPRONERI</t>
  </si>
  <si>
    <t>KOMARA</t>
  </si>
  <si>
    <t>LEPTI</t>
  </si>
  <si>
    <t>VALTOS</t>
  </si>
  <si>
    <t>KASTANIES</t>
  </si>
  <si>
    <t>NEA VISSA</t>
  </si>
  <si>
    <t>RIZIA</t>
  </si>
  <si>
    <t>PIRGOS</t>
  </si>
  <si>
    <t>HANDRAS</t>
  </si>
  <si>
    <t>ORESTIADA</t>
  </si>
  <si>
    <t>SAKKOS</t>
  </si>
  <si>
    <t>NEOCHORI</t>
  </si>
  <si>
    <t>KAVILI</t>
  </si>
  <si>
    <t>STERNA</t>
  </si>
  <si>
    <t>AMOVOUNO</t>
  </si>
  <si>
    <t>THOURIO</t>
  </si>
  <si>
    <t>ARZOS</t>
  </si>
  <si>
    <t>ELIA</t>
  </si>
  <si>
    <t>PLATI</t>
  </si>
  <si>
    <t>SITOCHORI</t>
  </si>
  <si>
    <t>PALIOURI</t>
  </si>
  <si>
    <t>PITHIO</t>
  </si>
  <si>
    <t>METAXADES</t>
  </si>
  <si>
    <t>CHIONADES</t>
  </si>
  <si>
    <t>ELINOCHORI</t>
  </si>
  <si>
    <t>PRAGI</t>
  </si>
  <si>
    <t>AMORIO</t>
  </si>
  <si>
    <t>AMPELAKIA</t>
  </si>
  <si>
    <t>FILAKIO</t>
  </si>
  <si>
    <t>KERAMOS</t>
  </si>
  <si>
    <t>SOUFLI</t>
  </si>
  <si>
    <t>KISSARIO</t>
  </si>
  <si>
    <t>KORNOFOLIA</t>
  </si>
  <si>
    <t>LIRA</t>
  </si>
  <si>
    <t>MIKRO DEREIO</t>
  </si>
  <si>
    <t>TICHERO</t>
  </si>
  <si>
    <t>FILAKTO</t>
  </si>
  <si>
    <t>GIANNOULI</t>
  </si>
  <si>
    <t>POROS</t>
  </si>
  <si>
    <t>PILEA</t>
  </si>
  <si>
    <t>MELIA</t>
  </si>
  <si>
    <t>PYLAIA</t>
  </si>
  <si>
    <t>ITEA</t>
  </si>
  <si>
    <t>KOUFONOUNO</t>
  </si>
  <si>
    <t>LEPTOKARIA</t>
  </si>
  <si>
    <t>AVANDAS</t>
  </si>
  <si>
    <t>HILI</t>
  </si>
  <si>
    <t>PERAMA</t>
  </si>
  <si>
    <t>POIMENIKO</t>
  </si>
  <si>
    <t>EVGENIKO</t>
  </si>
  <si>
    <t>SAVRA</t>
  </si>
  <si>
    <t>PETRADES</t>
  </si>
  <si>
    <t>VRISIKA</t>
  </si>
  <si>
    <t>KAROTI</t>
  </si>
  <si>
    <t>ASVESTADES</t>
  </si>
  <si>
    <t>LAGOS</t>
  </si>
  <si>
    <t>DOXA</t>
  </si>
  <si>
    <t>GIATRADES</t>
  </si>
  <si>
    <t>POLIA</t>
  </si>
  <si>
    <t>KOUFOVOUNO</t>
  </si>
  <si>
    <t>SOFIKO</t>
  </si>
  <si>
    <t>CHIMONIO</t>
  </si>
  <si>
    <t>ELAFOCHORI</t>
  </si>
  <si>
    <t>VRISI</t>
  </si>
  <si>
    <t>MIKRI DOKSIPARA</t>
  </si>
  <si>
    <t>MEGALI DOKSIPARA</t>
  </si>
  <si>
    <t>ZONI</t>
  </si>
  <si>
    <t>KIPRINOS</t>
  </si>
  <si>
    <t>SPILAIO</t>
  </si>
  <si>
    <t>PENTALOFOS</t>
  </si>
  <si>
    <t>ORMENIO</t>
  </si>
  <si>
    <t>DIKAIA</t>
  </si>
  <si>
    <t>PROTOKLISI</t>
  </si>
  <si>
    <t>MAVROKLISI</t>
  </si>
  <si>
    <t>KORYMVOS</t>
  </si>
  <si>
    <t>PROVATONAS</t>
  </si>
  <si>
    <t>MANDRA</t>
  </si>
  <si>
    <t>LEFKIMI</t>
  </si>
  <si>
    <t>LAGINA</t>
  </si>
  <si>
    <t>KATO MIKRAKIO</t>
  </si>
  <si>
    <t>GEMISTI</t>
  </si>
  <si>
    <t>KAVISOS</t>
  </si>
  <si>
    <t>KIPOI</t>
  </si>
  <si>
    <t>MAISTROS</t>
  </si>
  <si>
    <t>DORIKO</t>
  </si>
  <si>
    <t>AETOCHORI</t>
  </si>
  <si>
    <t>MAKRI</t>
  </si>
  <si>
    <t>KIRKI</t>
  </si>
  <si>
    <t>ATARNI</t>
  </si>
  <si>
    <t>ANTHIA</t>
  </si>
  <si>
    <t>AGNANTIA</t>
  </si>
  <si>
    <t>PALAGIA</t>
  </si>
  <si>
    <t>KRIONERI</t>
  </si>
  <si>
    <t>AVANTAS</t>
  </si>
  <si>
    <t>ARIS EXAKOIDIS</t>
  </si>
  <si>
    <t>CHRISTINA  FOUKI</t>
  </si>
  <si>
    <t>Cattle tested</t>
  </si>
  <si>
    <t>Wild tested</t>
  </si>
  <si>
    <t>Buffalo tested</t>
  </si>
  <si>
    <t>Pigs tested</t>
  </si>
  <si>
    <t>Goats tested</t>
  </si>
  <si>
    <t>Sheep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</si>
</sst>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0"/>
  <sheetViews>
    <sheetView tabSelected="1" topLeftCell="Z1" workbookViewId="0">
      <selection activeCell="AD1" sqref="AD1:AD1048576"/>
    </sheetView>
  </sheetViews>
  <sheetFormatPr defaultRowHeight="15" x14ac:dyDescent="0.25"/>
  <sheetData>
    <row r="1" spans="1:5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187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187</v>
      </c>
      <c r="AD1" s="1" t="s">
        <v>26</v>
      </c>
      <c r="AE1" s="1" t="s">
        <v>27</v>
      </c>
      <c r="AF1" s="1" t="s">
        <v>192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191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190</v>
      </c>
      <c r="AQ1" s="1" t="s">
        <v>36</v>
      </c>
      <c r="AR1" s="1" t="s">
        <v>37</v>
      </c>
      <c r="AS1" s="1" t="s">
        <v>189</v>
      </c>
      <c r="AT1" s="1" t="s">
        <v>38</v>
      </c>
      <c r="AU1" s="1" t="s">
        <v>39</v>
      </c>
      <c r="AV1" s="1" t="s">
        <v>40</v>
      </c>
      <c r="AW1" s="1" t="s">
        <v>188</v>
      </c>
      <c r="AX1" s="1" t="s">
        <v>41</v>
      </c>
      <c r="AY1" s="1" t="s">
        <v>42</v>
      </c>
    </row>
    <row r="2" spans="1:51" x14ac:dyDescent="0.25">
      <c r="A2" s="1" t="e">
        <f>VLOOKUP(D2,epiunits!A$1:C$4000,2,FALSE)</f>
        <v>#N/A</v>
      </c>
      <c r="B2" s="1" t="e">
        <f>VLOOKUP(D2,epiunits!A$1:C$4000,3,FALSE)</f>
        <v>#N/A</v>
      </c>
      <c r="C2" s="1" t="e">
        <f>VLOOKUP(E2,Inspector!A$1:B$50,2,FALSE)</f>
        <v>#N/A</v>
      </c>
      <c r="D2" s="1" t="s">
        <v>43</v>
      </c>
      <c r="E2" s="1" t="s">
        <v>43</v>
      </c>
      <c r="I2" s="1" t="e">
        <f>VLOOKUP(D2,epiunits!A$1:J$4000,6,FALSE)</f>
        <v>#N/A</v>
      </c>
      <c r="J2" s="1" t="e">
        <f>VLOOKUP(D2,epiunits!A$1:J$4000,7,FALSE)</f>
        <v>#N/A</v>
      </c>
      <c r="K2" s="1" t="e">
        <f>VLOOKUP(D2,epiunits!A$1:J$4000,8,FALSE)</f>
        <v>#N/A</v>
      </c>
      <c r="L2" s="1" t="e">
        <f>VLOOKUP(D2,epiunits!A$1:J$4000,9,FALSE)</f>
        <v>#N/A</v>
      </c>
      <c r="M2" s="1" t="e">
        <f>VLOOKUP(D2,epiunits!A$1:J$4000,10,FALSE)</f>
        <v>#N/A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</row>
    <row r="3" spans="1:51" x14ac:dyDescent="0.25">
      <c r="A3" s="1" t="e">
        <f>VLOOKUP(D3,epiunits!A$1:C$4000,2,FALSE)</f>
        <v>#N/A</v>
      </c>
      <c r="B3" s="1" t="e">
        <f>VLOOKUP(D3,epiunits!A$1:C$4000,3,FALSE)</f>
        <v>#N/A</v>
      </c>
      <c r="C3" s="1" t="e">
        <f>VLOOKUP(E3,Inspector!A$1:B$50,2,FALSE)</f>
        <v>#N/A</v>
      </c>
      <c r="I3" s="1" t="e">
        <f>VLOOKUP(D3,epiunits!A$1:J$4000,6,FALSE)</f>
        <v>#N/A</v>
      </c>
      <c r="J3" s="1" t="e">
        <f>VLOOKUP(D3,epiunits!A$1:J$4000,7,FALSE)</f>
        <v>#N/A</v>
      </c>
      <c r="K3" s="1" t="e">
        <f>VLOOKUP(D3,epiunits!A$1:J$4000,8,FALSE)</f>
        <v>#N/A</v>
      </c>
      <c r="L3" s="1" t="e">
        <f>VLOOKUP(D3,epiunits!A$1:J$4000,9,FALSE)</f>
        <v>#N/A</v>
      </c>
      <c r="M3" s="1" t="e">
        <f>VLOOKUP(D3,epiunits!A$1:J$4000,10,FALSE)</f>
        <v>#N/A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</row>
    <row r="4" spans="1:51" x14ac:dyDescent="0.25">
      <c r="A4" s="1" t="e">
        <f>VLOOKUP(D4,epiunits!A$1:C$4000,2,FALSE)</f>
        <v>#N/A</v>
      </c>
      <c r="B4" s="1" t="e">
        <f>VLOOKUP(D4,epiunits!A$1:C$4000,3,FALSE)</f>
        <v>#N/A</v>
      </c>
      <c r="C4" s="1" t="e">
        <f>VLOOKUP(E4,Inspector!A$1:B$50,2,FALSE)</f>
        <v>#N/A</v>
      </c>
      <c r="I4" s="1" t="e">
        <f>VLOOKUP(D4,epiunits!A$1:J$4000,6,FALSE)</f>
        <v>#N/A</v>
      </c>
      <c r="J4" s="1" t="e">
        <f>VLOOKUP(D4,epiunits!A$1:J$4000,7,FALSE)</f>
        <v>#N/A</v>
      </c>
      <c r="K4" s="1" t="e">
        <f>VLOOKUP(D4,epiunits!A$1:J$4000,8,FALSE)</f>
        <v>#N/A</v>
      </c>
      <c r="L4" s="1" t="e">
        <f>VLOOKUP(D4,epiunits!A$1:J$4000,9,FALSE)</f>
        <v>#N/A</v>
      </c>
      <c r="M4" s="1" t="e">
        <f>VLOOKUP(D4,epiunits!A$1:J$4000,10,FALSE)</f>
        <v>#N/A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 x14ac:dyDescent="0.25">
      <c r="A5" s="1" t="e">
        <f>VLOOKUP(D5,epiunits!A$1:C$4000,2,FALSE)</f>
        <v>#N/A</v>
      </c>
      <c r="B5" s="1" t="e">
        <f>VLOOKUP(D5,epiunits!A$1:C$4000,3,FALSE)</f>
        <v>#N/A</v>
      </c>
      <c r="C5" s="1" t="e">
        <f>VLOOKUP(E5,Inspector!A$1:B$50,2,FALSE)</f>
        <v>#N/A</v>
      </c>
      <c r="I5" s="1" t="e">
        <f>VLOOKUP(D5,epiunits!A$1:J$4000,6,FALSE)</f>
        <v>#N/A</v>
      </c>
      <c r="J5" s="1" t="e">
        <f>VLOOKUP(D5,epiunits!A$1:J$4000,7,FALSE)</f>
        <v>#N/A</v>
      </c>
      <c r="K5" s="1" t="e">
        <f>VLOOKUP(D5,epiunits!A$1:J$4000,8,FALSE)</f>
        <v>#N/A</v>
      </c>
      <c r="L5" s="1" t="e">
        <f>VLOOKUP(D5,epiunits!A$1:J$4000,9,FALSE)</f>
        <v>#N/A</v>
      </c>
      <c r="M5" s="1" t="e">
        <f>VLOOKUP(D5,epiunits!A$1:J$4000,10,FALSE)</f>
        <v>#N/A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</row>
    <row r="6" spans="1:51" x14ac:dyDescent="0.25">
      <c r="A6" s="1" t="e">
        <f>VLOOKUP(D6,epiunits!A$1:C$4000,2,FALSE)</f>
        <v>#N/A</v>
      </c>
      <c r="B6" s="1" t="e">
        <f>VLOOKUP(D6,epiunits!A$1:C$4000,3,FALSE)</f>
        <v>#N/A</v>
      </c>
      <c r="C6" s="1" t="e">
        <f>VLOOKUP(E6,Inspector!A$1:B$50,2,FALSE)</f>
        <v>#N/A</v>
      </c>
      <c r="I6" s="1" t="e">
        <f>VLOOKUP(D6,epiunits!A$1:J$4000,6,FALSE)</f>
        <v>#N/A</v>
      </c>
      <c r="J6" s="1" t="e">
        <f>VLOOKUP(D6,epiunits!A$1:J$4000,7,FALSE)</f>
        <v>#N/A</v>
      </c>
      <c r="K6" s="1" t="e">
        <f>VLOOKUP(D6,epiunits!A$1:J$4000,8,FALSE)</f>
        <v>#N/A</v>
      </c>
      <c r="L6" s="1" t="e">
        <f>VLOOKUP(D6,epiunits!A$1:J$4000,9,FALSE)</f>
        <v>#N/A</v>
      </c>
      <c r="M6" s="1" t="e">
        <f>VLOOKUP(D6,epiunits!A$1:J$4000,10,FALSE)</f>
        <v>#N/A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</row>
    <row r="7" spans="1:51" x14ac:dyDescent="0.25">
      <c r="A7" s="1" t="e">
        <f>VLOOKUP(D7,epiunits!A$1:C$4000,2,FALSE)</f>
        <v>#N/A</v>
      </c>
      <c r="B7" s="1" t="e">
        <f>VLOOKUP(D7,epiunits!A$1:C$4000,3,FALSE)</f>
        <v>#N/A</v>
      </c>
      <c r="C7" s="1" t="e">
        <f>VLOOKUP(E7,Inspector!A$1:B$50,2,FALSE)</f>
        <v>#N/A</v>
      </c>
      <c r="I7" s="1" t="e">
        <f>VLOOKUP(D7,epiunits!A$1:J$4000,6,FALSE)</f>
        <v>#N/A</v>
      </c>
      <c r="J7" s="1" t="e">
        <f>VLOOKUP(D7,epiunits!A$1:J$4000,7,FALSE)</f>
        <v>#N/A</v>
      </c>
      <c r="K7" s="1" t="e">
        <f>VLOOKUP(D7,epiunits!A$1:J$4000,8,FALSE)</f>
        <v>#N/A</v>
      </c>
      <c r="L7" s="1" t="e">
        <f>VLOOKUP(D7,epiunits!A$1:J$4000,9,FALSE)</f>
        <v>#N/A</v>
      </c>
      <c r="M7" s="1" t="e">
        <f>VLOOKUP(D7,epiunits!A$1:J$4000,10,FALSE)</f>
        <v>#N/A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x14ac:dyDescent="0.25">
      <c r="A8" s="1" t="e">
        <f>VLOOKUP(D8,epiunits!A$1:C$4000,2,FALSE)</f>
        <v>#N/A</v>
      </c>
      <c r="B8" s="1" t="e">
        <f>VLOOKUP(D8,epiunits!A$1:C$4000,3,FALSE)</f>
        <v>#N/A</v>
      </c>
      <c r="C8" s="1" t="e">
        <f>VLOOKUP(E8,Inspector!A$1:B$50,2,FALSE)</f>
        <v>#N/A</v>
      </c>
      <c r="I8" s="1" t="e">
        <f>VLOOKUP(D8,epiunits!A$1:J$4000,6,FALSE)</f>
        <v>#N/A</v>
      </c>
      <c r="J8" s="1" t="e">
        <f>VLOOKUP(D8,epiunits!A$1:J$4000,7,FALSE)</f>
        <v>#N/A</v>
      </c>
      <c r="K8" s="1" t="e">
        <f>VLOOKUP(D8,epiunits!A$1:J$4000,8,FALSE)</f>
        <v>#N/A</v>
      </c>
      <c r="L8" s="1" t="e">
        <f>VLOOKUP(D8,epiunits!A$1:J$4000,9,FALSE)</f>
        <v>#N/A</v>
      </c>
      <c r="M8" s="1" t="e">
        <f>VLOOKUP(D8,epiunits!A$1:J$4000,10,FALSE)</f>
        <v>#N/A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</row>
    <row r="9" spans="1:51" x14ac:dyDescent="0.25">
      <c r="A9" s="1" t="e">
        <f>VLOOKUP(D9,epiunits!A$1:C$4000,2,FALSE)</f>
        <v>#N/A</v>
      </c>
      <c r="B9" s="1" t="e">
        <f>VLOOKUP(D9,epiunits!A$1:C$4000,3,FALSE)</f>
        <v>#N/A</v>
      </c>
      <c r="C9" s="1" t="e">
        <f>VLOOKUP(E9,Inspector!A$1:B$50,2,FALSE)</f>
        <v>#N/A</v>
      </c>
      <c r="I9" s="1" t="e">
        <f>VLOOKUP(D9,epiunits!A$1:J$4000,6,FALSE)</f>
        <v>#N/A</v>
      </c>
      <c r="J9" s="1" t="e">
        <f>VLOOKUP(D9,epiunits!A$1:J$4000,7,FALSE)</f>
        <v>#N/A</v>
      </c>
      <c r="K9" s="1" t="e">
        <f>VLOOKUP(D9,epiunits!A$1:J$4000,8,FALSE)</f>
        <v>#N/A</v>
      </c>
      <c r="L9" s="1" t="e">
        <f>VLOOKUP(D9,epiunits!A$1:J$4000,9,FALSE)</f>
        <v>#N/A</v>
      </c>
      <c r="M9" s="1" t="e">
        <f>VLOOKUP(D9,epiunits!A$1:J$4000,10,FALSE)</f>
        <v>#N/A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</row>
    <row r="10" spans="1:51" x14ac:dyDescent="0.25">
      <c r="A10" s="1" t="e">
        <f>VLOOKUP(D10,epiunits!A$1:C$4000,2,FALSE)</f>
        <v>#N/A</v>
      </c>
      <c r="B10" s="1" t="e">
        <f>VLOOKUP(D10,epiunits!A$1:C$4000,3,FALSE)</f>
        <v>#N/A</v>
      </c>
      <c r="C10" s="1" t="e">
        <f>VLOOKUP(E10,Inspector!A$1:B$50,2,FALSE)</f>
        <v>#N/A</v>
      </c>
      <c r="I10" s="1" t="e">
        <f>VLOOKUP(D10,epiunits!A$1:J$4000,6,FALSE)</f>
        <v>#N/A</v>
      </c>
      <c r="J10" s="1" t="e">
        <f>VLOOKUP(D10,epiunits!A$1:J$4000,7,FALSE)</f>
        <v>#N/A</v>
      </c>
      <c r="K10" s="1" t="e">
        <f>VLOOKUP(D10,epiunits!A$1:J$4000,8,FALSE)</f>
        <v>#N/A</v>
      </c>
      <c r="L10" s="1" t="e">
        <f>VLOOKUP(D10,epiunits!A$1:J$4000,9,FALSE)</f>
        <v>#N/A</v>
      </c>
      <c r="M10" s="1" t="e">
        <f>VLOOKUP(D10,epiunits!A$1:J$4000,10,FALSE)</f>
        <v>#N/A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</row>
    <row r="11" spans="1:51" x14ac:dyDescent="0.25">
      <c r="A11" s="1" t="e">
        <f>VLOOKUP(D11,epiunits!A$1:C$4000,2,FALSE)</f>
        <v>#N/A</v>
      </c>
      <c r="B11" s="1" t="e">
        <f>VLOOKUP(D11,epiunits!A$1:C$4000,3,FALSE)</f>
        <v>#N/A</v>
      </c>
      <c r="C11" s="1" t="e">
        <f>VLOOKUP(E11,Inspector!A$1:B$50,2,FALSE)</f>
        <v>#N/A</v>
      </c>
      <c r="I11" s="1" t="e">
        <f>VLOOKUP(D11,epiunits!A$1:J$4000,6,FALSE)</f>
        <v>#N/A</v>
      </c>
      <c r="J11" s="1" t="e">
        <f>VLOOKUP(D11,epiunits!A$1:J$4000,7,FALSE)</f>
        <v>#N/A</v>
      </c>
      <c r="K11" s="1" t="e">
        <f>VLOOKUP(D11,epiunits!A$1:J$4000,8,FALSE)</f>
        <v>#N/A</v>
      </c>
      <c r="L11" s="1" t="e">
        <f>VLOOKUP(D11,epiunits!A$1:J$4000,9,FALSE)</f>
        <v>#N/A</v>
      </c>
      <c r="M11" s="1" t="e">
        <f>VLOOKUP(D11,epiunits!A$1:J$4000,10,FALSE)</f>
        <v>#N/A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</row>
    <row r="12" spans="1:51" x14ac:dyDescent="0.25">
      <c r="A12" s="1" t="e">
        <f>VLOOKUP(D12,epiunits!A$1:C$4000,2,FALSE)</f>
        <v>#N/A</v>
      </c>
      <c r="B12" s="1" t="e">
        <f>VLOOKUP(D12,epiunits!A$1:C$4000,3,FALSE)</f>
        <v>#N/A</v>
      </c>
      <c r="C12" s="1" t="e">
        <f>VLOOKUP(E12,Inspector!A$1:B$50,2,FALSE)</f>
        <v>#N/A</v>
      </c>
      <c r="I12" s="1" t="e">
        <f>VLOOKUP(D12,epiunits!A$1:J$4000,6,FALSE)</f>
        <v>#N/A</v>
      </c>
      <c r="J12" s="1" t="e">
        <f>VLOOKUP(D12,epiunits!A$1:J$4000,7,FALSE)</f>
        <v>#N/A</v>
      </c>
      <c r="K12" s="1" t="e">
        <f>VLOOKUP(D12,epiunits!A$1:J$4000,8,FALSE)</f>
        <v>#N/A</v>
      </c>
      <c r="L12" s="1" t="e">
        <f>VLOOKUP(D12,epiunits!A$1:J$4000,9,FALSE)</f>
        <v>#N/A</v>
      </c>
      <c r="M12" s="1" t="e">
        <f>VLOOKUP(D12,epiunits!A$1:J$4000,10,FALSE)</f>
        <v>#N/A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</row>
    <row r="13" spans="1:51" x14ac:dyDescent="0.25">
      <c r="A13" s="1" t="e">
        <f>VLOOKUP(D13,epiunits!A$1:C$4000,2,FALSE)</f>
        <v>#N/A</v>
      </c>
      <c r="B13" s="1" t="e">
        <f>VLOOKUP(D13,epiunits!A$1:C$4000,3,FALSE)</f>
        <v>#N/A</v>
      </c>
      <c r="C13" s="1" t="e">
        <f>VLOOKUP(E13,Inspector!A$1:B$50,2,FALSE)</f>
        <v>#N/A</v>
      </c>
      <c r="I13" s="1" t="e">
        <f>VLOOKUP(D13,epiunits!A$1:J$4000,6,FALSE)</f>
        <v>#N/A</v>
      </c>
      <c r="J13" s="1" t="e">
        <f>VLOOKUP(D13,epiunits!A$1:J$4000,7,FALSE)</f>
        <v>#N/A</v>
      </c>
      <c r="K13" s="1" t="e">
        <f>VLOOKUP(D13,epiunits!A$1:J$4000,8,FALSE)</f>
        <v>#N/A</v>
      </c>
      <c r="L13" s="1" t="e">
        <f>VLOOKUP(D13,epiunits!A$1:J$4000,9,FALSE)</f>
        <v>#N/A</v>
      </c>
      <c r="M13" s="1" t="e">
        <f>VLOOKUP(D13,epiunits!A$1:J$4000,10,FALSE)</f>
        <v>#N/A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</row>
    <row r="14" spans="1:51" x14ac:dyDescent="0.25">
      <c r="A14" s="1" t="e">
        <f>VLOOKUP(D14,epiunits!A$1:C$4000,2,FALSE)</f>
        <v>#N/A</v>
      </c>
      <c r="B14" s="1" t="e">
        <f>VLOOKUP(D14,epiunits!A$1:C$4000,3,FALSE)</f>
        <v>#N/A</v>
      </c>
      <c r="C14" s="1" t="e">
        <f>VLOOKUP(E14,Inspector!A$1:B$50,2,FALSE)</f>
        <v>#N/A</v>
      </c>
      <c r="I14" s="1" t="e">
        <f>VLOOKUP(D14,epiunits!A$1:J$4000,6,FALSE)</f>
        <v>#N/A</v>
      </c>
      <c r="J14" s="1" t="e">
        <f>VLOOKUP(D14,epiunits!A$1:J$4000,7,FALSE)</f>
        <v>#N/A</v>
      </c>
      <c r="K14" s="1" t="e">
        <f>VLOOKUP(D14,epiunits!A$1:J$4000,8,FALSE)</f>
        <v>#N/A</v>
      </c>
      <c r="L14" s="1" t="e">
        <f>VLOOKUP(D14,epiunits!A$1:J$4000,9,FALSE)</f>
        <v>#N/A</v>
      </c>
      <c r="M14" s="1" t="e">
        <f>VLOOKUP(D14,epiunits!A$1:J$4000,10,FALSE)</f>
        <v>#N/A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</row>
    <row r="15" spans="1:51" x14ac:dyDescent="0.25">
      <c r="A15" s="1" t="e">
        <f>VLOOKUP(D15,epiunits!A$1:C$4000,2,FALSE)</f>
        <v>#N/A</v>
      </c>
      <c r="B15" s="1" t="e">
        <f>VLOOKUP(D15,epiunits!A$1:C$4000,3,FALSE)</f>
        <v>#N/A</v>
      </c>
      <c r="C15" s="1" t="e">
        <f>VLOOKUP(E15,Inspector!A$1:B$50,2,FALSE)</f>
        <v>#N/A</v>
      </c>
      <c r="I15" s="1" t="e">
        <f>VLOOKUP(D15,epiunits!A$1:J$4000,6,FALSE)</f>
        <v>#N/A</v>
      </c>
      <c r="J15" s="1" t="e">
        <f>VLOOKUP(D15,epiunits!A$1:J$4000,7,FALSE)</f>
        <v>#N/A</v>
      </c>
      <c r="K15" s="1" t="e">
        <f>VLOOKUP(D15,epiunits!A$1:J$4000,8,FALSE)</f>
        <v>#N/A</v>
      </c>
      <c r="L15" s="1" t="e">
        <f>VLOOKUP(D15,epiunits!A$1:J$4000,9,FALSE)</f>
        <v>#N/A</v>
      </c>
      <c r="M15" s="1" t="e">
        <f>VLOOKUP(D15,epiunits!A$1:J$4000,10,FALSE)</f>
        <v>#N/A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</row>
    <row r="16" spans="1:51" x14ac:dyDescent="0.25">
      <c r="A16" s="1" t="e">
        <f>VLOOKUP(D16,epiunits!A$1:C$4000,2,FALSE)</f>
        <v>#N/A</v>
      </c>
      <c r="B16" s="1" t="e">
        <f>VLOOKUP(D16,epiunits!A$1:C$4000,3,FALSE)</f>
        <v>#N/A</v>
      </c>
      <c r="C16" s="1" t="e">
        <f>VLOOKUP(E16,Inspector!A$1:B$50,2,FALSE)</f>
        <v>#N/A</v>
      </c>
      <c r="I16" s="1" t="e">
        <f>VLOOKUP(D16,epiunits!A$1:J$4000,6,FALSE)</f>
        <v>#N/A</v>
      </c>
      <c r="J16" s="1" t="e">
        <f>VLOOKUP(D16,epiunits!A$1:J$4000,7,FALSE)</f>
        <v>#N/A</v>
      </c>
      <c r="K16" s="1" t="e">
        <f>VLOOKUP(D16,epiunits!A$1:J$4000,8,FALSE)</f>
        <v>#N/A</v>
      </c>
      <c r="L16" s="1" t="e">
        <f>VLOOKUP(D16,epiunits!A$1:J$4000,9,FALSE)</f>
        <v>#N/A</v>
      </c>
      <c r="M16" s="1" t="e">
        <f>VLOOKUP(D16,epiunits!A$1:J$4000,10,FALSE)</f>
        <v>#N/A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s="1" t="e">
        <f>VLOOKUP(D17,epiunits!A$1:C$4000,2,FALSE)</f>
        <v>#N/A</v>
      </c>
      <c r="B17" s="1" t="e">
        <f>VLOOKUP(D17,epiunits!A$1:C$4000,3,FALSE)</f>
        <v>#N/A</v>
      </c>
      <c r="C17" s="1" t="e">
        <f>VLOOKUP(E17,Inspector!A$1:B$50,2,FALSE)</f>
        <v>#N/A</v>
      </c>
      <c r="I17" s="1" t="e">
        <f>VLOOKUP(D17,epiunits!A$1:J$4000,6,FALSE)</f>
        <v>#N/A</v>
      </c>
      <c r="J17" s="1" t="e">
        <f>VLOOKUP(D17,epiunits!A$1:J$4000,7,FALSE)</f>
        <v>#N/A</v>
      </c>
      <c r="K17" s="1" t="e">
        <f>VLOOKUP(D17,epiunits!A$1:J$4000,8,FALSE)</f>
        <v>#N/A</v>
      </c>
      <c r="L17" s="1" t="e">
        <f>VLOOKUP(D17,epiunits!A$1:J$4000,9,FALSE)</f>
        <v>#N/A</v>
      </c>
      <c r="M17" s="1" t="e">
        <f>VLOOKUP(D17,epiunits!A$1:J$4000,10,FALSE)</f>
        <v>#N/A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s="1" t="e">
        <f>VLOOKUP(D18,epiunits!A$1:C$4000,2,FALSE)</f>
        <v>#N/A</v>
      </c>
      <c r="B18" s="1" t="e">
        <f>VLOOKUP(D18,epiunits!A$1:C$4000,3,FALSE)</f>
        <v>#N/A</v>
      </c>
      <c r="C18" s="1" t="e">
        <f>VLOOKUP(E18,Inspector!A$1:B$50,2,FALSE)</f>
        <v>#N/A</v>
      </c>
      <c r="I18" s="1" t="e">
        <f>VLOOKUP(D18,epiunits!A$1:J$4000,6,FALSE)</f>
        <v>#N/A</v>
      </c>
      <c r="J18" s="1" t="e">
        <f>VLOOKUP(D18,epiunits!A$1:J$4000,7,FALSE)</f>
        <v>#N/A</v>
      </c>
      <c r="K18" s="1" t="e">
        <f>VLOOKUP(D18,epiunits!A$1:J$4000,8,FALSE)</f>
        <v>#N/A</v>
      </c>
      <c r="L18" s="1" t="e">
        <f>VLOOKUP(D18,epiunits!A$1:J$4000,9,FALSE)</f>
        <v>#N/A</v>
      </c>
      <c r="M18" s="1" t="e">
        <f>VLOOKUP(D18,epiunits!A$1:J$4000,10,FALSE)</f>
        <v>#N/A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s="1" t="e">
        <f>VLOOKUP(D19,epiunits!A$1:C$4000,2,FALSE)</f>
        <v>#N/A</v>
      </c>
      <c r="B19" s="1" t="e">
        <f>VLOOKUP(D19,epiunits!A$1:C$4000,3,FALSE)</f>
        <v>#N/A</v>
      </c>
      <c r="C19" s="1" t="e">
        <f>VLOOKUP(E19,Inspector!A$1:B$50,2,FALSE)</f>
        <v>#N/A</v>
      </c>
      <c r="I19" s="1" t="e">
        <f>VLOOKUP(D19,epiunits!A$1:J$4000,6,FALSE)</f>
        <v>#N/A</v>
      </c>
      <c r="J19" s="1" t="e">
        <f>VLOOKUP(D19,epiunits!A$1:J$4000,7,FALSE)</f>
        <v>#N/A</v>
      </c>
      <c r="K19" s="1" t="e">
        <f>VLOOKUP(D19,epiunits!A$1:J$4000,8,FALSE)</f>
        <v>#N/A</v>
      </c>
      <c r="L19" s="1" t="e">
        <f>VLOOKUP(D19,epiunits!A$1:J$4000,9,FALSE)</f>
        <v>#N/A</v>
      </c>
      <c r="M19" s="1" t="e">
        <f>VLOOKUP(D19,epiunits!A$1:J$4000,10,FALSE)</f>
        <v>#N/A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s="1" t="e">
        <f>VLOOKUP(D20,epiunits!A$1:C$4000,2,FALSE)</f>
        <v>#N/A</v>
      </c>
      <c r="B20" s="1" t="e">
        <f>VLOOKUP(D20,epiunits!A$1:C$4000,3,FALSE)</f>
        <v>#N/A</v>
      </c>
      <c r="C20" s="1" t="e">
        <f>VLOOKUP(E20,Inspector!A$1:B$50,2,FALSE)</f>
        <v>#N/A</v>
      </c>
      <c r="I20" s="1" t="e">
        <f>VLOOKUP(D20,epiunits!A$1:J$4000,6,FALSE)</f>
        <v>#N/A</v>
      </c>
      <c r="J20" s="1" t="e">
        <f>VLOOKUP(D20,epiunits!A$1:J$4000,7,FALSE)</f>
        <v>#N/A</v>
      </c>
      <c r="K20" s="1" t="e">
        <f>VLOOKUP(D20,epiunits!A$1:J$4000,8,FALSE)</f>
        <v>#N/A</v>
      </c>
      <c r="L20" s="1" t="e">
        <f>VLOOKUP(D20,epiunits!A$1:J$4000,9,FALSE)</f>
        <v>#N/A</v>
      </c>
      <c r="M20" s="1" t="e">
        <f>VLOOKUP(D20,epiunits!A$1:J$4000,10,FALSE)</f>
        <v>#N/A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</row>
    <row r="21" spans="1:51" x14ac:dyDescent="0.25">
      <c r="A21" s="1" t="e">
        <f>VLOOKUP(D21,epiunits!A$1:C$4000,2,FALSE)</f>
        <v>#N/A</v>
      </c>
      <c r="B21" s="1" t="e">
        <f>VLOOKUP(D21,epiunits!A$1:C$4000,3,FALSE)</f>
        <v>#N/A</v>
      </c>
      <c r="C21" s="1" t="e">
        <f>VLOOKUP(E21,Inspector!A$1:B$50,2,FALSE)</f>
        <v>#N/A</v>
      </c>
      <c r="I21" s="1" t="e">
        <f>VLOOKUP(D21,epiunits!A$1:J$4000,6,FALSE)</f>
        <v>#N/A</v>
      </c>
      <c r="J21" s="1" t="e">
        <f>VLOOKUP(D21,epiunits!A$1:J$4000,7,FALSE)</f>
        <v>#N/A</v>
      </c>
      <c r="K21" s="1" t="e">
        <f>VLOOKUP(D21,epiunits!A$1:J$4000,8,FALSE)</f>
        <v>#N/A</v>
      </c>
      <c r="L21" s="1" t="e">
        <f>VLOOKUP(D21,epiunits!A$1:J$4000,9,FALSE)</f>
        <v>#N/A</v>
      </c>
      <c r="M21" s="1" t="e">
        <f>VLOOKUP(D21,epiunits!A$1:J$4000,10,FALSE)</f>
        <v>#N/A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s="1" t="e">
        <f>VLOOKUP(D22,epiunits!A$1:C$4000,2,FALSE)</f>
        <v>#N/A</v>
      </c>
      <c r="B22" s="1" t="e">
        <f>VLOOKUP(D22,epiunits!A$1:C$4000,3,FALSE)</f>
        <v>#N/A</v>
      </c>
      <c r="C22" s="1" t="e">
        <f>VLOOKUP(E22,Inspector!A$1:B$50,2,FALSE)</f>
        <v>#N/A</v>
      </c>
      <c r="I22" s="1" t="e">
        <f>VLOOKUP(D22,epiunits!A$1:J$4000,6,FALSE)</f>
        <v>#N/A</v>
      </c>
      <c r="J22" s="1" t="e">
        <f>VLOOKUP(D22,epiunits!A$1:J$4000,7,FALSE)</f>
        <v>#N/A</v>
      </c>
      <c r="K22" s="1" t="e">
        <f>VLOOKUP(D22,epiunits!A$1:J$4000,8,FALSE)</f>
        <v>#N/A</v>
      </c>
      <c r="L22" s="1" t="e">
        <f>VLOOKUP(D22,epiunits!A$1:J$4000,9,FALSE)</f>
        <v>#N/A</v>
      </c>
      <c r="M22" s="1" t="e">
        <f>VLOOKUP(D22,epiunits!A$1:J$4000,10,FALSE)</f>
        <v>#N/A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s="1" t="e">
        <f>VLOOKUP(D23,epiunits!A$1:C$4000,2,FALSE)</f>
        <v>#N/A</v>
      </c>
      <c r="B23" s="1" t="e">
        <f>VLOOKUP(D23,epiunits!A$1:C$4000,3,FALSE)</f>
        <v>#N/A</v>
      </c>
      <c r="C23" s="1" t="e">
        <f>VLOOKUP(E23,Inspector!A$1:B$50,2,FALSE)</f>
        <v>#N/A</v>
      </c>
      <c r="I23" s="1" t="e">
        <f>VLOOKUP(D23,epiunits!A$1:J$4000,6,FALSE)</f>
        <v>#N/A</v>
      </c>
      <c r="J23" s="1" t="e">
        <f>VLOOKUP(D23,epiunits!A$1:J$4000,7,FALSE)</f>
        <v>#N/A</v>
      </c>
      <c r="K23" s="1" t="e">
        <f>VLOOKUP(D23,epiunits!A$1:J$4000,8,FALSE)</f>
        <v>#N/A</v>
      </c>
      <c r="L23" s="1" t="e">
        <f>VLOOKUP(D23,epiunits!A$1:J$4000,9,FALSE)</f>
        <v>#N/A</v>
      </c>
      <c r="M23" s="1" t="e">
        <f>VLOOKUP(D23,epiunits!A$1:J$4000,10,FALSE)</f>
        <v>#N/A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</row>
    <row r="24" spans="1:51" x14ac:dyDescent="0.25">
      <c r="A24" s="1" t="e">
        <f>VLOOKUP(D24,epiunits!A$1:C$4000,2,FALSE)</f>
        <v>#N/A</v>
      </c>
      <c r="B24" s="1" t="e">
        <f>VLOOKUP(D24,epiunits!A$1:C$4000,3,FALSE)</f>
        <v>#N/A</v>
      </c>
      <c r="C24" s="1" t="e">
        <f>VLOOKUP(E24,Inspector!A$1:B$50,2,FALSE)</f>
        <v>#N/A</v>
      </c>
      <c r="I24" s="1" t="e">
        <f>VLOOKUP(D24,epiunits!A$1:J$4000,6,FALSE)</f>
        <v>#N/A</v>
      </c>
      <c r="J24" s="1" t="e">
        <f>VLOOKUP(D24,epiunits!A$1:J$4000,7,FALSE)</f>
        <v>#N/A</v>
      </c>
      <c r="K24" s="1" t="e">
        <f>VLOOKUP(D24,epiunits!A$1:J$4000,8,FALSE)</f>
        <v>#N/A</v>
      </c>
      <c r="L24" s="1" t="e">
        <f>VLOOKUP(D24,epiunits!A$1:J$4000,9,FALSE)</f>
        <v>#N/A</v>
      </c>
      <c r="M24" s="1" t="e">
        <f>VLOOKUP(D24,epiunits!A$1:J$4000,10,FALSE)</f>
        <v>#N/A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s="1" t="e">
        <f>VLOOKUP(D25,epiunits!A$1:C$4000,2,FALSE)</f>
        <v>#N/A</v>
      </c>
      <c r="B25" s="1" t="e">
        <f>VLOOKUP(D25,epiunits!A$1:C$4000,3,FALSE)</f>
        <v>#N/A</v>
      </c>
      <c r="C25" s="1" t="e">
        <f>VLOOKUP(E25,Inspector!A$1:B$50,2,FALSE)</f>
        <v>#N/A</v>
      </c>
      <c r="I25" s="1" t="e">
        <f>VLOOKUP(D25,epiunits!A$1:J$4000,6,FALSE)</f>
        <v>#N/A</v>
      </c>
      <c r="J25" s="1" t="e">
        <f>VLOOKUP(D25,epiunits!A$1:J$4000,7,FALSE)</f>
        <v>#N/A</v>
      </c>
      <c r="K25" s="1" t="e">
        <f>VLOOKUP(D25,epiunits!A$1:J$4000,8,FALSE)</f>
        <v>#N/A</v>
      </c>
      <c r="L25" s="1" t="e">
        <f>VLOOKUP(D25,epiunits!A$1:J$4000,9,FALSE)</f>
        <v>#N/A</v>
      </c>
      <c r="M25" s="1" t="e">
        <f>VLOOKUP(D25,epiunits!A$1:J$4000,10,FALSE)</f>
        <v>#N/A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</row>
    <row r="26" spans="1:51" x14ac:dyDescent="0.25">
      <c r="A26" s="1" t="e">
        <f>VLOOKUP(D26,epiunits!A$1:C$4000,2,FALSE)</f>
        <v>#N/A</v>
      </c>
      <c r="B26" s="1" t="e">
        <f>VLOOKUP(D26,epiunits!A$1:C$4000,3,FALSE)</f>
        <v>#N/A</v>
      </c>
      <c r="C26" s="1" t="e">
        <f>VLOOKUP(E26,Inspector!A$1:B$50,2,FALSE)</f>
        <v>#N/A</v>
      </c>
      <c r="I26" s="1" t="e">
        <f>VLOOKUP(D26,epiunits!A$1:J$4000,6,FALSE)</f>
        <v>#N/A</v>
      </c>
      <c r="J26" s="1" t="e">
        <f>VLOOKUP(D26,epiunits!A$1:J$4000,7,FALSE)</f>
        <v>#N/A</v>
      </c>
      <c r="K26" s="1" t="e">
        <f>VLOOKUP(D26,epiunits!A$1:J$4000,8,FALSE)</f>
        <v>#N/A</v>
      </c>
      <c r="L26" s="1" t="e">
        <f>VLOOKUP(D26,epiunits!A$1:J$4000,9,FALSE)</f>
        <v>#N/A</v>
      </c>
      <c r="M26" s="1" t="e">
        <f>VLOOKUP(D26,epiunits!A$1:J$4000,10,FALSE)</f>
        <v>#N/A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s="1" t="e">
        <f>VLOOKUP(D27,epiunits!A$1:C$4000,2,FALSE)</f>
        <v>#N/A</v>
      </c>
      <c r="B27" s="1" t="e">
        <f>VLOOKUP(D27,epiunits!A$1:C$4000,3,FALSE)</f>
        <v>#N/A</v>
      </c>
      <c r="C27" s="1" t="e">
        <f>VLOOKUP(E27,Inspector!A$1:B$50,2,FALSE)</f>
        <v>#N/A</v>
      </c>
      <c r="I27" s="1" t="e">
        <f>VLOOKUP(D27,epiunits!A$1:J$4000,6,FALSE)</f>
        <v>#N/A</v>
      </c>
      <c r="J27" s="1" t="e">
        <f>VLOOKUP(D27,epiunits!A$1:J$4000,7,FALSE)</f>
        <v>#N/A</v>
      </c>
      <c r="K27" s="1" t="e">
        <f>VLOOKUP(D27,epiunits!A$1:J$4000,8,FALSE)</f>
        <v>#N/A</v>
      </c>
      <c r="L27" s="1" t="e">
        <f>VLOOKUP(D27,epiunits!A$1:J$4000,9,FALSE)</f>
        <v>#N/A</v>
      </c>
      <c r="M27" s="1" t="e">
        <f>VLOOKUP(D27,epiunits!A$1:J$4000,10,FALSE)</f>
        <v>#N/A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</row>
    <row r="28" spans="1:51" x14ac:dyDescent="0.25">
      <c r="A28" s="1" t="e">
        <f>VLOOKUP(D28,epiunits!A$1:C$4000,2,FALSE)</f>
        <v>#N/A</v>
      </c>
      <c r="B28" s="1" t="e">
        <f>VLOOKUP(D28,epiunits!A$1:C$4000,3,FALSE)</f>
        <v>#N/A</v>
      </c>
      <c r="C28" s="1" t="e">
        <f>VLOOKUP(E28,Inspector!A$1:B$50,2,FALSE)</f>
        <v>#N/A</v>
      </c>
      <c r="I28" s="1" t="e">
        <f>VLOOKUP(D28,epiunits!A$1:J$4000,6,FALSE)</f>
        <v>#N/A</v>
      </c>
      <c r="J28" s="1" t="e">
        <f>VLOOKUP(D28,epiunits!A$1:J$4000,7,FALSE)</f>
        <v>#N/A</v>
      </c>
      <c r="K28" s="1" t="e">
        <f>VLOOKUP(D28,epiunits!A$1:J$4000,8,FALSE)</f>
        <v>#N/A</v>
      </c>
      <c r="L28" s="1" t="e">
        <f>VLOOKUP(D28,epiunits!A$1:J$4000,9,FALSE)</f>
        <v>#N/A</v>
      </c>
      <c r="M28" s="1" t="e">
        <f>VLOOKUP(D28,epiunits!A$1:J$4000,10,FALSE)</f>
        <v>#N/A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s="1" t="e">
        <f>VLOOKUP(D29,epiunits!A$1:C$4000,2,FALSE)</f>
        <v>#N/A</v>
      </c>
      <c r="B29" s="1" t="e">
        <f>VLOOKUP(D29,epiunits!A$1:C$4000,3,FALSE)</f>
        <v>#N/A</v>
      </c>
      <c r="C29" s="1" t="e">
        <f>VLOOKUP(E29,Inspector!A$1:B$50,2,FALSE)</f>
        <v>#N/A</v>
      </c>
      <c r="I29" s="1" t="e">
        <f>VLOOKUP(D29,epiunits!A$1:J$4000,6,FALSE)</f>
        <v>#N/A</v>
      </c>
      <c r="J29" s="1" t="e">
        <f>VLOOKUP(D29,epiunits!A$1:J$4000,7,FALSE)</f>
        <v>#N/A</v>
      </c>
      <c r="K29" s="1" t="e">
        <f>VLOOKUP(D29,epiunits!A$1:J$4000,8,FALSE)</f>
        <v>#N/A</v>
      </c>
      <c r="L29" s="1" t="e">
        <f>VLOOKUP(D29,epiunits!A$1:J$4000,9,FALSE)</f>
        <v>#N/A</v>
      </c>
      <c r="M29" s="1" t="e">
        <f>VLOOKUP(D29,epiunits!A$1:J$4000,10,FALSE)</f>
        <v>#N/A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</row>
    <row r="30" spans="1:51" x14ac:dyDescent="0.25">
      <c r="A30" s="1" t="e">
        <f>VLOOKUP(D30,epiunits!A$1:C$4000,2,FALSE)</f>
        <v>#N/A</v>
      </c>
      <c r="B30" s="1" t="e">
        <f>VLOOKUP(D30,epiunits!A$1:C$4000,3,FALSE)</f>
        <v>#N/A</v>
      </c>
      <c r="C30" s="1" t="e">
        <f>VLOOKUP(E30,Inspector!A$1:B$50,2,FALSE)</f>
        <v>#N/A</v>
      </c>
      <c r="I30" s="1" t="e">
        <f>VLOOKUP(D30,epiunits!A$1:J$4000,6,FALSE)</f>
        <v>#N/A</v>
      </c>
      <c r="J30" s="1" t="e">
        <f>VLOOKUP(D30,epiunits!A$1:J$4000,7,FALSE)</f>
        <v>#N/A</v>
      </c>
      <c r="K30" s="1" t="e">
        <f>VLOOKUP(D30,epiunits!A$1:J$4000,8,FALSE)</f>
        <v>#N/A</v>
      </c>
      <c r="L30" s="1" t="e">
        <f>VLOOKUP(D30,epiunits!A$1:J$4000,9,FALSE)</f>
        <v>#N/A</v>
      </c>
      <c r="M30" s="1" t="e">
        <f>VLOOKUP(D30,epiunits!A$1:J$4000,10,FALSE)</f>
        <v>#N/A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25">
      <c r="A31" s="1" t="e">
        <f>VLOOKUP(D31,epiunits!A$1:C$4000,2,FALSE)</f>
        <v>#N/A</v>
      </c>
      <c r="B31" s="1" t="e">
        <f>VLOOKUP(D31,epiunits!A$1:C$4000,3,FALSE)</f>
        <v>#N/A</v>
      </c>
      <c r="C31" s="1" t="e">
        <f>VLOOKUP(E31,Inspector!A$1:B$50,2,FALSE)</f>
        <v>#N/A</v>
      </c>
      <c r="I31" s="1" t="e">
        <f>VLOOKUP(D31,epiunits!A$1:J$4000,6,FALSE)</f>
        <v>#N/A</v>
      </c>
      <c r="J31" s="1" t="e">
        <f>VLOOKUP(D31,epiunits!A$1:J$4000,7,FALSE)</f>
        <v>#N/A</v>
      </c>
      <c r="K31" s="1" t="e">
        <f>VLOOKUP(D31,epiunits!A$1:J$4000,8,FALSE)</f>
        <v>#N/A</v>
      </c>
      <c r="L31" s="1" t="e">
        <f>VLOOKUP(D31,epiunits!A$1:J$4000,9,FALSE)</f>
        <v>#N/A</v>
      </c>
      <c r="M31" s="1" t="e">
        <f>VLOOKUP(D31,epiunits!A$1:J$4000,10,FALSE)</f>
        <v>#N/A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s="1" t="e">
        <f>VLOOKUP(D32,epiunits!A$1:C$4000,2,FALSE)</f>
        <v>#N/A</v>
      </c>
      <c r="B32" s="1" t="e">
        <f>VLOOKUP(D32,epiunits!A$1:C$4000,3,FALSE)</f>
        <v>#N/A</v>
      </c>
      <c r="C32" s="1" t="e">
        <f>VLOOKUP(E32,Inspector!A$1:B$50,2,FALSE)</f>
        <v>#N/A</v>
      </c>
      <c r="I32" s="1" t="e">
        <f>VLOOKUP(D32,epiunits!A$1:J$4000,6,FALSE)</f>
        <v>#N/A</v>
      </c>
      <c r="J32" s="1" t="e">
        <f>VLOOKUP(D32,epiunits!A$1:J$4000,7,FALSE)</f>
        <v>#N/A</v>
      </c>
      <c r="K32" s="1" t="e">
        <f>VLOOKUP(D32,epiunits!A$1:J$4000,8,FALSE)</f>
        <v>#N/A</v>
      </c>
      <c r="L32" s="1" t="e">
        <f>VLOOKUP(D32,epiunits!A$1:J$4000,9,FALSE)</f>
        <v>#N/A</v>
      </c>
      <c r="M32" s="1" t="e">
        <f>VLOOKUP(D32,epiunits!A$1:J$4000,10,FALSE)</f>
        <v>#N/A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s="1" t="e">
        <f>VLOOKUP(D33,epiunits!A$1:C$4000,2,FALSE)</f>
        <v>#N/A</v>
      </c>
      <c r="B33" s="1" t="e">
        <f>VLOOKUP(D33,epiunits!A$1:C$4000,3,FALSE)</f>
        <v>#N/A</v>
      </c>
      <c r="C33" s="1" t="e">
        <f>VLOOKUP(E33,Inspector!A$1:B$50,2,FALSE)</f>
        <v>#N/A</v>
      </c>
      <c r="I33" s="1" t="e">
        <f>VLOOKUP(D33,epiunits!A$1:J$4000,6,FALSE)</f>
        <v>#N/A</v>
      </c>
      <c r="J33" s="1" t="e">
        <f>VLOOKUP(D33,epiunits!A$1:J$4000,7,FALSE)</f>
        <v>#N/A</v>
      </c>
      <c r="K33" s="1" t="e">
        <f>VLOOKUP(D33,epiunits!A$1:J$4000,8,FALSE)</f>
        <v>#N/A</v>
      </c>
      <c r="L33" s="1" t="e">
        <f>VLOOKUP(D33,epiunits!A$1:J$4000,9,FALSE)</f>
        <v>#N/A</v>
      </c>
      <c r="M33" s="1" t="e">
        <f>VLOOKUP(D33,epiunits!A$1:J$4000,10,FALSE)</f>
        <v>#N/A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s="1" t="e">
        <f>VLOOKUP(D34,epiunits!A$1:C$4000,2,FALSE)</f>
        <v>#N/A</v>
      </c>
      <c r="B34" s="1" t="e">
        <f>VLOOKUP(D34,epiunits!A$1:C$4000,3,FALSE)</f>
        <v>#N/A</v>
      </c>
      <c r="C34" s="1" t="e">
        <f>VLOOKUP(E34,Inspector!A$1:B$50,2,FALSE)</f>
        <v>#N/A</v>
      </c>
      <c r="I34" s="1" t="e">
        <f>VLOOKUP(D34,epiunits!A$1:J$4000,6,FALSE)</f>
        <v>#N/A</v>
      </c>
      <c r="J34" s="1" t="e">
        <f>VLOOKUP(D34,epiunits!A$1:J$4000,7,FALSE)</f>
        <v>#N/A</v>
      </c>
      <c r="K34" s="1" t="e">
        <f>VLOOKUP(D34,epiunits!A$1:J$4000,8,FALSE)</f>
        <v>#N/A</v>
      </c>
      <c r="L34" s="1" t="e">
        <f>VLOOKUP(D34,epiunits!A$1:J$4000,9,FALSE)</f>
        <v>#N/A</v>
      </c>
      <c r="M34" s="1" t="e">
        <f>VLOOKUP(D34,epiunits!A$1:J$4000,10,FALSE)</f>
        <v>#N/A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</row>
    <row r="35" spans="1:51" x14ac:dyDescent="0.25">
      <c r="A35" s="1" t="e">
        <f>VLOOKUP(D35,epiunits!A$1:C$4000,2,FALSE)</f>
        <v>#N/A</v>
      </c>
      <c r="B35" s="1" t="e">
        <f>VLOOKUP(D35,epiunits!A$1:C$4000,3,FALSE)</f>
        <v>#N/A</v>
      </c>
      <c r="C35" s="1" t="e">
        <f>VLOOKUP(E35,Inspector!A$1:B$50,2,FALSE)</f>
        <v>#N/A</v>
      </c>
      <c r="I35" s="1" t="e">
        <f>VLOOKUP(D35,epiunits!A$1:J$4000,6,FALSE)</f>
        <v>#N/A</v>
      </c>
      <c r="J35" s="1" t="e">
        <f>VLOOKUP(D35,epiunits!A$1:J$4000,7,FALSE)</f>
        <v>#N/A</v>
      </c>
      <c r="K35" s="1" t="e">
        <f>VLOOKUP(D35,epiunits!A$1:J$4000,8,FALSE)</f>
        <v>#N/A</v>
      </c>
      <c r="L35" s="1" t="e">
        <f>VLOOKUP(D35,epiunits!A$1:J$4000,9,FALSE)</f>
        <v>#N/A</v>
      </c>
      <c r="M35" s="1" t="e">
        <f>VLOOKUP(D35,epiunits!A$1:J$4000,10,FALSE)</f>
        <v>#N/A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s="1" t="e">
        <f>VLOOKUP(D36,epiunits!A$1:C$4000,2,FALSE)</f>
        <v>#N/A</v>
      </c>
      <c r="B36" s="1" t="e">
        <f>VLOOKUP(D36,epiunits!A$1:C$4000,3,FALSE)</f>
        <v>#N/A</v>
      </c>
      <c r="C36" s="1" t="e">
        <f>VLOOKUP(E36,Inspector!A$1:B$50,2,FALSE)</f>
        <v>#N/A</v>
      </c>
      <c r="I36" s="1" t="e">
        <f>VLOOKUP(D36,epiunits!A$1:J$4000,6,FALSE)</f>
        <v>#N/A</v>
      </c>
      <c r="J36" s="1" t="e">
        <f>VLOOKUP(D36,epiunits!A$1:J$4000,7,FALSE)</f>
        <v>#N/A</v>
      </c>
      <c r="K36" s="1" t="e">
        <f>VLOOKUP(D36,epiunits!A$1:J$4000,8,FALSE)</f>
        <v>#N/A</v>
      </c>
      <c r="L36" s="1" t="e">
        <f>VLOOKUP(D36,epiunits!A$1:J$4000,9,FALSE)</f>
        <v>#N/A</v>
      </c>
      <c r="M36" s="1" t="e">
        <f>VLOOKUP(D36,epiunits!A$1:J$4000,10,FALSE)</f>
        <v>#N/A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</row>
    <row r="37" spans="1:51" x14ac:dyDescent="0.25">
      <c r="A37" s="1" t="e">
        <f>VLOOKUP(D37,epiunits!A$1:C$4000,2,FALSE)</f>
        <v>#N/A</v>
      </c>
      <c r="B37" s="1" t="e">
        <f>VLOOKUP(D37,epiunits!A$1:C$4000,3,FALSE)</f>
        <v>#N/A</v>
      </c>
      <c r="C37" s="1" t="e">
        <f>VLOOKUP(E37,Inspector!A$1:B$50,2,FALSE)</f>
        <v>#N/A</v>
      </c>
      <c r="I37" s="1" t="e">
        <f>VLOOKUP(D37,epiunits!A$1:J$4000,6,FALSE)</f>
        <v>#N/A</v>
      </c>
      <c r="J37" s="1" t="e">
        <f>VLOOKUP(D37,epiunits!A$1:J$4000,7,FALSE)</f>
        <v>#N/A</v>
      </c>
      <c r="K37" s="1" t="e">
        <f>VLOOKUP(D37,epiunits!A$1:J$4000,8,FALSE)</f>
        <v>#N/A</v>
      </c>
      <c r="L37" s="1" t="e">
        <f>VLOOKUP(D37,epiunits!A$1:J$4000,9,FALSE)</f>
        <v>#N/A</v>
      </c>
      <c r="M37" s="1" t="e">
        <f>VLOOKUP(D37,epiunits!A$1:J$4000,10,FALSE)</f>
        <v>#N/A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</row>
    <row r="38" spans="1:51" x14ac:dyDescent="0.25">
      <c r="A38" s="1" t="e">
        <f>VLOOKUP(D38,epiunits!A$1:C$4000,2,FALSE)</f>
        <v>#N/A</v>
      </c>
      <c r="B38" s="1" t="e">
        <f>VLOOKUP(D38,epiunits!A$1:C$4000,3,FALSE)</f>
        <v>#N/A</v>
      </c>
      <c r="C38" s="1" t="e">
        <f>VLOOKUP(E38,Inspector!A$1:B$50,2,FALSE)</f>
        <v>#N/A</v>
      </c>
      <c r="I38" s="1" t="e">
        <f>VLOOKUP(D38,epiunits!A$1:J$4000,6,FALSE)</f>
        <v>#N/A</v>
      </c>
      <c r="J38" s="1" t="e">
        <f>VLOOKUP(D38,epiunits!A$1:J$4000,7,FALSE)</f>
        <v>#N/A</v>
      </c>
      <c r="K38" s="1" t="e">
        <f>VLOOKUP(D38,epiunits!A$1:J$4000,8,FALSE)</f>
        <v>#N/A</v>
      </c>
      <c r="L38" s="1" t="e">
        <f>VLOOKUP(D38,epiunits!A$1:J$4000,9,FALSE)</f>
        <v>#N/A</v>
      </c>
      <c r="M38" s="1" t="e">
        <f>VLOOKUP(D38,epiunits!A$1:J$4000,10,FALSE)</f>
        <v>#N/A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s="1" t="e">
        <f>VLOOKUP(D39,epiunits!A$1:C$4000,2,FALSE)</f>
        <v>#N/A</v>
      </c>
      <c r="B39" s="1" t="e">
        <f>VLOOKUP(D39,epiunits!A$1:C$4000,3,FALSE)</f>
        <v>#N/A</v>
      </c>
      <c r="C39" s="1" t="e">
        <f>VLOOKUP(E39,Inspector!A$1:B$50,2,FALSE)</f>
        <v>#N/A</v>
      </c>
      <c r="I39" s="1" t="e">
        <f>VLOOKUP(D39,epiunits!A$1:J$4000,6,FALSE)</f>
        <v>#N/A</v>
      </c>
      <c r="J39" s="1" t="e">
        <f>VLOOKUP(D39,epiunits!A$1:J$4000,7,FALSE)</f>
        <v>#N/A</v>
      </c>
      <c r="K39" s="1" t="e">
        <f>VLOOKUP(D39,epiunits!A$1:J$4000,8,FALSE)</f>
        <v>#N/A</v>
      </c>
      <c r="L39" s="1" t="e">
        <f>VLOOKUP(D39,epiunits!A$1:J$4000,9,FALSE)</f>
        <v>#N/A</v>
      </c>
      <c r="M39" s="1" t="e">
        <f>VLOOKUP(D39,epiunits!A$1:J$4000,10,FALSE)</f>
        <v>#N/A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</row>
    <row r="40" spans="1:51" x14ac:dyDescent="0.25">
      <c r="A40" s="1" t="e">
        <f>VLOOKUP(D40,epiunits!A$1:C$4000,2,FALSE)</f>
        <v>#N/A</v>
      </c>
      <c r="B40" s="1" t="e">
        <f>VLOOKUP(D40,epiunits!A$1:C$4000,3,FALSE)</f>
        <v>#N/A</v>
      </c>
      <c r="C40" s="1" t="e">
        <f>VLOOKUP(E40,Inspector!A$1:B$50,2,FALSE)</f>
        <v>#N/A</v>
      </c>
      <c r="I40" s="1" t="e">
        <f>VLOOKUP(D40,epiunits!A$1:J$4000,6,FALSE)</f>
        <v>#N/A</v>
      </c>
      <c r="J40" s="1" t="e">
        <f>VLOOKUP(D40,epiunits!A$1:J$4000,7,FALSE)</f>
        <v>#N/A</v>
      </c>
      <c r="K40" s="1" t="e">
        <f>VLOOKUP(D40,epiunits!A$1:J$4000,8,FALSE)</f>
        <v>#N/A</v>
      </c>
      <c r="L40" s="1" t="e">
        <f>VLOOKUP(D40,epiunits!A$1:J$4000,9,FALSE)</f>
        <v>#N/A</v>
      </c>
      <c r="M40" s="1" t="e">
        <f>VLOOKUP(D40,epiunits!A$1:J$4000,10,FALSE)</f>
        <v>#N/A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</row>
    <row r="41" spans="1:51" x14ac:dyDescent="0.25">
      <c r="A41" s="1" t="e">
        <f>VLOOKUP(D41,epiunits!A$1:C$4000,2,FALSE)</f>
        <v>#N/A</v>
      </c>
      <c r="B41" s="1" t="e">
        <f>VLOOKUP(D41,epiunits!A$1:C$4000,3,FALSE)</f>
        <v>#N/A</v>
      </c>
      <c r="C41" s="1" t="e">
        <f>VLOOKUP(E41,Inspector!A$1:B$50,2,FALSE)</f>
        <v>#N/A</v>
      </c>
      <c r="I41" s="1" t="e">
        <f>VLOOKUP(D41,epiunits!A$1:J$4000,6,FALSE)</f>
        <v>#N/A</v>
      </c>
      <c r="J41" s="1" t="e">
        <f>VLOOKUP(D41,epiunits!A$1:J$4000,7,FALSE)</f>
        <v>#N/A</v>
      </c>
      <c r="K41" s="1" t="e">
        <f>VLOOKUP(D41,epiunits!A$1:J$4000,8,FALSE)</f>
        <v>#N/A</v>
      </c>
      <c r="L41" s="1" t="e">
        <f>VLOOKUP(D41,epiunits!A$1:J$4000,9,FALSE)</f>
        <v>#N/A</v>
      </c>
      <c r="M41" s="1" t="e">
        <f>VLOOKUP(D41,epiunits!A$1:J$4000,10,FALSE)</f>
        <v>#N/A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s="1" t="e">
        <f>VLOOKUP(D42,epiunits!A$1:C$4000,2,FALSE)</f>
        <v>#N/A</v>
      </c>
      <c r="B42" s="1" t="e">
        <f>VLOOKUP(D42,epiunits!A$1:C$4000,3,FALSE)</f>
        <v>#N/A</v>
      </c>
      <c r="C42" s="1" t="e">
        <f>VLOOKUP(E42,Inspector!A$1:B$50,2,FALSE)</f>
        <v>#N/A</v>
      </c>
      <c r="I42" s="1" t="e">
        <f>VLOOKUP(D42,epiunits!A$1:J$4000,6,FALSE)</f>
        <v>#N/A</v>
      </c>
      <c r="J42" s="1" t="e">
        <f>VLOOKUP(D42,epiunits!A$1:J$4000,7,FALSE)</f>
        <v>#N/A</v>
      </c>
      <c r="K42" s="1" t="e">
        <f>VLOOKUP(D42,epiunits!A$1:J$4000,8,FALSE)</f>
        <v>#N/A</v>
      </c>
      <c r="L42" s="1" t="e">
        <f>VLOOKUP(D42,epiunits!A$1:J$4000,9,FALSE)</f>
        <v>#N/A</v>
      </c>
      <c r="M42" s="1" t="e">
        <f>VLOOKUP(D42,epiunits!A$1:J$4000,10,FALSE)</f>
        <v>#N/A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</row>
    <row r="43" spans="1:51" x14ac:dyDescent="0.25">
      <c r="A43" s="1" t="e">
        <f>VLOOKUP(D43,epiunits!A$1:C$4000,2,FALSE)</f>
        <v>#N/A</v>
      </c>
      <c r="B43" s="1" t="e">
        <f>VLOOKUP(D43,epiunits!A$1:C$4000,3,FALSE)</f>
        <v>#N/A</v>
      </c>
      <c r="C43" s="1" t="e">
        <f>VLOOKUP(E43,Inspector!A$1:B$50,2,FALSE)</f>
        <v>#N/A</v>
      </c>
      <c r="I43" s="1" t="e">
        <f>VLOOKUP(D43,epiunits!A$1:J$4000,6,FALSE)</f>
        <v>#N/A</v>
      </c>
      <c r="J43" s="1" t="e">
        <f>VLOOKUP(D43,epiunits!A$1:J$4000,7,FALSE)</f>
        <v>#N/A</v>
      </c>
      <c r="K43" s="1" t="e">
        <f>VLOOKUP(D43,epiunits!A$1:J$4000,8,FALSE)</f>
        <v>#N/A</v>
      </c>
      <c r="L43" s="1" t="e">
        <f>VLOOKUP(D43,epiunits!A$1:J$4000,9,FALSE)</f>
        <v>#N/A</v>
      </c>
      <c r="M43" s="1" t="e">
        <f>VLOOKUP(D43,epiunits!A$1:J$4000,10,FALSE)</f>
        <v>#N/A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25">
      <c r="A44" s="1" t="e">
        <f>VLOOKUP(D44,epiunits!A$1:C$4000,2,FALSE)</f>
        <v>#N/A</v>
      </c>
      <c r="B44" s="1" t="e">
        <f>VLOOKUP(D44,epiunits!A$1:C$4000,3,FALSE)</f>
        <v>#N/A</v>
      </c>
      <c r="C44" s="1" t="e">
        <f>VLOOKUP(E44,Inspector!A$1:B$50,2,FALSE)</f>
        <v>#N/A</v>
      </c>
      <c r="I44" s="1" t="e">
        <f>VLOOKUP(D44,epiunits!A$1:J$4000,6,FALSE)</f>
        <v>#N/A</v>
      </c>
      <c r="J44" s="1" t="e">
        <f>VLOOKUP(D44,epiunits!A$1:J$4000,7,FALSE)</f>
        <v>#N/A</v>
      </c>
      <c r="K44" s="1" t="e">
        <f>VLOOKUP(D44,epiunits!A$1:J$4000,8,FALSE)</f>
        <v>#N/A</v>
      </c>
      <c r="L44" s="1" t="e">
        <f>VLOOKUP(D44,epiunits!A$1:J$4000,9,FALSE)</f>
        <v>#N/A</v>
      </c>
      <c r="M44" s="1" t="e">
        <f>VLOOKUP(D44,epiunits!A$1:J$4000,10,FALSE)</f>
        <v>#N/A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</row>
    <row r="45" spans="1:51" x14ac:dyDescent="0.25">
      <c r="A45" s="1" t="e">
        <f>VLOOKUP(D45,epiunits!A$1:C$4000,2,FALSE)</f>
        <v>#N/A</v>
      </c>
      <c r="B45" s="1" t="e">
        <f>VLOOKUP(D45,epiunits!A$1:C$4000,3,FALSE)</f>
        <v>#N/A</v>
      </c>
      <c r="C45" s="1" t="e">
        <f>VLOOKUP(E45,Inspector!A$1:B$50,2,FALSE)</f>
        <v>#N/A</v>
      </c>
      <c r="I45" s="1" t="e">
        <f>VLOOKUP(D45,epiunits!A$1:J$4000,6,FALSE)</f>
        <v>#N/A</v>
      </c>
      <c r="J45" s="1" t="e">
        <f>VLOOKUP(D45,epiunits!A$1:J$4000,7,FALSE)</f>
        <v>#N/A</v>
      </c>
      <c r="K45" s="1" t="e">
        <f>VLOOKUP(D45,epiunits!A$1:J$4000,8,FALSE)</f>
        <v>#N/A</v>
      </c>
      <c r="L45" s="1" t="e">
        <f>VLOOKUP(D45,epiunits!A$1:J$4000,9,FALSE)</f>
        <v>#N/A</v>
      </c>
      <c r="M45" s="1" t="e">
        <f>VLOOKUP(D45,epiunits!A$1:J$4000,10,FALSE)</f>
        <v>#N/A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s="1" t="e">
        <f>VLOOKUP(D46,epiunits!A$1:C$4000,2,FALSE)</f>
        <v>#N/A</v>
      </c>
      <c r="B46" s="1" t="e">
        <f>VLOOKUP(D46,epiunits!A$1:C$4000,3,FALSE)</f>
        <v>#N/A</v>
      </c>
      <c r="C46" s="1" t="e">
        <f>VLOOKUP(E46,Inspector!A$1:B$50,2,FALSE)</f>
        <v>#N/A</v>
      </c>
      <c r="I46" s="1" t="e">
        <f>VLOOKUP(D46,epiunits!A$1:J$4000,6,FALSE)</f>
        <v>#N/A</v>
      </c>
      <c r="J46" s="1" t="e">
        <f>VLOOKUP(D46,epiunits!A$1:J$4000,7,FALSE)</f>
        <v>#N/A</v>
      </c>
      <c r="K46" s="1" t="e">
        <f>VLOOKUP(D46,epiunits!A$1:J$4000,8,FALSE)</f>
        <v>#N/A</v>
      </c>
      <c r="L46" s="1" t="e">
        <f>VLOOKUP(D46,epiunits!A$1:J$4000,9,FALSE)</f>
        <v>#N/A</v>
      </c>
      <c r="M46" s="1" t="e">
        <f>VLOOKUP(D46,epiunits!A$1:J$4000,10,FALSE)</f>
        <v>#N/A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</row>
    <row r="47" spans="1:51" x14ac:dyDescent="0.25">
      <c r="A47" s="1" t="e">
        <f>VLOOKUP(D47,epiunits!A$1:C$4000,2,FALSE)</f>
        <v>#N/A</v>
      </c>
      <c r="B47" s="1" t="e">
        <f>VLOOKUP(D47,epiunits!A$1:C$4000,3,FALSE)</f>
        <v>#N/A</v>
      </c>
      <c r="C47" s="1" t="e">
        <f>VLOOKUP(E47,Inspector!A$1:B$50,2,FALSE)</f>
        <v>#N/A</v>
      </c>
      <c r="I47" s="1" t="e">
        <f>VLOOKUP(D47,epiunits!A$1:J$4000,6,FALSE)</f>
        <v>#N/A</v>
      </c>
      <c r="J47" s="1" t="e">
        <f>VLOOKUP(D47,epiunits!A$1:J$4000,7,FALSE)</f>
        <v>#N/A</v>
      </c>
      <c r="K47" s="1" t="e">
        <f>VLOOKUP(D47,epiunits!A$1:J$4000,8,FALSE)</f>
        <v>#N/A</v>
      </c>
      <c r="L47" s="1" t="e">
        <f>VLOOKUP(D47,epiunits!A$1:J$4000,9,FALSE)</f>
        <v>#N/A</v>
      </c>
      <c r="M47" s="1" t="e">
        <f>VLOOKUP(D47,epiunits!A$1:J$4000,10,FALSE)</f>
        <v>#N/A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</row>
    <row r="48" spans="1:51" x14ac:dyDescent="0.25">
      <c r="A48" s="1" t="e">
        <f>VLOOKUP(D48,epiunits!A$1:C$4000,2,FALSE)</f>
        <v>#N/A</v>
      </c>
      <c r="B48" s="1" t="e">
        <f>VLOOKUP(D48,epiunits!A$1:C$4000,3,FALSE)</f>
        <v>#N/A</v>
      </c>
      <c r="C48" s="1" t="e">
        <f>VLOOKUP(E48,Inspector!A$1:B$50,2,FALSE)</f>
        <v>#N/A</v>
      </c>
      <c r="I48" s="1" t="e">
        <f>VLOOKUP(D48,epiunits!A$1:J$4000,6,FALSE)</f>
        <v>#N/A</v>
      </c>
      <c r="J48" s="1" t="e">
        <f>VLOOKUP(D48,epiunits!A$1:J$4000,7,FALSE)</f>
        <v>#N/A</v>
      </c>
      <c r="K48" s="1" t="e">
        <f>VLOOKUP(D48,epiunits!A$1:J$4000,8,FALSE)</f>
        <v>#N/A</v>
      </c>
      <c r="L48" s="1" t="e">
        <f>VLOOKUP(D48,epiunits!A$1:J$4000,9,FALSE)</f>
        <v>#N/A</v>
      </c>
      <c r="M48" s="1" t="e">
        <f>VLOOKUP(D48,epiunits!A$1:J$4000,10,FALSE)</f>
        <v>#N/A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</row>
    <row r="49" spans="1:51" x14ac:dyDescent="0.25">
      <c r="A49" s="1" t="e">
        <f>VLOOKUP(D49,epiunits!A$1:C$4000,2,FALSE)</f>
        <v>#N/A</v>
      </c>
      <c r="B49" s="1" t="e">
        <f>VLOOKUP(D49,epiunits!A$1:C$4000,3,FALSE)</f>
        <v>#N/A</v>
      </c>
      <c r="C49" s="1" t="e">
        <f>VLOOKUP(E49,Inspector!A$1:B$50,2,FALSE)</f>
        <v>#N/A</v>
      </c>
      <c r="I49" s="1" t="e">
        <f>VLOOKUP(D49,epiunits!A$1:J$4000,6,FALSE)</f>
        <v>#N/A</v>
      </c>
      <c r="J49" s="1" t="e">
        <f>VLOOKUP(D49,epiunits!A$1:J$4000,7,FALSE)</f>
        <v>#N/A</v>
      </c>
      <c r="K49" s="1" t="e">
        <f>VLOOKUP(D49,epiunits!A$1:J$4000,8,FALSE)</f>
        <v>#N/A</v>
      </c>
      <c r="L49" s="1" t="e">
        <f>VLOOKUP(D49,epiunits!A$1:J$4000,9,FALSE)</f>
        <v>#N/A</v>
      </c>
      <c r="M49" s="1" t="e">
        <f>VLOOKUP(D49,epiunits!A$1:J$4000,10,FALSE)</f>
        <v>#N/A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</row>
    <row r="50" spans="1:51" x14ac:dyDescent="0.25">
      <c r="A50" s="1" t="e">
        <f>VLOOKUP(D50,epiunits!A$1:C$4000,2,FALSE)</f>
        <v>#N/A</v>
      </c>
      <c r="B50" s="1" t="e">
        <f>VLOOKUP(D50,epiunits!A$1:C$4000,3,FALSE)</f>
        <v>#N/A</v>
      </c>
      <c r="C50" s="1" t="e">
        <f>VLOOKUP(E50,Inspector!A$1:B$50,2,FALSE)</f>
        <v>#N/A</v>
      </c>
      <c r="I50" s="1" t="e">
        <f>VLOOKUP(D50,epiunits!A$1:J$4000,6,FALSE)</f>
        <v>#N/A</v>
      </c>
      <c r="J50" s="1" t="e">
        <f>VLOOKUP(D50,epiunits!A$1:J$4000,7,FALSE)</f>
        <v>#N/A</v>
      </c>
      <c r="K50" s="1" t="e">
        <f>VLOOKUP(D50,epiunits!A$1:J$4000,8,FALSE)</f>
        <v>#N/A</v>
      </c>
      <c r="L50" s="1" t="e">
        <f>VLOOKUP(D50,epiunits!A$1:J$4000,9,FALSE)</f>
        <v>#N/A</v>
      </c>
      <c r="M50" s="1" t="e">
        <f>VLOOKUP(D50,epiunits!A$1:J$4000,10,FALSE)</f>
        <v>#N/A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s="1" t="e">
        <f>VLOOKUP(D51,epiunits!A$1:C$4000,2,FALSE)</f>
        <v>#N/A</v>
      </c>
      <c r="B51" s="1" t="e">
        <f>VLOOKUP(D51,epiunits!A$1:C$4000,3,FALSE)</f>
        <v>#N/A</v>
      </c>
      <c r="C51" s="1" t="e">
        <f>VLOOKUP(E51,Inspector!A$1:B$50,2,FALSE)</f>
        <v>#N/A</v>
      </c>
      <c r="I51" s="1" t="e">
        <f>VLOOKUP(D51,epiunits!A$1:J$4000,6,FALSE)</f>
        <v>#N/A</v>
      </c>
      <c r="J51" s="1" t="e">
        <f>VLOOKUP(D51,epiunits!A$1:J$4000,7,FALSE)</f>
        <v>#N/A</v>
      </c>
      <c r="K51" s="1" t="e">
        <f>VLOOKUP(D51,epiunits!A$1:J$4000,8,FALSE)</f>
        <v>#N/A</v>
      </c>
      <c r="L51" s="1" t="e">
        <f>VLOOKUP(D51,epiunits!A$1:J$4000,9,FALSE)</f>
        <v>#N/A</v>
      </c>
      <c r="M51" s="1" t="e">
        <f>VLOOKUP(D51,epiunits!A$1:J$4000,10,FALSE)</f>
        <v>#N/A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</row>
    <row r="52" spans="1:51" x14ac:dyDescent="0.25">
      <c r="A52" s="1" t="e">
        <f>VLOOKUP(D52,epiunits!A$1:C$4000,2,FALSE)</f>
        <v>#N/A</v>
      </c>
      <c r="B52" s="1" t="e">
        <f>VLOOKUP(D52,epiunits!A$1:C$4000,3,FALSE)</f>
        <v>#N/A</v>
      </c>
      <c r="C52" s="1" t="e">
        <f>VLOOKUP(E52,Inspector!A$1:B$50,2,FALSE)</f>
        <v>#N/A</v>
      </c>
      <c r="I52" s="1" t="e">
        <f>VLOOKUP(D52,epiunits!A$1:J$4000,6,FALSE)</f>
        <v>#N/A</v>
      </c>
      <c r="J52" s="1" t="e">
        <f>VLOOKUP(D52,epiunits!A$1:J$4000,7,FALSE)</f>
        <v>#N/A</v>
      </c>
      <c r="K52" s="1" t="e">
        <f>VLOOKUP(D52,epiunits!A$1:J$4000,8,FALSE)</f>
        <v>#N/A</v>
      </c>
      <c r="L52" s="1" t="e">
        <f>VLOOKUP(D52,epiunits!A$1:J$4000,9,FALSE)</f>
        <v>#N/A</v>
      </c>
      <c r="M52" s="1" t="e">
        <f>VLOOKUP(D52,epiunits!A$1:J$4000,10,FALSE)</f>
        <v>#N/A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</row>
    <row r="53" spans="1:51" x14ac:dyDescent="0.25">
      <c r="A53" s="1" t="e">
        <f>VLOOKUP(D53,epiunits!A$1:C$4000,2,FALSE)</f>
        <v>#N/A</v>
      </c>
      <c r="B53" s="1" t="e">
        <f>VLOOKUP(D53,epiunits!A$1:C$4000,3,FALSE)</f>
        <v>#N/A</v>
      </c>
      <c r="C53" s="1" t="e">
        <f>VLOOKUP(E53,Inspector!A$1:B$50,2,FALSE)</f>
        <v>#N/A</v>
      </c>
      <c r="I53" s="1" t="e">
        <f>VLOOKUP(D53,epiunits!A$1:J$4000,6,FALSE)</f>
        <v>#N/A</v>
      </c>
      <c r="J53" s="1" t="e">
        <f>VLOOKUP(D53,epiunits!A$1:J$4000,7,FALSE)</f>
        <v>#N/A</v>
      </c>
      <c r="K53" s="1" t="e">
        <f>VLOOKUP(D53,epiunits!A$1:J$4000,8,FALSE)</f>
        <v>#N/A</v>
      </c>
      <c r="L53" s="1" t="e">
        <f>VLOOKUP(D53,epiunits!A$1:J$4000,9,FALSE)</f>
        <v>#N/A</v>
      </c>
      <c r="M53" s="1" t="e">
        <f>VLOOKUP(D53,epiunits!A$1:J$4000,10,FALSE)</f>
        <v>#N/A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</row>
    <row r="54" spans="1:51" x14ac:dyDescent="0.25">
      <c r="A54" s="1" t="e">
        <f>VLOOKUP(D54,epiunits!A$1:C$4000,2,FALSE)</f>
        <v>#N/A</v>
      </c>
      <c r="B54" s="1" t="e">
        <f>VLOOKUP(D54,epiunits!A$1:C$4000,3,FALSE)</f>
        <v>#N/A</v>
      </c>
      <c r="C54" s="1" t="e">
        <f>VLOOKUP(E54,Inspector!A$1:B$50,2,FALSE)</f>
        <v>#N/A</v>
      </c>
      <c r="I54" s="1" t="e">
        <f>VLOOKUP(D54,epiunits!A$1:J$4000,6,FALSE)</f>
        <v>#N/A</v>
      </c>
      <c r="J54" s="1" t="e">
        <f>VLOOKUP(D54,epiunits!A$1:J$4000,7,FALSE)</f>
        <v>#N/A</v>
      </c>
      <c r="K54" s="1" t="e">
        <f>VLOOKUP(D54,epiunits!A$1:J$4000,8,FALSE)</f>
        <v>#N/A</v>
      </c>
      <c r="L54" s="1" t="e">
        <f>VLOOKUP(D54,epiunits!A$1:J$4000,9,FALSE)</f>
        <v>#N/A</v>
      </c>
      <c r="M54" s="1" t="e">
        <f>VLOOKUP(D54,epiunits!A$1:J$4000,10,FALSE)</f>
        <v>#N/A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s="1" t="e">
        <f>VLOOKUP(D55,epiunits!A$1:C$4000,2,FALSE)</f>
        <v>#N/A</v>
      </c>
      <c r="B55" s="1" t="e">
        <f>VLOOKUP(D55,epiunits!A$1:C$4000,3,FALSE)</f>
        <v>#N/A</v>
      </c>
      <c r="C55" s="1" t="e">
        <f>VLOOKUP(E55,Inspector!A$1:B$50,2,FALSE)</f>
        <v>#N/A</v>
      </c>
      <c r="I55" s="1" t="e">
        <f>VLOOKUP(D55,epiunits!A$1:J$4000,6,FALSE)</f>
        <v>#N/A</v>
      </c>
      <c r="J55" s="1" t="e">
        <f>VLOOKUP(D55,epiunits!A$1:J$4000,7,FALSE)</f>
        <v>#N/A</v>
      </c>
      <c r="K55" s="1" t="e">
        <f>VLOOKUP(D55,epiunits!A$1:J$4000,8,FALSE)</f>
        <v>#N/A</v>
      </c>
      <c r="L55" s="1" t="e">
        <f>VLOOKUP(D55,epiunits!A$1:J$4000,9,FALSE)</f>
        <v>#N/A</v>
      </c>
      <c r="M55" s="1" t="e">
        <f>VLOOKUP(D55,epiunits!A$1:J$4000,10,FALSE)</f>
        <v>#N/A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s="1" t="e">
        <f>VLOOKUP(D56,epiunits!A$1:C$4000,2,FALSE)</f>
        <v>#N/A</v>
      </c>
      <c r="B56" s="1" t="e">
        <f>VLOOKUP(D56,epiunits!A$1:C$4000,3,FALSE)</f>
        <v>#N/A</v>
      </c>
      <c r="C56" s="1" t="e">
        <f>VLOOKUP(E56,Inspector!A$1:B$50,2,FALSE)</f>
        <v>#N/A</v>
      </c>
      <c r="I56" s="1" t="e">
        <f>VLOOKUP(D56,epiunits!A$1:J$4000,6,FALSE)</f>
        <v>#N/A</v>
      </c>
      <c r="J56" s="1" t="e">
        <f>VLOOKUP(D56,epiunits!A$1:J$4000,7,FALSE)</f>
        <v>#N/A</v>
      </c>
      <c r="K56" s="1" t="e">
        <f>VLOOKUP(D56,epiunits!A$1:J$4000,8,FALSE)</f>
        <v>#N/A</v>
      </c>
      <c r="L56" s="1" t="e">
        <f>VLOOKUP(D56,epiunits!A$1:J$4000,9,FALSE)</f>
        <v>#N/A</v>
      </c>
      <c r="M56" s="1" t="e">
        <f>VLOOKUP(D56,epiunits!A$1:J$4000,10,FALSE)</f>
        <v>#N/A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s="1" t="e">
        <f>VLOOKUP(D57,epiunits!A$1:C$4000,2,FALSE)</f>
        <v>#N/A</v>
      </c>
      <c r="B57" s="1" t="e">
        <f>VLOOKUP(D57,epiunits!A$1:C$4000,3,FALSE)</f>
        <v>#N/A</v>
      </c>
      <c r="C57" s="1" t="e">
        <f>VLOOKUP(E57,Inspector!A$1:B$50,2,FALSE)</f>
        <v>#N/A</v>
      </c>
      <c r="I57" s="1" t="e">
        <f>VLOOKUP(D57,epiunits!A$1:J$4000,6,FALSE)</f>
        <v>#N/A</v>
      </c>
      <c r="J57" s="1" t="e">
        <f>VLOOKUP(D57,epiunits!A$1:J$4000,7,FALSE)</f>
        <v>#N/A</v>
      </c>
      <c r="K57" s="1" t="e">
        <f>VLOOKUP(D57,epiunits!A$1:J$4000,8,FALSE)</f>
        <v>#N/A</v>
      </c>
      <c r="L57" s="1" t="e">
        <f>VLOOKUP(D57,epiunits!A$1:J$4000,9,FALSE)</f>
        <v>#N/A</v>
      </c>
      <c r="M57" s="1" t="e">
        <f>VLOOKUP(D57,epiunits!A$1:J$4000,10,FALSE)</f>
        <v>#N/A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</row>
    <row r="58" spans="1:51" x14ac:dyDescent="0.25">
      <c r="A58" s="1" t="e">
        <f>VLOOKUP(D58,epiunits!A$1:C$4000,2,FALSE)</f>
        <v>#N/A</v>
      </c>
      <c r="B58" s="1" t="e">
        <f>VLOOKUP(D58,epiunits!A$1:C$4000,3,FALSE)</f>
        <v>#N/A</v>
      </c>
      <c r="C58" s="1" t="e">
        <f>VLOOKUP(E58,Inspector!A$1:B$50,2,FALSE)</f>
        <v>#N/A</v>
      </c>
      <c r="I58" s="1" t="e">
        <f>VLOOKUP(D58,epiunits!A$1:J$4000,6,FALSE)</f>
        <v>#N/A</v>
      </c>
      <c r="J58" s="1" t="e">
        <f>VLOOKUP(D58,epiunits!A$1:J$4000,7,FALSE)</f>
        <v>#N/A</v>
      </c>
      <c r="K58" s="1" t="e">
        <f>VLOOKUP(D58,epiunits!A$1:J$4000,8,FALSE)</f>
        <v>#N/A</v>
      </c>
      <c r="L58" s="1" t="e">
        <f>VLOOKUP(D58,epiunits!A$1:J$4000,9,FALSE)</f>
        <v>#N/A</v>
      </c>
      <c r="M58" s="1" t="e">
        <f>VLOOKUP(D58,epiunits!A$1:J$4000,10,FALSE)</f>
        <v>#N/A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s="1" t="e">
        <f>VLOOKUP(D59,epiunits!A$1:C$4000,2,FALSE)</f>
        <v>#N/A</v>
      </c>
      <c r="B59" s="1" t="e">
        <f>VLOOKUP(D59,epiunits!A$1:C$4000,3,FALSE)</f>
        <v>#N/A</v>
      </c>
      <c r="C59" s="1" t="e">
        <f>VLOOKUP(E59,Inspector!A$1:B$50,2,FALSE)</f>
        <v>#N/A</v>
      </c>
      <c r="I59" s="1" t="e">
        <f>VLOOKUP(D59,epiunits!A$1:J$4000,6,FALSE)</f>
        <v>#N/A</v>
      </c>
      <c r="J59" s="1" t="e">
        <f>VLOOKUP(D59,epiunits!A$1:J$4000,7,FALSE)</f>
        <v>#N/A</v>
      </c>
      <c r="K59" s="1" t="e">
        <f>VLOOKUP(D59,epiunits!A$1:J$4000,8,FALSE)</f>
        <v>#N/A</v>
      </c>
      <c r="L59" s="1" t="e">
        <f>VLOOKUP(D59,epiunits!A$1:J$4000,9,FALSE)</f>
        <v>#N/A</v>
      </c>
      <c r="M59" s="1" t="e">
        <f>VLOOKUP(D59,epiunits!A$1:J$4000,10,FALSE)</f>
        <v>#N/A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s="1" t="e">
        <f>VLOOKUP(D60,epiunits!A$1:C$4000,2,FALSE)</f>
        <v>#N/A</v>
      </c>
      <c r="B60" s="1" t="e">
        <f>VLOOKUP(D60,epiunits!A$1:C$4000,3,FALSE)</f>
        <v>#N/A</v>
      </c>
      <c r="C60" s="1" t="e">
        <f>VLOOKUP(E60,Inspector!A$1:B$50,2,FALSE)</f>
        <v>#N/A</v>
      </c>
      <c r="I60" s="1" t="e">
        <f>VLOOKUP(D60,epiunits!A$1:J$4000,6,FALSE)</f>
        <v>#N/A</v>
      </c>
      <c r="J60" s="1" t="e">
        <f>VLOOKUP(D60,epiunits!A$1:J$4000,7,FALSE)</f>
        <v>#N/A</v>
      </c>
      <c r="K60" s="1" t="e">
        <f>VLOOKUP(D60,epiunits!A$1:J$4000,8,FALSE)</f>
        <v>#N/A</v>
      </c>
      <c r="L60" s="1" t="e">
        <f>VLOOKUP(D60,epiunits!A$1:J$4000,9,FALSE)</f>
        <v>#N/A</v>
      </c>
      <c r="M60" s="1" t="e">
        <f>VLOOKUP(D60,epiunits!A$1:J$4000,10,FALSE)</f>
        <v>#N/A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s="1" t="e">
        <f>VLOOKUP(D61,epiunits!A$1:C$4000,2,FALSE)</f>
        <v>#N/A</v>
      </c>
      <c r="B61" s="1" t="e">
        <f>VLOOKUP(D61,epiunits!A$1:C$4000,3,FALSE)</f>
        <v>#N/A</v>
      </c>
      <c r="C61" s="1" t="e">
        <f>VLOOKUP(E61,Inspector!A$1:B$50,2,FALSE)</f>
        <v>#N/A</v>
      </c>
      <c r="I61" s="1" t="e">
        <f>VLOOKUP(D61,epiunits!A$1:J$4000,6,FALSE)</f>
        <v>#N/A</v>
      </c>
      <c r="J61" s="1" t="e">
        <f>VLOOKUP(D61,epiunits!A$1:J$4000,7,FALSE)</f>
        <v>#N/A</v>
      </c>
      <c r="K61" s="1" t="e">
        <f>VLOOKUP(D61,epiunits!A$1:J$4000,8,FALSE)</f>
        <v>#N/A</v>
      </c>
      <c r="L61" s="1" t="e">
        <f>VLOOKUP(D61,epiunits!A$1:J$4000,9,FALSE)</f>
        <v>#N/A</v>
      </c>
      <c r="M61" s="1" t="e">
        <f>VLOOKUP(D61,epiunits!A$1:J$4000,10,FALSE)</f>
        <v>#N/A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</row>
    <row r="62" spans="1:51" x14ac:dyDescent="0.25">
      <c r="A62" s="1" t="e">
        <f>VLOOKUP(D62,epiunits!A$1:C$4000,2,FALSE)</f>
        <v>#N/A</v>
      </c>
      <c r="B62" s="1" t="e">
        <f>VLOOKUP(D62,epiunits!A$1:C$4000,3,FALSE)</f>
        <v>#N/A</v>
      </c>
      <c r="C62" s="1" t="e">
        <f>VLOOKUP(E62,Inspector!A$1:B$50,2,FALSE)</f>
        <v>#N/A</v>
      </c>
      <c r="I62" s="1" t="e">
        <f>VLOOKUP(D62,epiunits!A$1:J$4000,6,FALSE)</f>
        <v>#N/A</v>
      </c>
      <c r="J62" s="1" t="e">
        <f>VLOOKUP(D62,epiunits!A$1:J$4000,7,FALSE)</f>
        <v>#N/A</v>
      </c>
      <c r="K62" s="1" t="e">
        <f>VLOOKUP(D62,epiunits!A$1:J$4000,8,FALSE)</f>
        <v>#N/A</v>
      </c>
      <c r="L62" s="1" t="e">
        <f>VLOOKUP(D62,epiunits!A$1:J$4000,9,FALSE)</f>
        <v>#N/A</v>
      </c>
      <c r="M62" s="1" t="e">
        <f>VLOOKUP(D62,epiunits!A$1:J$4000,10,FALSE)</f>
        <v>#N/A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s="1" t="e">
        <f>VLOOKUP(D63,epiunits!A$1:C$4000,2,FALSE)</f>
        <v>#N/A</v>
      </c>
      <c r="B63" s="1" t="e">
        <f>VLOOKUP(D63,epiunits!A$1:C$4000,3,FALSE)</f>
        <v>#N/A</v>
      </c>
      <c r="C63" s="1" t="e">
        <f>VLOOKUP(E63,Inspector!A$1:B$50,2,FALSE)</f>
        <v>#N/A</v>
      </c>
      <c r="I63" s="1" t="e">
        <f>VLOOKUP(D63,epiunits!A$1:J$4000,6,FALSE)</f>
        <v>#N/A</v>
      </c>
      <c r="J63" s="1" t="e">
        <f>VLOOKUP(D63,epiunits!A$1:J$4000,7,FALSE)</f>
        <v>#N/A</v>
      </c>
      <c r="K63" s="1" t="e">
        <f>VLOOKUP(D63,epiunits!A$1:J$4000,8,FALSE)</f>
        <v>#N/A</v>
      </c>
      <c r="L63" s="1" t="e">
        <f>VLOOKUP(D63,epiunits!A$1:J$4000,9,FALSE)</f>
        <v>#N/A</v>
      </c>
      <c r="M63" s="1" t="e">
        <f>VLOOKUP(D63,epiunits!A$1:J$4000,10,FALSE)</f>
        <v>#N/A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</row>
    <row r="64" spans="1:51" x14ac:dyDescent="0.25">
      <c r="A64" s="1" t="e">
        <f>VLOOKUP(D64,epiunits!A$1:C$4000,2,FALSE)</f>
        <v>#N/A</v>
      </c>
      <c r="B64" s="1" t="e">
        <f>VLOOKUP(D64,epiunits!A$1:C$4000,3,FALSE)</f>
        <v>#N/A</v>
      </c>
      <c r="C64" s="1" t="e">
        <f>VLOOKUP(E64,Inspector!A$1:B$50,2,FALSE)</f>
        <v>#N/A</v>
      </c>
      <c r="I64" s="1" t="e">
        <f>VLOOKUP(D64,epiunits!A$1:J$4000,6,FALSE)</f>
        <v>#N/A</v>
      </c>
      <c r="J64" s="1" t="e">
        <f>VLOOKUP(D64,epiunits!A$1:J$4000,7,FALSE)</f>
        <v>#N/A</v>
      </c>
      <c r="K64" s="1" t="e">
        <f>VLOOKUP(D64,epiunits!A$1:J$4000,8,FALSE)</f>
        <v>#N/A</v>
      </c>
      <c r="L64" s="1" t="e">
        <f>VLOOKUP(D64,epiunits!A$1:J$4000,9,FALSE)</f>
        <v>#N/A</v>
      </c>
      <c r="M64" s="1" t="e">
        <f>VLOOKUP(D64,epiunits!A$1:J$4000,10,FALSE)</f>
        <v>#N/A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s="1" t="e">
        <f>VLOOKUP(D65,epiunits!A$1:C$4000,2,FALSE)</f>
        <v>#N/A</v>
      </c>
      <c r="B65" s="1" t="e">
        <f>VLOOKUP(D65,epiunits!A$1:C$4000,3,FALSE)</f>
        <v>#N/A</v>
      </c>
      <c r="C65" s="1" t="e">
        <f>VLOOKUP(E65,Inspector!A$1:B$50,2,FALSE)</f>
        <v>#N/A</v>
      </c>
      <c r="I65" s="1" t="e">
        <f>VLOOKUP(D65,epiunits!A$1:J$4000,6,FALSE)</f>
        <v>#N/A</v>
      </c>
      <c r="J65" s="1" t="e">
        <f>VLOOKUP(D65,epiunits!A$1:J$4000,7,FALSE)</f>
        <v>#N/A</v>
      </c>
      <c r="K65" s="1" t="e">
        <f>VLOOKUP(D65,epiunits!A$1:J$4000,8,FALSE)</f>
        <v>#N/A</v>
      </c>
      <c r="L65" s="1" t="e">
        <f>VLOOKUP(D65,epiunits!A$1:J$4000,9,FALSE)</f>
        <v>#N/A</v>
      </c>
      <c r="M65" s="1" t="e">
        <f>VLOOKUP(D65,epiunits!A$1:J$4000,10,FALSE)</f>
        <v>#N/A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s="1" t="e">
        <f>VLOOKUP(D66,epiunits!A$1:C$4000,2,FALSE)</f>
        <v>#N/A</v>
      </c>
      <c r="B66" s="1" t="e">
        <f>VLOOKUP(D66,epiunits!A$1:C$4000,3,FALSE)</f>
        <v>#N/A</v>
      </c>
      <c r="C66" s="1" t="e">
        <f>VLOOKUP(E66,Inspector!A$1:B$50,2,FALSE)</f>
        <v>#N/A</v>
      </c>
      <c r="I66" s="1" t="e">
        <f>VLOOKUP(D66,epiunits!A$1:J$4000,6,FALSE)</f>
        <v>#N/A</v>
      </c>
      <c r="J66" s="1" t="e">
        <f>VLOOKUP(D66,epiunits!A$1:J$4000,7,FALSE)</f>
        <v>#N/A</v>
      </c>
      <c r="K66" s="1" t="e">
        <f>VLOOKUP(D66,epiunits!A$1:J$4000,8,FALSE)</f>
        <v>#N/A</v>
      </c>
      <c r="L66" s="1" t="e">
        <f>VLOOKUP(D66,epiunits!A$1:J$4000,9,FALSE)</f>
        <v>#N/A</v>
      </c>
      <c r="M66" s="1" t="e">
        <f>VLOOKUP(D66,epiunits!A$1:J$4000,10,FALSE)</f>
        <v>#N/A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s="1" t="e">
        <f>VLOOKUP(D67,epiunits!A$1:C$4000,2,FALSE)</f>
        <v>#N/A</v>
      </c>
      <c r="B67" s="1" t="e">
        <f>VLOOKUP(D67,epiunits!A$1:C$4000,3,FALSE)</f>
        <v>#N/A</v>
      </c>
      <c r="C67" s="1" t="e">
        <f>VLOOKUP(E67,Inspector!A$1:B$50,2,FALSE)</f>
        <v>#N/A</v>
      </c>
      <c r="I67" s="1" t="e">
        <f>VLOOKUP(D67,epiunits!A$1:J$4000,6,FALSE)</f>
        <v>#N/A</v>
      </c>
      <c r="J67" s="1" t="e">
        <f>VLOOKUP(D67,epiunits!A$1:J$4000,7,FALSE)</f>
        <v>#N/A</v>
      </c>
      <c r="K67" s="1" t="e">
        <f>VLOOKUP(D67,epiunits!A$1:J$4000,8,FALSE)</f>
        <v>#N/A</v>
      </c>
      <c r="L67" s="1" t="e">
        <f>VLOOKUP(D67,epiunits!A$1:J$4000,9,FALSE)</f>
        <v>#N/A</v>
      </c>
      <c r="M67" s="1" t="e">
        <f>VLOOKUP(D67,epiunits!A$1:J$4000,10,FALSE)</f>
        <v>#N/A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s="1" t="e">
        <f>VLOOKUP(D68,epiunits!A$1:C$4000,2,FALSE)</f>
        <v>#N/A</v>
      </c>
      <c r="B68" s="1" t="e">
        <f>VLOOKUP(D68,epiunits!A$1:C$4000,3,FALSE)</f>
        <v>#N/A</v>
      </c>
      <c r="C68" s="1" t="e">
        <f>VLOOKUP(E68,Inspector!A$1:B$50,2,FALSE)</f>
        <v>#N/A</v>
      </c>
      <c r="I68" s="1" t="e">
        <f>VLOOKUP(D68,epiunits!A$1:J$4000,6,FALSE)</f>
        <v>#N/A</v>
      </c>
      <c r="J68" s="1" t="e">
        <f>VLOOKUP(D68,epiunits!A$1:J$4000,7,FALSE)</f>
        <v>#N/A</v>
      </c>
      <c r="K68" s="1" t="e">
        <f>VLOOKUP(D68,epiunits!A$1:J$4000,8,FALSE)</f>
        <v>#N/A</v>
      </c>
      <c r="L68" s="1" t="e">
        <f>VLOOKUP(D68,epiunits!A$1:J$4000,9,FALSE)</f>
        <v>#N/A</v>
      </c>
      <c r="M68" s="1" t="e">
        <f>VLOOKUP(D68,epiunits!A$1:J$4000,10,FALSE)</f>
        <v>#N/A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s="1" t="e">
        <f>VLOOKUP(D69,epiunits!A$1:C$4000,2,FALSE)</f>
        <v>#N/A</v>
      </c>
      <c r="B69" s="1" t="e">
        <f>VLOOKUP(D69,epiunits!A$1:C$4000,3,FALSE)</f>
        <v>#N/A</v>
      </c>
      <c r="C69" s="1" t="e">
        <f>VLOOKUP(E69,Inspector!A$1:B$50,2,FALSE)</f>
        <v>#N/A</v>
      </c>
      <c r="I69" s="1" t="e">
        <f>VLOOKUP(D69,epiunits!A$1:J$4000,6,FALSE)</f>
        <v>#N/A</v>
      </c>
      <c r="J69" s="1" t="e">
        <f>VLOOKUP(D69,epiunits!A$1:J$4000,7,FALSE)</f>
        <v>#N/A</v>
      </c>
      <c r="K69" s="1" t="e">
        <f>VLOOKUP(D69,epiunits!A$1:J$4000,8,FALSE)</f>
        <v>#N/A</v>
      </c>
      <c r="L69" s="1" t="e">
        <f>VLOOKUP(D69,epiunits!A$1:J$4000,9,FALSE)</f>
        <v>#N/A</v>
      </c>
      <c r="M69" s="1" t="e">
        <f>VLOOKUP(D69,epiunits!A$1:J$4000,10,FALSE)</f>
        <v>#N/A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</row>
    <row r="70" spans="1:51" x14ac:dyDescent="0.25">
      <c r="A70" s="1" t="e">
        <f>VLOOKUP(D70,epiunits!A$1:C$4000,2,FALSE)</f>
        <v>#N/A</v>
      </c>
      <c r="B70" s="1" t="e">
        <f>VLOOKUP(D70,epiunits!A$1:C$4000,3,FALSE)</f>
        <v>#N/A</v>
      </c>
      <c r="C70" s="1" t="e">
        <f>VLOOKUP(E70,Inspector!A$1:B$50,2,FALSE)</f>
        <v>#N/A</v>
      </c>
      <c r="I70" s="1" t="e">
        <f>VLOOKUP(D70,epiunits!A$1:J$4000,6,FALSE)</f>
        <v>#N/A</v>
      </c>
      <c r="J70" s="1" t="e">
        <f>VLOOKUP(D70,epiunits!A$1:J$4000,7,FALSE)</f>
        <v>#N/A</v>
      </c>
      <c r="K70" s="1" t="e">
        <f>VLOOKUP(D70,epiunits!A$1:J$4000,8,FALSE)</f>
        <v>#N/A</v>
      </c>
      <c r="L70" s="1" t="e">
        <f>VLOOKUP(D70,epiunits!A$1:J$4000,9,FALSE)</f>
        <v>#N/A</v>
      </c>
      <c r="M70" s="1" t="e">
        <f>VLOOKUP(D70,epiunits!A$1:J$4000,10,FALSE)</f>
        <v>#N/A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s="1" t="e">
        <f>VLOOKUP(D71,epiunits!A$1:C$4000,2,FALSE)</f>
        <v>#N/A</v>
      </c>
      <c r="B71" s="1" t="e">
        <f>VLOOKUP(D71,epiunits!A$1:C$4000,3,FALSE)</f>
        <v>#N/A</v>
      </c>
      <c r="C71" s="1" t="e">
        <f>VLOOKUP(E71,Inspector!A$1:B$50,2,FALSE)</f>
        <v>#N/A</v>
      </c>
      <c r="I71" s="1" t="e">
        <f>VLOOKUP(D71,epiunits!A$1:J$4000,6,FALSE)</f>
        <v>#N/A</v>
      </c>
      <c r="J71" s="1" t="e">
        <f>VLOOKUP(D71,epiunits!A$1:J$4000,7,FALSE)</f>
        <v>#N/A</v>
      </c>
      <c r="K71" s="1" t="e">
        <f>VLOOKUP(D71,epiunits!A$1:J$4000,8,FALSE)</f>
        <v>#N/A</v>
      </c>
      <c r="L71" s="1" t="e">
        <f>VLOOKUP(D71,epiunits!A$1:J$4000,9,FALSE)</f>
        <v>#N/A</v>
      </c>
      <c r="M71" s="1" t="e">
        <f>VLOOKUP(D71,epiunits!A$1:J$4000,10,FALSE)</f>
        <v>#N/A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s="1" t="e">
        <f>VLOOKUP(D72,epiunits!A$1:C$4000,2,FALSE)</f>
        <v>#N/A</v>
      </c>
      <c r="B72" s="1" t="e">
        <f>VLOOKUP(D72,epiunits!A$1:C$4000,3,FALSE)</f>
        <v>#N/A</v>
      </c>
      <c r="C72" s="1" t="e">
        <f>VLOOKUP(E72,Inspector!A$1:B$50,2,FALSE)</f>
        <v>#N/A</v>
      </c>
      <c r="I72" s="1" t="e">
        <f>VLOOKUP(D72,epiunits!A$1:J$4000,6,FALSE)</f>
        <v>#N/A</v>
      </c>
      <c r="J72" s="1" t="e">
        <f>VLOOKUP(D72,epiunits!A$1:J$4000,7,FALSE)</f>
        <v>#N/A</v>
      </c>
      <c r="K72" s="1" t="e">
        <f>VLOOKUP(D72,epiunits!A$1:J$4000,8,FALSE)</f>
        <v>#N/A</v>
      </c>
      <c r="L72" s="1" t="e">
        <f>VLOOKUP(D72,epiunits!A$1:J$4000,9,FALSE)</f>
        <v>#N/A</v>
      </c>
      <c r="M72" s="1" t="e">
        <f>VLOOKUP(D72,epiunits!A$1:J$4000,10,FALSE)</f>
        <v>#N/A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s="1" t="e">
        <f>VLOOKUP(D73,epiunits!A$1:C$4000,2,FALSE)</f>
        <v>#N/A</v>
      </c>
      <c r="B73" s="1" t="e">
        <f>VLOOKUP(D73,epiunits!A$1:C$4000,3,FALSE)</f>
        <v>#N/A</v>
      </c>
      <c r="C73" s="1" t="e">
        <f>VLOOKUP(E73,Inspector!A$1:B$50,2,FALSE)</f>
        <v>#N/A</v>
      </c>
      <c r="I73" s="1" t="e">
        <f>VLOOKUP(D73,epiunits!A$1:J$4000,6,FALSE)</f>
        <v>#N/A</v>
      </c>
      <c r="J73" s="1" t="e">
        <f>VLOOKUP(D73,epiunits!A$1:J$4000,7,FALSE)</f>
        <v>#N/A</v>
      </c>
      <c r="K73" s="1" t="e">
        <f>VLOOKUP(D73,epiunits!A$1:J$4000,8,FALSE)</f>
        <v>#N/A</v>
      </c>
      <c r="L73" s="1" t="e">
        <f>VLOOKUP(D73,epiunits!A$1:J$4000,9,FALSE)</f>
        <v>#N/A</v>
      </c>
      <c r="M73" s="1" t="e">
        <f>VLOOKUP(D73,epiunits!A$1:J$4000,10,FALSE)</f>
        <v>#N/A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</row>
    <row r="74" spans="1:51" x14ac:dyDescent="0.25">
      <c r="A74" s="1" t="e">
        <f>VLOOKUP(D74,epiunits!A$1:C$4000,2,FALSE)</f>
        <v>#N/A</v>
      </c>
      <c r="B74" s="1" t="e">
        <f>VLOOKUP(D74,epiunits!A$1:C$4000,3,FALSE)</f>
        <v>#N/A</v>
      </c>
      <c r="C74" s="1" t="e">
        <f>VLOOKUP(E74,Inspector!A$1:B$50,2,FALSE)</f>
        <v>#N/A</v>
      </c>
      <c r="I74" s="1" t="e">
        <f>VLOOKUP(D74,epiunits!A$1:J$4000,6,FALSE)</f>
        <v>#N/A</v>
      </c>
      <c r="J74" s="1" t="e">
        <f>VLOOKUP(D74,epiunits!A$1:J$4000,7,FALSE)</f>
        <v>#N/A</v>
      </c>
      <c r="K74" s="1" t="e">
        <f>VLOOKUP(D74,epiunits!A$1:J$4000,8,FALSE)</f>
        <v>#N/A</v>
      </c>
      <c r="L74" s="1" t="e">
        <f>VLOOKUP(D74,epiunits!A$1:J$4000,9,FALSE)</f>
        <v>#N/A</v>
      </c>
      <c r="M74" s="1" t="e">
        <f>VLOOKUP(D74,epiunits!A$1:J$4000,10,FALSE)</f>
        <v>#N/A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</row>
    <row r="75" spans="1:51" x14ac:dyDescent="0.25">
      <c r="A75" s="1" t="e">
        <f>VLOOKUP(D75,epiunits!A$1:C$4000,2,FALSE)</f>
        <v>#N/A</v>
      </c>
      <c r="B75" s="1" t="e">
        <f>VLOOKUP(D75,epiunits!A$1:C$4000,3,FALSE)</f>
        <v>#N/A</v>
      </c>
      <c r="C75" s="1" t="e">
        <f>VLOOKUP(E75,Inspector!A$1:B$50,2,FALSE)</f>
        <v>#N/A</v>
      </c>
      <c r="I75" s="1" t="e">
        <f>VLOOKUP(D75,epiunits!A$1:J$4000,6,FALSE)</f>
        <v>#N/A</v>
      </c>
      <c r="J75" s="1" t="e">
        <f>VLOOKUP(D75,epiunits!A$1:J$4000,7,FALSE)</f>
        <v>#N/A</v>
      </c>
      <c r="K75" s="1" t="e">
        <f>VLOOKUP(D75,epiunits!A$1:J$4000,8,FALSE)</f>
        <v>#N/A</v>
      </c>
      <c r="L75" s="1" t="e">
        <f>VLOOKUP(D75,epiunits!A$1:J$4000,9,FALSE)</f>
        <v>#N/A</v>
      </c>
      <c r="M75" s="1" t="e">
        <f>VLOOKUP(D75,epiunits!A$1:J$4000,10,FALSE)</f>
        <v>#N/A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s="1" t="e">
        <f>VLOOKUP(D76,epiunits!A$1:C$4000,2,FALSE)</f>
        <v>#N/A</v>
      </c>
      <c r="B76" s="1" t="e">
        <f>VLOOKUP(D76,epiunits!A$1:C$4000,3,FALSE)</f>
        <v>#N/A</v>
      </c>
      <c r="C76" s="1" t="e">
        <f>VLOOKUP(E76,Inspector!A$1:B$50,2,FALSE)</f>
        <v>#N/A</v>
      </c>
      <c r="I76" s="1" t="e">
        <f>VLOOKUP(D76,epiunits!A$1:J$4000,6,FALSE)</f>
        <v>#N/A</v>
      </c>
      <c r="J76" s="1" t="e">
        <f>VLOOKUP(D76,epiunits!A$1:J$4000,7,FALSE)</f>
        <v>#N/A</v>
      </c>
      <c r="K76" s="1" t="e">
        <f>VLOOKUP(D76,epiunits!A$1:J$4000,8,FALSE)</f>
        <v>#N/A</v>
      </c>
      <c r="L76" s="1" t="e">
        <f>VLOOKUP(D76,epiunits!A$1:J$4000,9,FALSE)</f>
        <v>#N/A</v>
      </c>
      <c r="M76" s="1" t="e">
        <f>VLOOKUP(D76,epiunits!A$1:J$4000,10,FALSE)</f>
        <v>#N/A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s="1" t="e">
        <f>VLOOKUP(D77,epiunits!A$1:C$4000,2,FALSE)</f>
        <v>#N/A</v>
      </c>
      <c r="B77" s="1" t="e">
        <f>VLOOKUP(D77,epiunits!A$1:C$4000,3,FALSE)</f>
        <v>#N/A</v>
      </c>
      <c r="C77" s="1" t="e">
        <f>VLOOKUP(E77,Inspector!A$1:B$50,2,FALSE)</f>
        <v>#N/A</v>
      </c>
      <c r="I77" s="1" t="e">
        <f>VLOOKUP(D77,epiunits!A$1:J$4000,6,FALSE)</f>
        <v>#N/A</v>
      </c>
      <c r="J77" s="1" t="e">
        <f>VLOOKUP(D77,epiunits!A$1:J$4000,7,FALSE)</f>
        <v>#N/A</v>
      </c>
      <c r="K77" s="1" t="e">
        <f>VLOOKUP(D77,epiunits!A$1:J$4000,8,FALSE)</f>
        <v>#N/A</v>
      </c>
      <c r="L77" s="1" t="e">
        <f>VLOOKUP(D77,epiunits!A$1:J$4000,9,FALSE)</f>
        <v>#N/A</v>
      </c>
      <c r="M77" s="1" t="e">
        <f>VLOOKUP(D77,epiunits!A$1:J$4000,10,FALSE)</f>
        <v>#N/A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s="1" t="e">
        <f>VLOOKUP(D78,epiunits!A$1:C$4000,2,FALSE)</f>
        <v>#N/A</v>
      </c>
      <c r="B78" s="1" t="e">
        <f>VLOOKUP(D78,epiunits!A$1:C$4000,3,FALSE)</f>
        <v>#N/A</v>
      </c>
      <c r="C78" s="1" t="e">
        <f>VLOOKUP(E78,Inspector!A$1:B$50,2,FALSE)</f>
        <v>#N/A</v>
      </c>
      <c r="I78" s="1" t="e">
        <f>VLOOKUP(D78,epiunits!A$1:J$4000,6,FALSE)</f>
        <v>#N/A</v>
      </c>
      <c r="J78" s="1" t="e">
        <f>VLOOKUP(D78,epiunits!A$1:J$4000,7,FALSE)</f>
        <v>#N/A</v>
      </c>
      <c r="K78" s="1" t="e">
        <f>VLOOKUP(D78,epiunits!A$1:J$4000,8,FALSE)</f>
        <v>#N/A</v>
      </c>
      <c r="L78" s="1" t="e">
        <f>VLOOKUP(D78,epiunits!A$1:J$4000,9,FALSE)</f>
        <v>#N/A</v>
      </c>
      <c r="M78" s="1" t="e">
        <f>VLOOKUP(D78,epiunits!A$1:J$4000,10,FALSE)</f>
        <v>#N/A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</row>
    <row r="79" spans="1:51" x14ac:dyDescent="0.25">
      <c r="A79" s="1" t="e">
        <f>VLOOKUP(D79,epiunits!A$1:C$4000,2,FALSE)</f>
        <v>#N/A</v>
      </c>
      <c r="B79" s="1" t="e">
        <f>VLOOKUP(D79,epiunits!A$1:C$4000,3,FALSE)</f>
        <v>#N/A</v>
      </c>
      <c r="C79" s="1" t="e">
        <f>VLOOKUP(E79,Inspector!A$1:B$50,2,FALSE)</f>
        <v>#N/A</v>
      </c>
      <c r="I79" s="1" t="e">
        <f>VLOOKUP(D79,epiunits!A$1:J$4000,6,FALSE)</f>
        <v>#N/A</v>
      </c>
      <c r="J79" s="1" t="e">
        <f>VLOOKUP(D79,epiunits!A$1:J$4000,7,FALSE)</f>
        <v>#N/A</v>
      </c>
      <c r="K79" s="1" t="e">
        <f>VLOOKUP(D79,epiunits!A$1:J$4000,8,FALSE)</f>
        <v>#N/A</v>
      </c>
      <c r="L79" s="1" t="e">
        <f>VLOOKUP(D79,epiunits!A$1:J$4000,9,FALSE)</f>
        <v>#N/A</v>
      </c>
      <c r="M79" s="1" t="e">
        <f>VLOOKUP(D79,epiunits!A$1:J$4000,10,FALSE)</f>
        <v>#N/A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</row>
    <row r="80" spans="1:51" x14ac:dyDescent="0.25">
      <c r="A80" s="1" t="e">
        <f>VLOOKUP(D80,epiunits!A$1:C$4000,2,FALSE)</f>
        <v>#N/A</v>
      </c>
      <c r="B80" s="1" t="e">
        <f>VLOOKUP(D80,epiunits!A$1:C$4000,3,FALSE)</f>
        <v>#N/A</v>
      </c>
      <c r="C80" s="1" t="e">
        <f>VLOOKUP(E80,Inspector!A$1:B$50,2,FALSE)</f>
        <v>#N/A</v>
      </c>
      <c r="I80" s="1" t="e">
        <f>VLOOKUP(D80,epiunits!A$1:J$4000,6,FALSE)</f>
        <v>#N/A</v>
      </c>
      <c r="J80" s="1" t="e">
        <f>VLOOKUP(D80,epiunits!A$1:J$4000,7,FALSE)</f>
        <v>#N/A</v>
      </c>
      <c r="K80" s="1" t="e">
        <f>VLOOKUP(D80,epiunits!A$1:J$4000,8,FALSE)</f>
        <v>#N/A</v>
      </c>
      <c r="L80" s="1" t="e">
        <f>VLOOKUP(D80,epiunits!A$1:J$4000,9,FALSE)</f>
        <v>#N/A</v>
      </c>
      <c r="M80" s="1" t="e">
        <f>VLOOKUP(D80,epiunits!A$1:J$4000,10,FALSE)</f>
        <v>#N/A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s="1" t="e">
        <f>VLOOKUP(D81,epiunits!A$1:C$4000,2,FALSE)</f>
        <v>#N/A</v>
      </c>
      <c r="B81" s="1" t="e">
        <f>VLOOKUP(D81,epiunits!A$1:C$4000,3,FALSE)</f>
        <v>#N/A</v>
      </c>
      <c r="C81" s="1" t="e">
        <f>VLOOKUP(E81,Inspector!A$1:B$50,2,FALSE)</f>
        <v>#N/A</v>
      </c>
      <c r="I81" s="1" t="e">
        <f>VLOOKUP(D81,epiunits!A$1:J$4000,6,FALSE)</f>
        <v>#N/A</v>
      </c>
      <c r="J81" s="1" t="e">
        <f>VLOOKUP(D81,epiunits!A$1:J$4000,7,FALSE)</f>
        <v>#N/A</v>
      </c>
      <c r="K81" s="1" t="e">
        <f>VLOOKUP(D81,epiunits!A$1:J$4000,8,FALSE)</f>
        <v>#N/A</v>
      </c>
      <c r="L81" s="1" t="e">
        <f>VLOOKUP(D81,epiunits!A$1:J$4000,9,FALSE)</f>
        <v>#N/A</v>
      </c>
      <c r="M81" s="1" t="e">
        <f>VLOOKUP(D81,epiunits!A$1:J$4000,10,FALSE)</f>
        <v>#N/A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s="1" t="e">
        <f>VLOOKUP(D82,epiunits!A$1:C$4000,2,FALSE)</f>
        <v>#N/A</v>
      </c>
      <c r="B82" s="1" t="e">
        <f>VLOOKUP(D82,epiunits!A$1:C$4000,3,FALSE)</f>
        <v>#N/A</v>
      </c>
      <c r="C82" s="1" t="e">
        <f>VLOOKUP(E82,Inspector!A$1:B$50,2,FALSE)</f>
        <v>#N/A</v>
      </c>
      <c r="I82" s="1" t="e">
        <f>VLOOKUP(D82,epiunits!A$1:J$4000,6,FALSE)</f>
        <v>#N/A</v>
      </c>
      <c r="J82" s="1" t="e">
        <f>VLOOKUP(D82,epiunits!A$1:J$4000,7,FALSE)</f>
        <v>#N/A</v>
      </c>
      <c r="K82" s="1" t="e">
        <f>VLOOKUP(D82,epiunits!A$1:J$4000,8,FALSE)</f>
        <v>#N/A</v>
      </c>
      <c r="L82" s="1" t="e">
        <f>VLOOKUP(D82,epiunits!A$1:J$4000,9,FALSE)</f>
        <v>#N/A</v>
      </c>
      <c r="M82" s="1" t="e">
        <f>VLOOKUP(D82,epiunits!A$1:J$4000,10,FALSE)</f>
        <v>#N/A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s="1" t="e">
        <f>VLOOKUP(D83,epiunits!A$1:C$4000,2,FALSE)</f>
        <v>#N/A</v>
      </c>
      <c r="B83" s="1" t="e">
        <f>VLOOKUP(D83,epiunits!A$1:C$4000,3,FALSE)</f>
        <v>#N/A</v>
      </c>
      <c r="C83" s="1" t="e">
        <f>VLOOKUP(E83,Inspector!A$1:B$50,2,FALSE)</f>
        <v>#N/A</v>
      </c>
      <c r="I83" s="1" t="e">
        <f>VLOOKUP(D83,epiunits!A$1:J$4000,6,FALSE)</f>
        <v>#N/A</v>
      </c>
      <c r="J83" s="1" t="e">
        <f>VLOOKUP(D83,epiunits!A$1:J$4000,7,FALSE)</f>
        <v>#N/A</v>
      </c>
      <c r="K83" s="1" t="e">
        <f>VLOOKUP(D83,epiunits!A$1:J$4000,8,FALSE)</f>
        <v>#N/A</v>
      </c>
      <c r="L83" s="1" t="e">
        <f>VLOOKUP(D83,epiunits!A$1:J$4000,9,FALSE)</f>
        <v>#N/A</v>
      </c>
      <c r="M83" s="1" t="e">
        <f>VLOOKUP(D83,epiunits!A$1:J$4000,10,FALSE)</f>
        <v>#N/A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</row>
    <row r="84" spans="1:51" x14ac:dyDescent="0.25">
      <c r="A84" s="1" t="e">
        <f>VLOOKUP(D84,epiunits!A$1:C$4000,2,FALSE)</f>
        <v>#N/A</v>
      </c>
      <c r="B84" s="1" t="e">
        <f>VLOOKUP(D84,epiunits!A$1:C$4000,3,FALSE)</f>
        <v>#N/A</v>
      </c>
      <c r="C84" s="1" t="e">
        <f>VLOOKUP(E84,Inspector!A$1:B$50,2,FALSE)</f>
        <v>#N/A</v>
      </c>
      <c r="I84" s="1" t="e">
        <f>VLOOKUP(D84,epiunits!A$1:J$4000,6,FALSE)</f>
        <v>#N/A</v>
      </c>
      <c r="J84" s="1" t="e">
        <f>VLOOKUP(D84,epiunits!A$1:J$4000,7,FALSE)</f>
        <v>#N/A</v>
      </c>
      <c r="K84" s="1" t="e">
        <f>VLOOKUP(D84,epiunits!A$1:J$4000,8,FALSE)</f>
        <v>#N/A</v>
      </c>
      <c r="L84" s="1" t="e">
        <f>VLOOKUP(D84,epiunits!A$1:J$4000,9,FALSE)</f>
        <v>#N/A</v>
      </c>
      <c r="M84" s="1" t="e">
        <f>VLOOKUP(D84,epiunits!A$1:J$4000,10,FALSE)</f>
        <v>#N/A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s="1" t="e">
        <f>VLOOKUP(D85,epiunits!A$1:C$4000,2,FALSE)</f>
        <v>#N/A</v>
      </c>
      <c r="B85" s="1" t="e">
        <f>VLOOKUP(D85,epiunits!A$1:C$4000,3,FALSE)</f>
        <v>#N/A</v>
      </c>
      <c r="C85" s="1" t="e">
        <f>VLOOKUP(E85,Inspector!A$1:B$50,2,FALSE)</f>
        <v>#N/A</v>
      </c>
      <c r="I85" s="1" t="e">
        <f>VLOOKUP(D85,epiunits!A$1:J$4000,6,FALSE)</f>
        <v>#N/A</v>
      </c>
      <c r="J85" s="1" t="e">
        <f>VLOOKUP(D85,epiunits!A$1:J$4000,7,FALSE)</f>
        <v>#N/A</v>
      </c>
      <c r="K85" s="1" t="e">
        <f>VLOOKUP(D85,epiunits!A$1:J$4000,8,FALSE)</f>
        <v>#N/A</v>
      </c>
      <c r="L85" s="1" t="e">
        <f>VLOOKUP(D85,epiunits!A$1:J$4000,9,FALSE)</f>
        <v>#N/A</v>
      </c>
      <c r="M85" s="1" t="e">
        <f>VLOOKUP(D85,epiunits!A$1:J$4000,10,FALSE)</f>
        <v>#N/A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s="1" t="e">
        <f>VLOOKUP(D86,epiunits!A$1:C$4000,2,FALSE)</f>
        <v>#N/A</v>
      </c>
      <c r="B86" s="1" t="e">
        <f>VLOOKUP(D86,epiunits!A$1:C$4000,3,FALSE)</f>
        <v>#N/A</v>
      </c>
      <c r="C86" s="1" t="e">
        <f>VLOOKUP(E86,Inspector!A$1:B$50,2,FALSE)</f>
        <v>#N/A</v>
      </c>
      <c r="I86" s="1" t="e">
        <f>VLOOKUP(D86,epiunits!A$1:J$4000,6,FALSE)</f>
        <v>#N/A</v>
      </c>
      <c r="J86" s="1" t="e">
        <f>VLOOKUP(D86,epiunits!A$1:J$4000,7,FALSE)</f>
        <v>#N/A</v>
      </c>
      <c r="K86" s="1" t="e">
        <f>VLOOKUP(D86,epiunits!A$1:J$4000,8,FALSE)</f>
        <v>#N/A</v>
      </c>
      <c r="L86" s="1" t="e">
        <f>VLOOKUP(D86,epiunits!A$1:J$4000,9,FALSE)</f>
        <v>#N/A</v>
      </c>
      <c r="M86" s="1" t="e">
        <f>VLOOKUP(D86,epiunits!A$1:J$4000,10,FALSE)</f>
        <v>#N/A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</row>
    <row r="87" spans="1:51" x14ac:dyDescent="0.25">
      <c r="A87" s="1" t="e">
        <f>VLOOKUP(D87,epiunits!A$1:C$4000,2,FALSE)</f>
        <v>#N/A</v>
      </c>
      <c r="B87" s="1" t="e">
        <f>VLOOKUP(D87,epiunits!A$1:C$4000,3,FALSE)</f>
        <v>#N/A</v>
      </c>
      <c r="C87" s="1" t="e">
        <f>VLOOKUP(E87,Inspector!A$1:B$50,2,FALSE)</f>
        <v>#N/A</v>
      </c>
      <c r="I87" s="1" t="e">
        <f>VLOOKUP(D87,epiunits!A$1:J$4000,6,FALSE)</f>
        <v>#N/A</v>
      </c>
      <c r="J87" s="1" t="e">
        <f>VLOOKUP(D87,epiunits!A$1:J$4000,7,FALSE)</f>
        <v>#N/A</v>
      </c>
      <c r="K87" s="1" t="e">
        <f>VLOOKUP(D87,epiunits!A$1:J$4000,8,FALSE)</f>
        <v>#N/A</v>
      </c>
      <c r="L87" s="1" t="e">
        <f>VLOOKUP(D87,epiunits!A$1:J$4000,9,FALSE)</f>
        <v>#N/A</v>
      </c>
      <c r="M87" s="1" t="e">
        <f>VLOOKUP(D87,epiunits!A$1:J$4000,10,FALSE)</f>
        <v>#N/A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s="1" t="e">
        <f>VLOOKUP(D88,epiunits!A$1:C$4000,2,FALSE)</f>
        <v>#N/A</v>
      </c>
      <c r="B88" s="1" t="e">
        <f>VLOOKUP(D88,epiunits!A$1:C$4000,3,FALSE)</f>
        <v>#N/A</v>
      </c>
      <c r="C88" s="1" t="e">
        <f>VLOOKUP(E88,Inspector!A$1:B$50,2,FALSE)</f>
        <v>#N/A</v>
      </c>
      <c r="I88" s="1" t="e">
        <f>VLOOKUP(D88,epiunits!A$1:J$4000,6,FALSE)</f>
        <v>#N/A</v>
      </c>
      <c r="J88" s="1" t="e">
        <f>VLOOKUP(D88,epiunits!A$1:J$4000,7,FALSE)</f>
        <v>#N/A</v>
      </c>
      <c r="K88" s="1" t="e">
        <f>VLOOKUP(D88,epiunits!A$1:J$4000,8,FALSE)</f>
        <v>#N/A</v>
      </c>
      <c r="L88" s="1" t="e">
        <f>VLOOKUP(D88,epiunits!A$1:J$4000,9,FALSE)</f>
        <v>#N/A</v>
      </c>
      <c r="M88" s="1" t="e">
        <f>VLOOKUP(D88,epiunits!A$1:J$4000,10,FALSE)</f>
        <v>#N/A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s="1" t="e">
        <f>VLOOKUP(D89,epiunits!A$1:C$4000,2,FALSE)</f>
        <v>#N/A</v>
      </c>
      <c r="B89" s="1" t="e">
        <f>VLOOKUP(D89,epiunits!A$1:C$4000,3,FALSE)</f>
        <v>#N/A</v>
      </c>
      <c r="C89" s="1" t="e">
        <f>VLOOKUP(E89,Inspector!A$1:B$50,2,FALSE)</f>
        <v>#N/A</v>
      </c>
      <c r="I89" s="1" t="e">
        <f>VLOOKUP(D89,epiunits!A$1:J$4000,6,FALSE)</f>
        <v>#N/A</v>
      </c>
      <c r="J89" s="1" t="e">
        <f>VLOOKUP(D89,epiunits!A$1:J$4000,7,FALSE)</f>
        <v>#N/A</v>
      </c>
      <c r="K89" s="1" t="e">
        <f>VLOOKUP(D89,epiunits!A$1:J$4000,8,FALSE)</f>
        <v>#N/A</v>
      </c>
      <c r="L89" s="1" t="e">
        <f>VLOOKUP(D89,epiunits!A$1:J$4000,9,FALSE)</f>
        <v>#N/A</v>
      </c>
      <c r="M89" s="1" t="e">
        <f>VLOOKUP(D89,epiunits!A$1:J$4000,10,FALSE)</f>
        <v>#N/A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s="1" t="e">
        <f>VLOOKUP(D90,epiunits!A$1:C$4000,2,FALSE)</f>
        <v>#N/A</v>
      </c>
      <c r="B90" s="1" t="e">
        <f>VLOOKUP(D90,epiunits!A$1:C$4000,3,FALSE)</f>
        <v>#N/A</v>
      </c>
      <c r="C90" s="1" t="e">
        <f>VLOOKUP(E90,Inspector!A$1:B$50,2,FALSE)</f>
        <v>#N/A</v>
      </c>
      <c r="I90" s="1" t="e">
        <f>VLOOKUP(D90,epiunits!A$1:J$4000,6,FALSE)</f>
        <v>#N/A</v>
      </c>
      <c r="J90" s="1" t="e">
        <f>VLOOKUP(D90,epiunits!A$1:J$4000,7,FALSE)</f>
        <v>#N/A</v>
      </c>
      <c r="K90" s="1" t="e">
        <f>VLOOKUP(D90,epiunits!A$1:J$4000,8,FALSE)</f>
        <v>#N/A</v>
      </c>
      <c r="L90" s="1" t="e">
        <f>VLOOKUP(D90,epiunits!A$1:J$4000,9,FALSE)</f>
        <v>#N/A</v>
      </c>
      <c r="M90" s="1" t="e">
        <f>VLOOKUP(D90,epiunits!A$1:J$4000,10,FALSE)</f>
        <v>#N/A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s="1" t="e">
        <f>VLOOKUP(D91,epiunits!A$1:C$4000,2,FALSE)</f>
        <v>#N/A</v>
      </c>
      <c r="B91" s="1" t="e">
        <f>VLOOKUP(D91,epiunits!A$1:C$4000,3,FALSE)</f>
        <v>#N/A</v>
      </c>
      <c r="C91" s="1" t="e">
        <f>VLOOKUP(E91,Inspector!A$1:B$50,2,FALSE)</f>
        <v>#N/A</v>
      </c>
      <c r="I91" s="1" t="e">
        <f>VLOOKUP(D91,epiunits!A$1:J$4000,6,FALSE)</f>
        <v>#N/A</v>
      </c>
      <c r="J91" s="1" t="e">
        <f>VLOOKUP(D91,epiunits!A$1:J$4000,7,FALSE)</f>
        <v>#N/A</v>
      </c>
      <c r="K91" s="1" t="e">
        <f>VLOOKUP(D91,epiunits!A$1:J$4000,8,FALSE)</f>
        <v>#N/A</v>
      </c>
      <c r="L91" s="1" t="e">
        <f>VLOOKUP(D91,epiunits!A$1:J$4000,9,FALSE)</f>
        <v>#N/A</v>
      </c>
      <c r="M91" s="1" t="e">
        <f>VLOOKUP(D91,epiunits!A$1:J$4000,10,FALSE)</f>
        <v>#N/A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</row>
    <row r="92" spans="1:51" x14ac:dyDescent="0.25">
      <c r="A92" s="1" t="e">
        <f>VLOOKUP(D92,epiunits!A$1:C$4000,2,FALSE)</f>
        <v>#N/A</v>
      </c>
      <c r="B92" s="1" t="e">
        <f>VLOOKUP(D92,epiunits!A$1:C$4000,3,FALSE)</f>
        <v>#N/A</v>
      </c>
      <c r="C92" s="1" t="e">
        <f>VLOOKUP(E92,Inspector!A$1:B$50,2,FALSE)</f>
        <v>#N/A</v>
      </c>
      <c r="I92" s="1" t="e">
        <f>VLOOKUP(D92,epiunits!A$1:J$4000,6,FALSE)</f>
        <v>#N/A</v>
      </c>
      <c r="J92" s="1" t="e">
        <f>VLOOKUP(D92,epiunits!A$1:J$4000,7,FALSE)</f>
        <v>#N/A</v>
      </c>
      <c r="K92" s="1" t="e">
        <f>VLOOKUP(D92,epiunits!A$1:J$4000,8,FALSE)</f>
        <v>#N/A</v>
      </c>
      <c r="L92" s="1" t="e">
        <f>VLOOKUP(D92,epiunits!A$1:J$4000,9,FALSE)</f>
        <v>#N/A</v>
      </c>
      <c r="M92" s="1" t="e">
        <f>VLOOKUP(D92,epiunits!A$1:J$4000,10,FALSE)</f>
        <v>#N/A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s="1" t="e">
        <f>VLOOKUP(D93,epiunits!A$1:C$4000,2,FALSE)</f>
        <v>#N/A</v>
      </c>
      <c r="B93" s="1" t="e">
        <f>VLOOKUP(D93,epiunits!A$1:C$4000,3,FALSE)</f>
        <v>#N/A</v>
      </c>
      <c r="C93" s="1" t="e">
        <f>VLOOKUP(E93,Inspector!A$1:B$50,2,FALSE)</f>
        <v>#N/A</v>
      </c>
      <c r="I93" s="1" t="e">
        <f>VLOOKUP(D93,epiunits!A$1:J$4000,6,FALSE)</f>
        <v>#N/A</v>
      </c>
      <c r="J93" s="1" t="e">
        <f>VLOOKUP(D93,epiunits!A$1:J$4000,7,FALSE)</f>
        <v>#N/A</v>
      </c>
      <c r="K93" s="1" t="e">
        <f>VLOOKUP(D93,epiunits!A$1:J$4000,8,FALSE)</f>
        <v>#N/A</v>
      </c>
      <c r="L93" s="1" t="e">
        <f>VLOOKUP(D93,epiunits!A$1:J$4000,9,FALSE)</f>
        <v>#N/A</v>
      </c>
      <c r="M93" s="1" t="e">
        <f>VLOOKUP(D93,epiunits!A$1:J$4000,10,FALSE)</f>
        <v>#N/A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s="1" t="e">
        <f>VLOOKUP(D94,epiunits!A$1:C$4000,2,FALSE)</f>
        <v>#N/A</v>
      </c>
      <c r="B94" s="1" t="e">
        <f>VLOOKUP(D94,epiunits!A$1:C$4000,3,FALSE)</f>
        <v>#N/A</v>
      </c>
      <c r="C94" s="1" t="e">
        <f>VLOOKUP(E94,Inspector!A$1:B$50,2,FALSE)</f>
        <v>#N/A</v>
      </c>
      <c r="I94" s="1" t="e">
        <f>VLOOKUP(D94,epiunits!A$1:J$4000,6,FALSE)</f>
        <v>#N/A</v>
      </c>
      <c r="J94" s="1" t="e">
        <f>VLOOKUP(D94,epiunits!A$1:J$4000,7,FALSE)</f>
        <v>#N/A</v>
      </c>
      <c r="K94" s="1" t="e">
        <f>VLOOKUP(D94,epiunits!A$1:J$4000,8,FALSE)</f>
        <v>#N/A</v>
      </c>
      <c r="L94" s="1" t="e">
        <f>VLOOKUP(D94,epiunits!A$1:J$4000,9,FALSE)</f>
        <v>#N/A</v>
      </c>
      <c r="M94" s="1" t="e">
        <f>VLOOKUP(D94,epiunits!A$1:J$4000,10,FALSE)</f>
        <v>#N/A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s="1" t="e">
        <f>VLOOKUP(D95,epiunits!A$1:C$4000,2,FALSE)</f>
        <v>#N/A</v>
      </c>
      <c r="B95" s="1" t="e">
        <f>VLOOKUP(D95,epiunits!A$1:C$4000,3,FALSE)</f>
        <v>#N/A</v>
      </c>
      <c r="C95" s="1" t="e">
        <f>VLOOKUP(E95,Inspector!A$1:B$50,2,FALSE)</f>
        <v>#N/A</v>
      </c>
      <c r="I95" s="1" t="e">
        <f>VLOOKUP(D95,epiunits!A$1:J$4000,6,FALSE)</f>
        <v>#N/A</v>
      </c>
      <c r="J95" s="1" t="e">
        <f>VLOOKUP(D95,epiunits!A$1:J$4000,7,FALSE)</f>
        <v>#N/A</v>
      </c>
      <c r="K95" s="1" t="e">
        <f>VLOOKUP(D95,epiunits!A$1:J$4000,8,FALSE)</f>
        <v>#N/A</v>
      </c>
      <c r="L95" s="1" t="e">
        <f>VLOOKUP(D95,epiunits!A$1:J$4000,9,FALSE)</f>
        <v>#N/A</v>
      </c>
      <c r="M95" s="1" t="e">
        <f>VLOOKUP(D95,epiunits!A$1:J$4000,10,FALSE)</f>
        <v>#N/A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s="1" t="e">
        <f>VLOOKUP(D96,epiunits!A$1:C$4000,2,FALSE)</f>
        <v>#N/A</v>
      </c>
      <c r="B96" s="1" t="e">
        <f>VLOOKUP(D96,epiunits!A$1:C$4000,3,FALSE)</f>
        <v>#N/A</v>
      </c>
      <c r="C96" s="1" t="e">
        <f>VLOOKUP(E96,Inspector!A$1:B$50,2,FALSE)</f>
        <v>#N/A</v>
      </c>
      <c r="I96" s="1" t="e">
        <f>VLOOKUP(D96,epiunits!A$1:J$4000,6,FALSE)</f>
        <v>#N/A</v>
      </c>
      <c r="J96" s="1" t="e">
        <f>VLOOKUP(D96,epiunits!A$1:J$4000,7,FALSE)</f>
        <v>#N/A</v>
      </c>
      <c r="K96" s="1" t="e">
        <f>VLOOKUP(D96,epiunits!A$1:J$4000,8,FALSE)</f>
        <v>#N/A</v>
      </c>
      <c r="L96" s="1" t="e">
        <f>VLOOKUP(D96,epiunits!A$1:J$4000,9,FALSE)</f>
        <v>#N/A</v>
      </c>
      <c r="M96" s="1" t="e">
        <f>VLOOKUP(D96,epiunits!A$1:J$4000,10,FALSE)</f>
        <v>#N/A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s="1" t="e">
        <f>VLOOKUP(D97,epiunits!A$1:C$4000,2,FALSE)</f>
        <v>#N/A</v>
      </c>
      <c r="B97" s="1" t="e">
        <f>VLOOKUP(D97,epiunits!A$1:C$4000,3,FALSE)</f>
        <v>#N/A</v>
      </c>
      <c r="C97" s="1" t="e">
        <f>VLOOKUP(E97,Inspector!A$1:B$50,2,FALSE)</f>
        <v>#N/A</v>
      </c>
      <c r="I97" s="1" t="e">
        <f>VLOOKUP(D97,epiunits!A$1:J$4000,6,FALSE)</f>
        <v>#N/A</v>
      </c>
      <c r="J97" s="1" t="e">
        <f>VLOOKUP(D97,epiunits!A$1:J$4000,7,FALSE)</f>
        <v>#N/A</v>
      </c>
      <c r="K97" s="1" t="e">
        <f>VLOOKUP(D97,epiunits!A$1:J$4000,8,FALSE)</f>
        <v>#N/A</v>
      </c>
      <c r="L97" s="1" t="e">
        <f>VLOOKUP(D97,epiunits!A$1:J$4000,9,FALSE)</f>
        <v>#N/A</v>
      </c>
      <c r="M97" s="1" t="e">
        <f>VLOOKUP(D97,epiunits!A$1:J$4000,10,FALSE)</f>
        <v>#N/A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s="1" t="e">
        <f>VLOOKUP(D98,epiunits!A$1:C$4000,2,FALSE)</f>
        <v>#N/A</v>
      </c>
      <c r="B98" s="1" t="e">
        <f>VLOOKUP(D98,epiunits!A$1:C$4000,3,FALSE)</f>
        <v>#N/A</v>
      </c>
      <c r="C98" s="1" t="e">
        <f>VLOOKUP(E98,Inspector!A$1:B$50,2,FALSE)</f>
        <v>#N/A</v>
      </c>
      <c r="I98" s="1" t="e">
        <f>VLOOKUP(D98,epiunits!A$1:J$4000,6,FALSE)</f>
        <v>#N/A</v>
      </c>
      <c r="J98" s="1" t="e">
        <f>VLOOKUP(D98,epiunits!A$1:J$4000,7,FALSE)</f>
        <v>#N/A</v>
      </c>
      <c r="K98" s="1" t="e">
        <f>VLOOKUP(D98,epiunits!A$1:J$4000,8,FALSE)</f>
        <v>#N/A</v>
      </c>
      <c r="L98" s="1" t="e">
        <f>VLOOKUP(D98,epiunits!A$1:J$4000,9,FALSE)</f>
        <v>#N/A</v>
      </c>
      <c r="M98" s="1" t="e">
        <f>VLOOKUP(D98,epiunits!A$1:J$4000,10,FALSE)</f>
        <v>#N/A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s="1" t="e">
        <f>VLOOKUP(D99,epiunits!A$1:C$4000,2,FALSE)</f>
        <v>#N/A</v>
      </c>
      <c r="B99" s="1" t="e">
        <f>VLOOKUP(D99,epiunits!A$1:C$4000,3,FALSE)</f>
        <v>#N/A</v>
      </c>
      <c r="C99" s="1" t="e">
        <f>VLOOKUP(E99,Inspector!A$1:B$50,2,FALSE)</f>
        <v>#N/A</v>
      </c>
      <c r="I99" s="1" t="e">
        <f>VLOOKUP(D99,epiunits!A$1:J$4000,6,FALSE)</f>
        <v>#N/A</v>
      </c>
      <c r="J99" s="1" t="e">
        <f>VLOOKUP(D99,epiunits!A$1:J$4000,7,FALSE)</f>
        <v>#N/A</v>
      </c>
      <c r="K99" s="1" t="e">
        <f>VLOOKUP(D99,epiunits!A$1:J$4000,8,FALSE)</f>
        <v>#N/A</v>
      </c>
      <c r="L99" s="1" t="e">
        <f>VLOOKUP(D99,epiunits!A$1:J$4000,9,FALSE)</f>
        <v>#N/A</v>
      </c>
      <c r="M99" s="1" t="e">
        <f>VLOOKUP(D99,epiunits!A$1:J$4000,10,FALSE)</f>
        <v>#N/A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</row>
    <row r="100" spans="1:51" x14ac:dyDescent="0.25">
      <c r="A100" s="1" t="e">
        <f>VLOOKUP(D100,epiunits!A$1:C$4000,2,FALSE)</f>
        <v>#N/A</v>
      </c>
      <c r="B100" s="1" t="e">
        <f>VLOOKUP(D100,epiunits!A$1:C$4000,3,FALSE)</f>
        <v>#N/A</v>
      </c>
      <c r="C100" s="1" t="e">
        <f>VLOOKUP(E100,Inspector!A$1:B$50,2,FALSE)</f>
        <v>#N/A</v>
      </c>
      <c r="I100" s="1" t="e">
        <f>VLOOKUP(D100,epiunits!A$1:J$4000,6,FALSE)</f>
        <v>#N/A</v>
      </c>
      <c r="J100" s="1" t="e">
        <f>VLOOKUP(D100,epiunits!A$1:J$4000,7,FALSE)</f>
        <v>#N/A</v>
      </c>
      <c r="K100" s="1" t="e">
        <f>VLOOKUP(D100,epiunits!A$1:J$4000,8,FALSE)</f>
        <v>#N/A</v>
      </c>
      <c r="L100" s="1" t="e">
        <f>VLOOKUP(D100,epiunits!A$1:J$4000,9,FALSE)</f>
        <v>#N/A</v>
      </c>
      <c r="M100" s="1" t="e">
        <f>VLOOKUP(D100,epiunits!A$1:J$4000,10,FALSE)</f>
        <v>#N/A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</row>
    <row r="101" spans="1:51" x14ac:dyDescent="0.25">
      <c r="A101" s="1" t="e">
        <f>VLOOKUP(D101,epiunits!A$1:C$4000,2,FALSE)</f>
        <v>#N/A</v>
      </c>
      <c r="B101" s="1" t="e">
        <f>VLOOKUP(D101,epiunits!A$1:C$4000,3,FALSE)</f>
        <v>#N/A</v>
      </c>
      <c r="C101" s="1" t="e">
        <f>VLOOKUP(E101,Inspector!A$1:B$50,2,FALSE)</f>
        <v>#N/A</v>
      </c>
      <c r="I101" s="1" t="e">
        <f>VLOOKUP(D101,epiunits!A$1:J$4000,6,FALSE)</f>
        <v>#N/A</v>
      </c>
      <c r="J101" s="1" t="e">
        <f>VLOOKUP(D101,epiunits!A$1:J$4000,7,FALSE)</f>
        <v>#N/A</v>
      </c>
      <c r="K101" s="1" t="e">
        <f>VLOOKUP(D101,epiunits!A$1:J$4000,8,FALSE)</f>
        <v>#N/A</v>
      </c>
      <c r="L101" s="1" t="e">
        <f>VLOOKUP(D101,epiunits!A$1:J$4000,9,FALSE)</f>
        <v>#N/A</v>
      </c>
      <c r="M101" s="1" t="e">
        <f>VLOOKUP(D101,epiunits!A$1:J$4000,10,FALSE)</f>
        <v>#N/A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s="1" t="e">
        <f>VLOOKUP(D102,epiunits!A$1:C$4000,2,FALSE)</f>
        <v>#N/A</v>
      </c>
      <c r="B102" s="1" t="e">
        <f>VLOOKUP(D102,epiunits!A$1:C$4000,3,FALSE)</f>
        <v>#N/A</v>
      </c>
      <c r="C102" s="1" t="e">
        <f>VLOOKUP(E102,Inspector!A$1:B$50,2,FALSE)</f>
        <v>#N/A</v>
      </c>
      <c r="I102" s="1" t="e">
        <f>VLOOKUP(D102,epiunits!A$1:J$4000,6,FALSE)</f>
        <v>#N/A</v>
      </c>
      <c r="J102" s="1" t="e">
        <f>VLOOKUP(D102,epiunits!A$1:J$4000,7,FALSE)</f>
        <v>#N/A</v>
      </c>
      <c r="K102" s="1" t="e">
        <f>VLOOKUP(D102,epiunits!A$1:J$4000,8,FALSE)</f>
        <v>#N/A</v>
      </c>
      <c r="L102" s="1" t="e">
        <f>VLOOKUP(D102,epiunits!A$1:J$4000,9,FALSE)</f>
        <v>#N/A</v>
      </c>
      <c r="M102" s="1" t="e">
        <f>VLOOKUP(D102,epiunits!A$1:J$4000,10,FALSE)</f>
        <v>#N/A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s="1" t="e">
        <f>VLOOKUP(D103,epiunits!A$1:C$4000,2,FALSE)</f>
        <v>#N/A</v>
      </c>
      <c r="B103" s="1" t="e">
        <f>VLOOKUP(D103,epiunits!A$1:C$4000,3,FALSE)</f>
        <v>#N/A</v>
      </c>
      <c r="C103" s="1" t="e">
        <f>VLOOKUP(E103,Inspector!A$1:B$50,2,FALSE)</f>
        <v>#N/A</v>
      </c>
      <c r="I103" s="1" t="e">
        <f>VLOOKUP(D103,epiunits!A$1:J$4000,6,FALSE)</f>
        <v>#N/A</v>
      </c>
      <c r="J103" s="1" t="e">
        <f>VLOOKUP(D103,epiunits!A$1:J$4000,7,FALSE)</f>
        <v>#N/A</v>
      </c>
      <c r="K103" s="1" t="e">
        <f>VLOOKUP(D103,epiunits!A$1:J$4000,8,FALSE)</f>
        <v>#N/A</v>
      </c>
      <c r="L103" s="1" t="e">
        <f>VLOOKUP(D103,epiunits!A$1:J$4000,9,FALSE)</f>
        <v>#N/A</v>
      </c>
      <c r="M103" s="1" t="e">
        <f>VLOOKUP(D103,epiunits!A$1:J$4000,10,FALSE)</f>
        <v>#N/A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s="1" t="e">
        <f>VLOOKUP(D104,epiunits!A$1:C$4000,2,FALSE)</f>
        <v>#N/A</v>
      </c>
      <c r="B104" s="1" t="e">
        <f>VLOOKUP(D104,epiunits!A$1:C$4000,3,FALSE)</f>
        <v>#N/A</v>
      </c>
      <c r="C104" s="1" t="e">
        <f>VLOOKUP(E104,Inspector!A$1:B$50,2,FALSE)</f>
        <v>#N/A</v>
      </c>
      <c r="I104" s="1" t="e">
        <f>VLOOKUP(D104,epiunits!A$1:J$4000,6,FALSE)</f>
        <v>#N/A</v>
      </c>
      <c r="J104" s="1" t="e">
        <f>VLOOKUP(D104,epiunits!A$1:J$4000,7,FALSE)</f>
        <v>#N/A</v>
      </c>
      <c r="K104" s="1" t="e">
        <f>VLOOKUP(D104,epiunits!A$1:J$4000,8,FALSE)</f>
        <v>#N/A</v>
      </c>
      <c r="L104" s="1" t="e">
        <f>VLOOKUP(D104,epiunits!A$1:J$4000,9,FALSE)</f>
        <v>#N/A</v>
      </c>
      <c r="M104" s="1" t="e">
        <f>VLOOKUP(D104,epiunits!A$1:J$4000,10,FALSE)</f>
        <v>#N/A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s="1" t="e">
        <f>VLOOKUP(D105,epiunits!A$1:C$4000,2,FALSE)</f>
        <v>#N/A</v>
      </c>
      <c r="B105" s="1" t="e">
        <f>VLOOKUP(D105,epiunits!A$1:C$4000,3,FALSE)</f>
        <v>#N/A</v>
      </c>
      <c r="C105" s="1" t="e">
        <f>VLOOKUP(E105,Inspector!A$1:B$50,2,FALSE)</f>
        <v>#N/A</v>
      </c>
      <c r="I105" s="1" t="e">
        <f>VLOOKUP(D105,epiunits!A$1:J$4000,6,FALSE)</f>
        <v>#N/A</v>
      </c>
      <c r="J105" s="1" t="e">
        <f>VLOOKUP(D105,epiunits!A$1:J$4000,7,FALSE)</f>
        <v>#N/A</v>
      </c>
      <c r="K105" s="1" t="e">
        <f>VLOOKUP(D105,epiunits!A$1:J$4000,8,FALSE)</f>
        <v>#N/A</v>
      </c>
      <c r="L105" s="1" t="e">
        <f>VLOOKUP(D105,epiunits!A$1:J$4000,9,FALSE)</f>
        <v>#N/A</v>
      </c>
      <c r="M105" s="1" t="e">
        <f>VLOOKUP(D105,epiunits!A$1:J$4000,10,FALSE)</f>
        <v>#N/A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s="1" t="e">
        <f>VLOOKUP(D106,epiunits!A$1:C$4000,2,FALSE)</f>
        <v>#N/A</v>
      </c>
      <c r="B106" s="1" t="e">
        <f>VLOOKUP(D106,epiunits!A$1:C$4000,3,FALSE)</f>
        <v>#N/A</v>
      </c>
      <c r="C106" s="1" t="e">
        <f>VLOOKUP(E106,Inspector!A$1:B$50,2,FALSE)</f>
        <v>#N/A</v>
      </c>
      <c r="I106" s="1" t="e">
        <f>VLOOKUP(D106,epiunits!A$1:J$4000,6,FALSE)</f>
        <v>#N/A</v>
      </c>
      <c r="J106" s="1" t="e">
        <f>VLOOKUP(D106,epiunits!A$1:J$4000,7,FALSE)</f>
        <v>#N/A</v>
      </c>
      <c r="K106" s="1" t="e">
        <f>VLOOKUP(D106,epiunits!A$1:J$4000,8,FALSE)</f>
        <v>#N/A</v>
      </c>
      <c r="L106" s="1" t="e">
        <f>VLOOKUP(D106,epiunits!A$1:J$4000,9,FALSE)</f>
        <v>#N/A</v>
      </c>
      <c r="M106" s="1" t="e">
        <f>VLOOKUP(D106,epiunits!A$1:J$4000,10,FALSE)</f>
        <v>#N/A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s="1" t="e">
        <f>VLOOKUP(D107,epiunits!A$1:C$4000,2,FALSE)</f>
        <v>#N/A</v>
      </c>
      <c r="B107" s="1" t="e">
        <f>VLOOKUP(D107,epiunits!A$1:C$4000,3,FALSE)</f>
        <v>#N/A</v>
      </c>
      <c r="C107" s="1" t="e">
        <f>VLOOKUP(E107,Inspector!A$1:B$50,2,FALSE)</f>
        <v>#N/A</v>
      </c>
      <c r="I107" s="1" t="e">
        <f>VLOOKUP(D107,epiunits!A$1:J$4000,6,FALSE)</f>
        <v>#N/A</v>
      </c>
      <c r="J107" s="1" t="e">
        <f>VLOOKUP(D107,epiunits!A$1:J$4000,7,FALSE)</f>
        <v>#N/A</v>
      </c>
      <c r="K107" s="1" t="e">
        <f>VLOOKUP(D107,epiunits!A$1:J$4000,8,FALSE)</f>
        <v>#N/A</v>
      </c>
      <c r="L107" s="1" t="e">
        <f>VLOOKUP(D107,epiunits!A$1:J$4000,9,FALSE)</f>
        <v>#N/A</v>
      </c>
      <c r="M107" s="1" t="e">
        <f>VLOOKUP(D107,epiunits!A$1:J$4000,10,FALSE)</f>
        <v>#N/A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</row>
    <row r="108" spans="1:51" x14ac:dyDescent="0.25">
      <c r="A108" s="1" t="e">
        <f>VLOOKUP(D108,epiunits!A$1:C$4000,2,FALSE)</f>
        <v>#N/A</v>
      </c>
      <c r="B108" s="1" t="e">
        <f>VLOOKUP(D108,epiunits!A$1:C$4000,3,FALSE)</f>
        <v>#N/A</v>
      </c>
      <c r="C108" s="1" t="e">
        <f>VLOOKUP(E108,Inspector!A$1:B$50,2,FALSE)</f>
        <v>#N/A</v>
      </c>
      <c r="I108" s="1" t="e">
        <f>VLOOKUP(D108,epiunits!A$1:J$4000,6,FALSE)</f>
        <v>#N/A</v>
      </c>
      <c r="J108" s="1" t="e">
        <f>VLOOKUP(D108,epiunits!A$1:J$4000,7,FALSE)</f>
        <v>#N/A</v>
      </c>
      <c r="K108" s="1" t="e">
        <f>VLOOKUP(D108,epiunits!A$1:J$4000,8,FALSE)</f>
        <v>#N/A</v>
      </c>
      <c r="L108" s="1" t="e">
        <f>VLOOKUP(D108,epiunits!A$1:J$4000,9,FALSE)</f>
        <v>#N/A</v>
      </c>
      <c r="M108" s="1" t="e">
        <f>VLOOKUP(D108,epiunits!A$1:J$4000,10,FALSE)</f>
        <v>#N/A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s="1" t="e">
        <f>VLOOKUP(D109,epiunits!A$1:C$4000,2,FALSE)</f>
        <v>#N/A</v>
      </c>
      <c r="B109" s="1" t="e">
        <f>VLOOKUP(D109,epiunits!A$1:C$4000,3,FALSE)</f>
        <v>#N/A</v>
      </c>
      <c r="C109" s="1" t="e">
        <f>VLOOKUP(E109,Inspector!A$1:B$50,2,FALSE)</f>
        <v>#N/A</v>
      </c>
      <c r="I109" s="1" t="e">
        <f>VLOOKUP(D109,epiunits!A$1:J$4000,6,FALSE)</f>
        <v>#N/A</v>
      </c>
      <c r="J109" s="1" t="e">
        <f>VLOOKUP(D109,epiunits!A$1:J$4000,7,FALSE)</f>
        <v>#N/A</v>
      </c>
      <c r="K109" s="1" t="e">
        <f>VLOOKUP(D109,epiunits!A$1:J$4000,8,FALSE)</f>
        <v>#N/A</v>
      </c>
      <c r="L109" s="1" t="e">
        <f>VLOOKUP(D109,epiunits!A$1:J$4000,9,FALSE)</f>
        <v>#N/A</v>
      </c>
      <c r="M109" s="1" t="e">
        <f>VLOOKUP(D109,epiunits!A$1:J$4000,10,FALSE)</f>
        <v>#N/A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s="1" t="e">
        <f>VLOOKUP(D110,epiunits!A$1:C$4000,2,FALSE)</f>
        <v>#N/A</v>
      </c>
      <c r="B110" s="1" t="e">
        <f>VLOOKUP(D110,epiunits!A$1:C$4000,3,FALSE)</f>
        <v>#N/A</v>
      </c>
      <c r="C110" s="1" t="e">
        <f>VLOOKUP(E110,Inspector!A$1:B$50,2,FALSE)</f>
        <v>#N/A</v>
      </c>
      <c r="I110" s="1" t="e">
        <f>VLOOKUP(D110,epiunits!A$1:J$4000,6,FALSE)</f>
        <v>#N/A</v>
      </c>
      <c r="J110" s="1" t="e">
        <f>VLOOKUP(D110,epiunits!A$1:J$4000,7,FALSE)</f>
        <v>#N/A</v>
      </c>
      <c r="K110" s="1" t="e">
        <f>VLOOKUP(D110,epiunits!A$1:J$4000,8,FALSE)</f>
        <v>#N/A</v>
      </c>
      <c r="L110" s="1" t="e">
        <f>VLOOKUP(D110,epiunits!A$1:J$4000,9,FALSE)</f>
        <v>#N/A</v>
      </c>
      <c r="M110" s="1" t="e">
        <f>VLOOKUP(D110,epiunits!A$1:J$4000,10,FALSE)</f>
        <v>#N/A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</row>
    <row r="111" spans="1:51" x14ac:dyDescent="0.25">
      <c r="A111" s="1" t="e">
        <f>VLOOKUP(D111,epiunits!A$1:C$4000,2,FALSE)</f>
        <v>#N/A</v>
      </c>
      <c r="B111" s="1" t="e">
        <f>VLOOKUP(D111,epiunits!A$1:C$4000,3,FALSE)</f>
        <v>#N/A</v>
      </c>
      <c r="C111" s="1" t="e">
        <f>VLOOKUP(E111,Inspector!A$1:B$50,2,FALSE)</f>
        <v>#N/A</v>
      </c>
      <c r="I111" s="1" t="e">
        <f>VLOOKUP(D111,epiunits!A$1:J$4000,6,FALSE)</f>
        <v>#N/A</v>
      </c>
      <c r="J111" s="1" t="e">
        <f>VLOOKUP(D111,epiunits!A$1:J$4000,7,FALSE)</f>
        <v>#N/A</v>
      </c>
      <c r="K111" s="1" t="e">
        <f>VLOOKUP(D111,epiunits!A$1:J$4000,8,FALSE)</f>
        <v>#N/A</v>
      </c>
      <c r="L111" s="1" t="e">
        <f>VLOOKUP(D111,epiunits!A$1:J$4000,9,FALSE)</f>
        <v>#N/A</v>
      </c>
      <c r="M111" s="1" t="e">
        <f>VLOOKUP(D111,epiunits!A$1:J$4000,10,FALSE)</f>
        <v>#N/A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</row>
    <row r="112" spans="1:51" x14ac:dyDescent="0.25">
      <c r="A112" s="1" t="e">
        <f>VLOOKUP(D112,epiunits!A$1:C$4000,2,FALSE)</f>
        <v>#N/A</v>
      </c>
      <c r="B112" s="1" t="e">
        <f>VLOOKUP(D112,epiunits!A$1:C$4000,3,FALSE)</f>
        <v>#N/A</v>
      </c>
      <c r="C112" s="1" t="e">
        <f>VLOOKUP(E112,Inspector!A$1:B$50,2,FALSE)</f>
        <v>#N/A</v>
      </c>
      <c r="I112" s="1" t="e">
        <f>VLOOKUP(D112,epiunits!A$1:J$4000,6,FALSE)</f>
        <v>#N/A</v>
      </c>
      <c r="J112" s="1" t="e">
        <f>VLOOKUP(D112,epiunits!A$1:J$4000,7,FALSE)</f>
        <v>#N/A</v>
      </c>
      <c r="K112" s="1" t="e">
        <f>VLOOKUP(D112,epiunits!A$1:J$4000,8,FALSE)</f>
        <v>#N/A</v>
      </c>
      <c r="L112" s="1" t="e">
        <f>VLOOKUP(D112,epiunits!A$1:J$4000,9,FALSE)</f>
        <v>#N/A</v>
      </c>
      <c r="M112" s="1" t="e">
        <f>VLOOKUP(D112,epiunits!A$1:J$4000,10,FALSE)</f>
        <v>#N/A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</row>
    <row r="113" spans="1:51" x14ac:dyDescent="0.25">
      <c r="A113" s="1" t="e">
        <f>VLOOKUP(D113,epiunits!A$1:C$4000,2,FALSE)</f>
        <v>#N/A</v>
      </c>
      <c r="B113" s="1" t="e">
        <f>VLOOKUP(D113,epiunits!A$1:C$4000,3,FALSE)</f>
        <v>#N/A</v>
      </c>
      <c r="C113" s="1" t="e">
        <f>VLOOKUP(E113,Inspector!A$1:B$50,2,FALSE)</f>
        <v>#N/A</v>
      </c>
      <c r="I113" s="1" t="e">
        <f>VLOOKUP(D113,epiunits!A$1:J$4000,6,FALSE)</f>
        <v>#N/A</v>
      </c>
      <c r="J113" s="1" t="e">
        <f>VLOOKUP(D113,epiunits!A$1:J$4000,7,FALSE)</f>
        <v>#N/A</v>
      </c>
      <c r="K113" s="1" t="e">
        <f>VLOOKUP(D113,epiunits!A$1:J$4000,8,FALSE)</f>
        <v>#N/A</v>
      </c>
      <c r="L113" s="1" t="e">
        <f>VLOOKUP(D113,epiunits!A$1:J$4000,9,FALSE)</f>
        <v>#N/A</v>
      </c>
      <c r="M113" s="1" t="e">
        <f>VLOOKUP(D113,epiunits!A$1:J$4000,10,FALSE)</f>
        <v>#N/A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s="1" t="e">
        <f>VLOOKUP(D114,epiunits!A$1:C$4000,2,FALSE)</f>
        <v>#N/A</v>
      </c>
      <c r="B114" s="1" t="e">
        <f>VLOOKUP(D114,epiunits!A$1:C$4000,3,FALSE)</f>
        <v>#N/A</v>
      </c>
      <c r="C114" s="1" t="e">
        <f>VLOOKUP(E114,Inspector!A$1:B$50,2,FALSE)</f>
        <v>#N/A</v>
      </c>
      <c r="I114" s="1" t="e">
        <f>VLOOKUP(D114,epiunits!A$1:J$4000,6,FALSE)</f>
        <v>#N/A</v>
      </c>
      <c r="J114" s="1" t="e">
        <f>VLOOKUP(D114,epiunits!A$1:J$4000,7,FALSE)</f>
        <v>#N/A</v>
      </c>
      <c r="K114" s="1" t="e">
        <f>VLOOKUP(D114,epiunits!A$1:J$4000,8,FALSE)</f>
        <v>#N/A</v>
      </c>
      <c r="L114" s="1" t="e">
        <f>VLOOKUP(D114,epiunits!A$1:J$4000,9,FALSE)</f>
        <v>#N/A</v>
      </c>
      <c r="M114" s="1" t="e">
        <f>VLOOKUP(D114,epiunits!A$1:J$4000,10,FALSE)</f>
        <v>#N/A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s="1" t="e">
        <f>VLOOKUP(D115,epiunits!A$1:C$4000,2,FALSE)</f>
        <v>#N/A</v>
      </c>
      <c r="B115" s="1" t="e">
        <f>VLOOKUP(D115,epiunits!A$1:C$4000,3,FALSE)</f>
        <v>#N/A</v>
      </c>
      <c r="C115" s="1" t="e">
        <f>VLOOKUP(E115,Inspector!A$1:B$50,2,FALSE)</f>
        <v>#N/A</v>
      </c>
      <c r="I115" s="1" t="e">
        <f>VLOOKUP(D115,epiunits!A$1:J$4000,6,FALSE)</f>
        <v>#N/A</v>
      </c>
      <c r="J115" s="1" t="e">
        <f>VLOOKUP(D115,epiunits!A$1:J$4000,7,FALSE)</f>
        <v>#N/A</v>
      </c>
      <c r="K115" s="1" t="e">
        <f>VLOOKUP(D115,epiunits!A$1:J$4000,8,FALSE)</f>
        <v>#N/A</v>
      </c>
      <c r="L115" s="1" t="e">
        <f>VLOOKUP(D115,epiunits!A$1:J$4000,9,FALSE)</f>
        <v>#N/A</v>
      </c>
      <c r="M115" s="1" t="e">
        <f>VLOOKUP(D115,epiunits!A$1:J$4000,10,FALSE)</f>
        <v>#N/A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s="1" t="e">
        <f>VLOOKUP(D116,epiunits!A$1:C$4000,2,FALSE)</f>
        <v>#N/A</v>
      </c>
      <c r="B116" s="1" t="e">
        <f>VLOOKUP(D116,epiunits!A$1:C$4000,3,FALSE)</f>
        <v>#N/A</v>
      </c>
      <c r="C116" s="1" t="e">
        <f>VLOOKUP(E116,Inspector!A$1:B$50,2,FALSE)</f>
        <v>#N/A</v>
      </c>
      <c r="I116" s="1" t="e">
        <f>VLOOKUP(D116,epiunits!A$1:J$4000,6,FALSE)</f>
        <v>#N/A</v>
      </c>
      <c r="J116" s="1" t="e">
        <f>VLOOKUP(D116,epiunits!A$1:J$4000,7,FALSE)</f>
        <v>#N/A</v>
      </c>
      <c r="K116" s="1" t="e">
        <f>VLOOKUP(D116,epiunits!A$1:J$4000,8,FALSE)</f>
        <v>#N/A</v>
      </c>
      <c r="L116" s="1" t="e">
        <f>VLOOKUP(D116,epiunits!A$1:J$4000,9,FALSE)</f>
        <v>#N/A</v>
      </c>
      <c r="M116" s="1" t="e">
        <f>VLOOKUP(D116,epiunits!A$1:J$4000,10,FALSE)</f>
        <v>#N/A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s="1" t="e">
        <f>VLOOKUP(D117,epiunits!A$1:C$4000,2,FALSE)</f>
        <v>#N/A</v>
      </c>
      <c r="B117" s="1" t="e">
        <f>VLOOKUP(D117,epiunits!A$1:C$4000,3,FALSE)</f>
        <v>#N/A</v>
      </c>
      <c r="C117" s="1" t="e">
        <f>VLOOKUP(E117,Inspector!A$1:B$50,2,FALSE)</f>
        <v>#N/A</v>
      </c>
      <c r="I117" s="1" t="e">
        <f>VLOOKUP(D117,epiunits!A$1:J$4000,6,FALSE)</f>
        <v>#N/A</v>
      </c>
      <c r="J117" s="1" t="e">
        <f>VLOOKUP(D117,epiunits!A$1:J$4000,7,FALSE)</f>
        <v>#N/A</v>
      </c>
      <c r="K117" s="1" t="e">
        <f>VLOOKUP(D117,epiunits!A$1:J$4000,8,FALSE)</f>
        <v>#N/A</v>
      </c>
      <c r="L117" s="1" t="e">
        <f>VLOOKUP(D117,epiunits!A$1:J$4000,9,FALSE)</f>
        <v>#N/A</v>
      </c>
      <c r="M117" s="1" t="e">
        <f>VLOOKUP(D117,epiunits!A$1:J$4000,10,FALSE)</f>
        <v>#N/A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s="1" t="e">
        <f>VLOOKUP(D118,epiunits!A$1:C$4000,2,FALSE)</f>
        <v>#N/A</v>
      </c>
      <c r="B118" s="1" t="e">
        <f>VLOOKUP(D118,epiunits!A$1:C$4000,3,FALSE)</f>
        <v>#N/A</v>
      </c>
      <c r="C118" s="1" t="e">
        <f>VLOOKUP(E118,Inspector!A$1:B$50,2,FALSE)</f>
        <v>#N/A</v>
      </c>
      <c r="I118" s="1" t="e">
        <f>VLOOKUP(D118,epiunits!A$1:J$4000,6,FALSE)</f>
        <v>#N/A</v>
      </c>
      <c r="J118" s="1" t="e">
        <f>VLOOKUP(D118,epiunits!A$1:J$4000,7,FALSE)</f>
        <v>#N/A</v>
      </c>
      <c r="K118" s="1" t="e">
        <f>VLOOKUP(D118,epiunits!A$1:J$4000,8,FALSE)</f>
        <v>#N/A</v>
      </c>
      <c r="L118" s="1" t="e">
        <f>VLOOKUP(D118,epiunits!A$1:J$4000,9,FALSE)</f>
        <v>#N/A</v>
      </c>
      <c r="M118" s="1" t="e">
        <f>VLOOKUP(D118,epiunits!A$1:J$4000,10,FALSE)</f>
        <v>#N/A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s="1" t="e">
        <f>VLOOKUP(D119,epiunits!A$1:C$4000,2,FALSE)</f>
        <v>#N/A</v>
      </c>
      <c r="B119" s="1" t="e">
        <f>VLOOKUP(D119,epiunits!A$1:C$4000,3,FALSE)</f>
        <v>#N/A</v>
      </c>
      <c r="C119" s="1" t="e">
        <f>VLOOKUP(E119,Inspector!A$1:B$50,2,FALSE)</f>
        <v>#N/A</v>
      </c>
      <c r="I119" s="1" t="e">
        <f>VLOOKUP(D119,epiunits!A$1:J$4000,6,FALSE)</f>
        <v>#N/A</v>
      </c>
      <c r="J119" s="1" t="e">
        <f>VLOOKUP(D119,epiunits!A$1:J$4000,7,FALSE)</f>
        <v>#N/A</v>
      </c>
      <c r="K119" s="1" t="e">
        <f>VLOOKUP(D119,epiunits!A$1:J$4000,8,FALSE)</f>
        <v>#N/A</v>
      </c>
      <c r="L119" s="1" t="e">
        <f>VLOOKUP(D119,epiunits!A$1:J$4000,9,FALSE)</f>
        <v>#N/A</v>
      </c>
      <c r="M119" s="1" t="e">
        <f>VLOOKUP(D119,epiunits!A$1:J$4000,10,FALSE)</f>
        <v>#N/A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s="1" t="e">
        <f>VLOOKUP(D120,epiunits!A$1:C$4000,2,FALSE)</f>
        <v>#N/A</v>
      </c>
      <c r="B120" s="1" t="e">
        <f>VLOOKUP(D120,epiunits!A$1:C$4000,3,FALSE)</f>
        <v>#N/A</v>
      </c>
      <c r="C120" s="1" t="e">
        <f>VLOOKUP(E120,Inspector!A$1:B$50,2,FALSE)</f>
        <v>#N/A</v>
      </c>
      <c r="I120" s="1" t="e">
        <f>VLOOKUP(D120,epiunits!A$1:J$4000,6,FALSE)</f>
        <v>#N/A</v>
      </c>
      <c r="J120" s="1" t="e">
        <f>VLOOKUP(D120,epiunits!A$1:J$4000,7,FALSE)</f>
        <v>#N/A</v>
      </c>
      <c r="K120" s="1" t="e">
        <f>VLOOKUP(D120,epiunits!A$1:J$4000,8,FALSE)</f>
        <v>#N/A</v>
      </c>
      <c r="L120" s="1" t="e">
        <f>VLOOKUP(D120,epiunits!A$1:J$4000,9,FALSE)</f>
        <v>#N/A</v>
      </c>
      <c r="M120" s="1" t="e">
        <f>VLOOKUP(D120,epiunits!A$1:J$4000,10,FALSE)</f>
        <v>#N/A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s="1" t="e">
        <f>VLOOKUP(D121,epiunits!A$1:C$4000,2,FALSE)</f>
        <v>#N/A</v>
      </c>
      <c r="B121" s="1" t="e">
        <f>VLOOKUP(D121,epiunits!A$1:C$4000,3,FALSE)</f>
        <v>#N/A</v>
      </c>
      <c r="C121" s="1" t="e">
        <f>VLOOKUP(E121,Inspector!A$1:B$50,2,FALSE)</f>
        <v>#N/A</v>
      </c>
      <c r="I121" s="1" t="e">
        <f>VLOOKUP(D121,epiunits!A$1:J$4000,6,FALSE)</f>
        <v>#N/A</v>
      </c>
      <c r="J121" s="1" t="e">
        <f>VLOOKUP(D121,epiunits!A$1:J$4000,7,FALSE)</f>
        <v>#N/A</v>
      </c>
      <c r="K121" s="1" t="e">
        <f>VLOOKUP(D121,epiunits!A$1:J$4000,8,FALSE)</f>
        <v>#N/A</v>
      </c>
      <c r="L121" s="1" t="e">
        <f>VLOOKUP(D121,epiunits!A$1:J$4000,9,FALSE)</f>
        <v>#N/A</v>
      </c>
      <c r="M121" s="1" t="e">
        <f>VLOOKUP(D121,epiunits!A$1:J$4000,10,FALSE)</f>
        <v>#N/A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s="1" t="e">
        <f>VLOOKUP(D122,epiunits!A$1:C$4000,2,FALSE)</f>
        <v>#N/A</v>
      </c>
      <c r="B122" s="1" t="e">
        <f>VLOOKUP(D122,epiunits!A$1:C$4000,3,FALSE)</f>
        <v>#N/A</v>
      </c>
      <c r="C122" s="1" t="e">
        <f>VLOOKUP(E122,Inspector!A$1:B$50,2,FALSE)</f>
        <v>#N/A</v>
      </c>
      <c r="I122" s="1" t="e">
        <f>VLOOKUP(D122,epiunits!A$1:J$4000,6,FALSE)</f>
        <v>#N/A</v>
      </c>
      <c r="J122" s="1" t="e">
        <f>VLOOKUP(D122,epiunits!A$1:J$4000,7,FALSE)</f>
        <v>#N/A</v>
      </c>
      <c r="K122" s="1" t="e">
        <f>VLOOKUP(D122,epiunits!A$1:J$4000,8,FALSE)</f>
        <v>#N/A</v>
      </c>
      <c r="L122" s="1" t="e">
        <f>VLOOKUP(D122,epiunits!A$1:J$4000,9,FALSE)</f>
        <v>#N/A</v>
      </c>
      <c r="M122" s="1" t="e">
        <f>VLOOKUP(D122,epiunits!A$1:J$4000,10,FALSE)</f>
        <v>#N/A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</row>
    <row r="123" spans="1:51" x14ac:dyDescent="0.25">
      <c r="A123" s="1" t="e">
        <f>VLOOKUP(D123,epiunits!A$1:C$4000,2,FALSE)</f>
        <v>#N/A</v>
      </c>
      <c r="B123" s="1" t="e">
        <f>VLOOKUP(D123,epiunits!A$1:C$4000,3,FALSE)</f>
        <v>#N/A</v>
      </c>
      <c r="C123" s="1" t="e">
        <f>VLOOKUP(E123,Inspector!A$1:B$50,2,FALSE)</f>
        <v>#N/A</v>
      </c>
      <c r="I123" s="1" t="e">
        <f>VLOOKUP(D123,epiunits!A$1:J$4000,6,FALSE)</f>
        <v>#N/A</v>
      </c>
      <c r="J123" s="1" t="e">
        <f>VLOOKUP(D123,epiunits!A$1:J$4000,7,FALSE)</f>
        <v>#N/A</v>
      </c>
      <c r="K123" s="1" t="e">
        <f>VLOOKUP(D123,epiunits!A$1:J$4000,8,FALSE)</f>
        <v>#N/A</v>
      </c>
      <c r="L123" s="1" t="e">
        <f>VLOOKUP(D123,epiunits!A$1:J$4000,9,FALSE)</f>
        <v>#N/A</v>
      </c>
      <c r="M123" s="1" t="e">
        <f>VLOOKUP(D123,epiunits!A$1:J$4000,10,FALSE)</f>
        <v>#N/A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</row>
    <row r="124" spans="1:51" x14ac:dyDescent="0.25">
      <c r="A124" s="1" t="e">
        <f>VLOOKUP(D124,epiunits!A$1:C$4000,2,FALSE)</f>
        <v>#N/A</v>
      </c>
      <c r="B124" s="1" t="e">
        <f>VLOOKUP(D124,epiunits!A$1:C$4000,3,FALSE)</f>
        <v>#N/A</v>
      </c>
      <c r="C124" s="1" t="e">
        <f>VLOOKUP(E124,Inspector!A$1:B$50,2,FALSE)</f>
        <v>#N/A</v>
      </c>
      <c r="I124" s="1" t="e">
        <f>VLOOKUP(D124,epiunits!A$1:J$4000,6,FALSE)</f>
        <v>#N/A</v>
      </c>
      <c r="J124" s="1" t="e">
        <f>VLOOKUP(D124,epiunits!A$1:J$4000,7,FALSE)</f>
        <v>#N/A</v>
      </c>
      <c r="K124" s="1" t="e">
        <f>VLOOKUP(D124,epiunits!A$1:J$4000,8,FALSE)</f>
        <v>#N/A</v>
      </c>
      <c r="L124" s="1" t="e">
        <f>VLOOKUP(D124,epiunits!A$1:J$4000,9,FALSE)</f>
        <v>#N/A</v>
      </c>
      <c r="M124" s="1" t="e">
        <f>VLOOKUP(D124,epiunits!A$1:J$4000,10,FALSE)</f>
        <v>#N/A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</row>
    <row r="125" spans="1:51" x14ac:dyDescent="0.25">
      <c r="A125" s="1" t="e">
        <f>VLOOKUP(D125,epiunits!A$1:C$4000,2,FALSE)</f>
        <v>#N/A</v>
      </c>
      <c r="B125" s="1" t="e">
        <f>VLOOKUP(D125,epiunits!A$1:C$4000,3,FALSE)</f>
        <v>#N/A</v>
      </c>
      <c r="C125" s="1" t="e">
        <f>VLOOKUP(E125,Inspector!A$1:B$50,2,FALSE)</f>
        <v>#N/A</v>
      </c>
      <c r="I125" s="1" t="e">
        <f>VLOOKUP(D125,epiunits!A$1:J$4000,6,FALSE)</f>
        <v>#N/A</v>
      </c>
      <c r="J125" s="1" t="e">
        <f>VLOOKUP(D125,epiunits!A$1:J$4000,7,FALSE)</f>
        <v>#N/A</v>
      </c>
      <c r="K125" s="1" t="e">
        <f>VLOOKUP(D125,epiunits!A$1:J$4000,8,FALSE)</f>
        <v>#N/A</v>
      </c>
      <c r="L125" s="1" t="e">
        <f>VLOOKUP(D125,epiunits!A$1:J$4000,9,FALSE)</f>
        <v>#N/A</v>
      </c>
      <c r="M125" s="1" t="e">
        <f>VLOOKUP(D125,epiunits!A$1:J$4000,10,FALSE)</f>
        <v>#N/A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</row>
    <row r="126" spans="1:51" x14ac:dyDescent="0.25">
      <c r="A126" s="1" t="e">
        <f>VLOOKUP(D126,epiunits!A$1:C$4000,2,FALSE)</f>
        <v>#N/A</v>
      </c>
      <c r="B126" s="1" t="e">
        <f>VLOOKUP(D126,epiunits!A$1:C$4000,3,FALSE)</f>
        <v>#N/A</v>
      </c>
      <c r="C126" s="1" t="e">
        <f>VLOOKUP(E126,Inspector!A$1:B$50,2,FALSE)</f>
        <v>#N/A</v>
      </c>
      <c r="I126" s="1" t="e">
        <f>VLOOKUP(D126,epiunits!A$1:J$4000,6,FALSE)</f>
        <v>#N/A</v>
      </c>
      <c r="J126" s="1" t="e">
        <f>VLOOKUP(D126,epiunits!A$1:J$4000,7,FALSE)</f>
        <v>#N/A</v>
      </c>
      <c r="K126" s="1" t="e">
        <f>VLOOKUP(D126,epiunits!A$1:J$4000,8,FALSE)</f>
        <v>#N/A</v>
      </c>
      <c r="L126" s="1" t="e">
        <f>VLOOKUP(D126,epiunits!A$1:J$4000,9,FALSE)</f>
        <v>#N/A</v>
      </c>
      <c r="M126" s="1" t="e">
        <f>VLOOKUP(D126,epiunits!A$1:J$4000,10,FALSE)</f>
        <v>#N/A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</row>
    <row r="127" spans="1:51" x14ac:dyDescent="0.25">
      <c r="A127" s="1" t="e">
        <f>VLOOKUP(D127,epiunits!A$1:C$4000,2,FALSE)</f>
        <v>#N/A</v>
      </c>
      <c r="B127" s="1" t="e">
        <f>VLOOKUP(D127,epiunits!A$1:C$4000,3,FALSE)</f>
        <v>#N/A</v>
      </c>
      <c r="C127" s="1" t="e">
        <f>VLOOKUP(E127,Inspector!A$1:B$50,2,FALSE)</f>
        <v>#N/A</v>
      </c>
      <c r="I127" s="1" t="e">
        <f>VLOOKUP(D127,epiunits!A$1:J$4000,6,FALSE)</f>
        <v>#N/A</v>
      </c>
      <c r="J127" s="1" t="e">
        <f>VLOOKUP(D127,epiunits!A$1:J$4000,7,FALSE)</f>
        <v>#N/A</v>
      </c>
      <c r="K127" s="1" t="e">
        <f>VLOOKUP(D127,epiunits!A$1:J$4000,8,FALSE)</f>
        <v>#N/A</v>
      </c>
      <c r="L127" s="1" t="e">
        <f>VLOOKUP(D127,epiunits!A$1:J$4000,9,FALSE)</f>
        <v>#N/A</v>
      </c>
      <c r="M127" s="1" t="e">
        <f>VLOOKUP(D127,epiunits!A$1:J$4000,10,FALSE)</f>
        <v>#N/A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s="1" t="e">
        <f>VLOOKUP(D128,epiunits!A$1:C$4000,2,FALSE)</f>
        <v>#N/A</v>
      </c>
      <c r="B128" s="1" t="e">
        <f>VLOOKUP(D128,epiunits!A$1:C$4000,3,FALSE)</f>
        <v>#N/A</v>
      </c>
      <c r="C128" s="1" t="e">
        <f>VLOOKUP(E128,Inspector!A$1:B$50,2,FALSE)</f>
        <v>#N/A</v>
      </c>
      <c r="I128" s="1" t="e">
        <f>VLOOKUP(D128,epiunits!A$1:J$4000,6,FALSE)</f>
        <v>#N/A</v>
      </c>
      <c r="J128" s="1" t="e">
        <f>VLOOKUP(D128,epiunits!A$1:J$4000,7,FALSE)</f>
        <v>#N/A</v>
      </c>
      <c r="K128" s="1" t="e">
        <f>VLOOKUP(D128,epiunits!A$1:J$4000,8,FALSE)</f>
        <v>#N/A</v>
      </c>
      <c r="L128" s="1" t="e">
        <f>VLOOKUP(D128,epiunits!A$1:J$4000,9,FALSE)</f>
        <v>#N/A</v>
      </c>
      <c r="M128" s="1" t="e">
        <f>VLOOKUP(D128,epiunits!A$1:J$4000,10,FALSE)</f>
        <v>#N/A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x14ac:dyDescent="0.25">
      <c r="A129" s="1" t="e">
        <f>VLOOKUP(D129,epiunits!A$1:C$4000,2,FALSE)</f>
        <v>#N/A</v>
      </c>
      <c r="B129" s="1" t="e">
        <f>VLOOKUP(D129,epiunits!A$1:C$4000,3,FALSE)</f>
        <v>#N/A</v>
      </c>
      <c r="C129" s="1" t="e">
        <f>VLOOKUP(E129,Inspector!A$1:B$50,2,FALSE)</f>
        <v>#N/A</v>
      </c>
      <c r="I129" s="1" t="e">
        <f>VLOOKUP(D129,epiunits!A$1:J$4000,6,FALSE)</f>
        <v>#N/A</v>
      </c>
      <c r="J129" s="1" t="e">
        <f>VLOOKUP(D129,epiunits!A$1:J$4000,7,FALSE)</f>
        <v>#N/A</v>
      </c>
      <c r="K129" s="1" t="e">
        <f>VLOOKUP(D129,epiunits!A$1:J$4000,8,FALSE)</f>
        <v>#N/A</v>
      </c>
      <c r="L129" s="1" t="e">
        <f>VLOOKUP(D129,epiunits!A$1:J$4000,9,FALSE)</f>
        <v>#N/A</v>
      </c>
      <c r="M129" s="1" t="e">
        <f>VLOOKUP(D129,epiunits!A$1:J$4000,10,FALSE)</f>
        <v>#N/A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</row>
    <row r="130" spans="1:51" x14ac:dyDescent="0.25">
      <c r="A130" s="1" t="e">
        <f>VLOOKUP(D130,epiunits!A$1:C$4000,2,FALSE)</f>
        <v>#N/A</v>
      </c>
      <c r="B130" s="1" t="e">
        <f>VLOOKUP(D130,epiunits!A$1:C$4000,3,FALSE)</f>
        <v>#N/A</v>
      </c>
      <c r="C130" s="1" t="e">
        <f>VLOOKUP(E130,Inspector!A$1:B$50,2,FALSE)</f>
        <v>#N/A</v>
      </c>
      <c r="I130" s="1" t="e">
        <f>VLOOKUP(D130,epiunits!A$1:J$4000,6,FALSE)</f>
        <v>#N/A</v>
      </c>
      <c r="J130" s="1" t="e">
        <f>VLOOKUP(D130,epiunits!A$1:J$4000,7,FALSE)</f>
        <v>#N/A</v>
      </c>
      <c r="K130" s="1" t="e">
        <f>VLOOKUP(D130,epiunits!A$1:J$4000,8,FALSE)</f>
        <v>#N/A</v>
      </c>
      <c r="L130" s="1" t="e">
        <f>VLOOKUP(D130,epiunits!A$1:J$4000,9,FALSE)</f>
        <v>#N/A</v>
      </c>
      <c r="M130" s="1" t="e">
        <f>VLOOKUP(D130,epiunits!A$1:J$4000,10,FALSE)</f>
        <v>#N/A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s="1" t="e">
        <f>VLOOKUP(D131,epiunits!A$1:C$4000,2,FALSE)</f>
        <v>#N/A</v>
      </c>
      <c r="B131" s="1" t="e">
        <f>VLOOKUP(D131,epiunits!A$1:C$4000,3,FALSE)</f>
        <v>#N/A</v>
      </c>
      <c r="C131" s="1" t="e">
        <f>VLOOKUP(E131,Inspector!A$1:B$50,2,FALSE)</f>
        <v>#N/A</v>
      </c>
      <c r="I131" s="1" t="e">
        <f>VLOOKUP(D131,epiunits!A$1:J$4000,6,FALSE)</f>
        <v>#N/A</v>
      </c>
      <c r="J131" s="1" t="e">
        <f>VLOOKUP(D131,epiunits!A$1:J$4000,7,FALSE)</f>
        <v>#N/A</v>
      </c>
      <c r="K131" s="1" t="e">
        <f>VLOOKUP(D131,epiunits!A$1:J$4000,8,FALSE)</f>
        <v>#N/A</v>
      </c>
      <c r="L131" s="1" t="e">
        <f>VLOOKUP(D131,epiunits!A$1:J$4000,9,FALSE)</f>
        <v>#N/A</v>
      </c>
      <c r="M131" s="1" t="e">
        <f>VLOOKUP(D131,epiunits!A$1:J$4000,10,FALSE)</f>
        <v>#N/A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s="1" t="e">
        <f>VLOOKUP(D132,epiunits!A$1:C$4000,2,FALSE)</f>
        <v>#N/A</v>
      </c>
      <c r="B132" s="1" t="e">
        <f>VLOOKUP(D132,epiunits!A$1:C$4000,3,FALSE)</f>
        <v>#N/A</v>
      </c>
      <c r="C132" s="1" t="e">
        <f>VLOOKUP(E132,Inspector!A$1:B$50,2,FALSE)</f>
        <v>#N/A</v>
      </c>
      <c r="I132" s="1" t="e">
        <f>VLOOKUP(D132,epiunits!A$1:J$4000,6,FALSE)</f>
        <v>#N/A</v>
      </c>
      <c r="J132" s="1" t="e">
        <f>VLOOKUP(D132,epiunits!A$1:J$4000,7,FALSE)</f>
        <v>#N/A</v>
      </c>
      <c r="K132" s="1" t="e">
        <f>VLOOKUP(D132,epiunits!A$1:J$4000,8,FALSE)</f>
        <v>#N/A</v>
      </c>
      <c r="L132" s="1" t="e">
        <f>VLOOKUP(D132,epiunits!A$1:J$4000,9,FALSE)</f>
        <v>#N/A</v>
      </c>
      <c r="M132" s="1" t="e">
        <f>VLOOKUP(D132,epiunits!A$1:J$4000,10,FALSE)</f>
        <v>#N/A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</row>
    <row r="133" spans="1:51" x14ac:dyDescent="0.25">
      <c r="A133" s="1" t="e">
        <f>VLOOKUP(D133,epiunits!A$1:C$4000,2,FALSE)</f>
        <v>#N/A</v>
      </c>
      <c r="B133" s="1" t="e">
        <f>VLOOKUP(D133,epiunits!A$1:C$4000,3,FALSE)</f>
        <v>#N/A</v>
      </c>
      <c r="C133" s="1" t="e">
        <f>VLOOKUP(E133,Inspector!A$1:B$50,2,FALSE)</f>
        <v>#N/A</v>
      </c>
      <c r="I133" s="1" t="e">
        <f>VLOOKUP(D133,epiunits!A$1:J$4000,6,FALSE)</f>
        <v>#N/A</v>
      </c>
      <c r="J133" s="1" t="e">
        <f>VLOOKUP(D133,epiunits!A$1:J$4000,7,FALSE)</f>
        <v>#N/A</v>
      </c>
      <c r="K133" s="1" t="e">
        <f>VLOOKUP(D133,epiunits!A$1:J$4000,8,FALSE)</f>
        <v>#N/A</v>
      </c>
      <c r="L133" s="1" t="e">
        <f>VLOOKUP(D133,epiunits!A$1:J$4000,9,FALSE)</f>
        <v>#N/A</v>
      </c>
      <c r="M133" s="1" t="e">
        <f>VLOOKUP(D133,epiunits!A$1:J$4000,10,FALSE)</f>
        <v>#N/A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s="1" t="e">
        <f>VLOOKUP(D134,epiunits!A$1:C$4000,2,FALSE)</f>
        <v>#N/A</v>
      </c>
      <c r="B134" s="1" t="e">
        <f>VLOOKUP(D134,epiunits!A$1:C$4000,3,FALSE)</f>
        <v>#N/A</v>
      </c>
      <c r="C134" s="1" t="e">
        <f>VLOOKUP(E134,Inspector!A$1:B$50,2,FALSE)</f>
        <v>#N/A</v>
      </c>
      <c r="I134" s="1" t="e">
        <f>VLOOKUP(D134,epiunits!A$1:J$4000,6,FALSE)</f>
        <v>#N/A</v>
      </c>
      <c r="J134" s="1" t="e">
        <f>VLOOKUP(D134,epiunits!A$1:J$4000,7,FALSE)</f>
        <v>#N/A</v>
      </c>
      <c r="K134" s="1" t="e">
        <f>VLOOKUP(D134,epiunits!A$1:J$4000,8,FALSE)</f>
        <v>#N/A</v>
      </c>
      <c r="L134" s="1" t="e">
        <f>VLOOKUP(D134,epiunits!A$1:J$4000,9,FALSE)</f>
        <v>#N/A</v>
      </c>
      <c r="M134" s="1" t="e">
        <f>VLOOKUP(D134,epiunits!A$1:J$4000,10,FALSE)</f>
        <v>#N/A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s="1" t="e">
        <f>VLOOKUP(D135,epiunits!A$1:C$4000,2,FALSE)</f>
        <v>#N/A</v>
      </c>
      <c r="B135" s="1" t="e">
        <f>VLOOKUP(D135,epiunits!A$1:C$4000,3,FALSE)</f>
        <v>#N/A</v>
      </c>
      <c r="C135" s="1" t="e">
        <f>VLOOKUP(E135,Inspector!A$1:B$50,2,FALSE)</f>
        <v>#N/A</v>
      </c>
      <c r="I135" s="1" t="e">
        <f>VLOOKUP(D135,epiunits!A$1:J$4000,6,FALSE)</f>
        <v>#N/A</v>
      </c>
      <c r="J135" s="1" t="e">
        <f>VLOOKUP(D135,epiunits!A$1:J$4000,7,FALSE)</f>
        <v>#N/A</v>
      </c>
      <c r="K135" s="1" t="e">
        <f>VLOOKUP(D135,epiunits!A$1:J$4000,8,FALSE)</f>
        <v>#N/A</v>
      </c>
      <c r="L135" s="1" t="e">
        <f>VLOOKUP(D135,epiunits!A$1:J$4000,9,FALSE)</f>
        <v>#N/A</v>
      </c>
      <c r="M135" s="1" t="e">
        <f>VLOOKUP(D135,epiunits!A$1:J$4000,10,FALSE)</f>
        <v>#N/A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</row>
    <row r="136" spans="1:51" x14ac:dyDescent="0.25">
      <c r="A136" s="1" t="e">
        <f>VLOOKUP(D136,epiunits!A$1:C$4000,2,FALSE)</f>
        <v>#N/A</v>
      </c>
      <c r="B136" s="1" t="e">
        <f>VLOOKUP(D136,epiunits!A$1:C$4000,3,FALSE)</f>
        <v>#N/A</v>
      </c>
      <c r="C136" s="1" t="e">
        <f>VLOOKUP(E136,Inspector!A$1:B$50,2,FALSE)</f>
        <v>#N/A</v>
      </c>
      <c r="I136" s="1" t="e">
        <f>VLOOKUP(D136,epiunits!A$1:J$4000,6,FALSE)</f>
        <v>#N/A</v>
      </c>
      <c r="J136" s="1" t="e">
        <f>VLOOKUP(D136,epiunits!A$1:J$4000,7,FALSE)</f>
        <v>#N/A</v>
      </c>
      <c r="K136" s="1" t="e">
        <f>VLOOKUP(D136,epiunits!A$1:J$4000,8,FALSE)</f>
        <v>#N/A</v>
      </c>
      <c r="L136" s="1" t="e">
        <f>VLOOKUP(D136,epiunits!A$1:J$4000,9,FALSE)</f>
        <v>#N/A</v>
      </c>
      <c r="M136" s="1" t="e">
        <f>VLOOKUP(D136,epiunits!A$1:J$4000,10,FALSE)</f>
        <v>#N/A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s="1" t="e">
        <f>VLOOKUP(D137,epiunits!A$1:C$4000,2,FALSE)</f>
        <v>#N/A</v>
      </c>
      <c r="B137" s="1" t="e">
        <f>VLOOKUP(D137,epiunits!A$1:C$4000,3,FALSE)</f>
        <v>#N/A</v>
      </c>
      <c r="C137" s="1" t="e">
        <f>VLOOKUP(E137,Inspector!A$1:B$50,2,FALSE)</f>
        <v>#N/A</v>
      </c>
      <c r="I137" s="1" t="e">
        <f>VLOOKUP(D137,epiunits!A$1:J$4000,6,FALSE)</f>
        <v>#N/A</v>
      </c>
      <c r="J137" s="1" t="e">
        <f>VLOOKUP(D137,epiunits!A$1:J$4000,7,FALSE)</f>
        <v>#N/A</v>
      </c>
      <c r="K137" s="1" t="e">
        <f>VLOOKUP(D137,epiunits!A$1:J$4000,8,FALSE)</f>
        <v>#N/A</v>
      </c>
      <c r="L137" s="1" t="e">
        <f>VLOOKUP(D137,epiunits!A$1:J$4000,9,FALSE)</f>
        <v>#N/A</v>
      </c>
      <c r="M137" s="1" t="e">
        <f>VLOOKUP(D137,epiunits!A$1:J$4000,10,FALSE)</f>
        <v>#N/A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s="1" t="e">
        <f>VLOOKUP(D138,epiunits!A$1:C$4000,2,FALSE)</f>
        <v>#N/A</v>
      </c>
      <c r="B138" s="1" t="e">
        <f>VLOOKUP(D138,epiunits!A$1:C$4000,3,FALSE)</f>
        <v>#N/A</v>
      </c>
      <c r="C138" s="1" t="e">
        <f>VLOOKUP(E138,Inspector!A$1:B$50,2,FALSE)</f>
        <v>#N/A</v>
      </c>
      <c r="I138" s="1" t="e">
        <f>VLOOKUP(D138,epiunits!A$1:J$4000,6,FALSE)</f>
        <v>#N/A</v>
      </c>
      <c r="J138" s="1" t="e">
        <f>VLOOKUP(D138,epiunits!A$1:J$4000,7,FALSE)</f>
        <v>#N/A</v>
      </c>
      <c r="K138" s="1" t="e">
        <f>VLOOKUP(D138,epiunits!A$1:J$4000,8,FALSE)</f>
        <v>#N/A</v>
      </c>
      <c r="L138" s="1" t="e">
        <f>VLOOKUP(D138,epiunits!A$1:J$4000,9,FALSE)</f>
        <v>#N/A</v>
      </c>
      <c r="M138" s="1" t="e">
        <f>VLOOKUP(D138,epiunits!A$1:J$4000,10,FALSE)</f>
        <v>#N/A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s="1" t="e">
        <f>VLOOKUP(D139,epiunits!A$1:C$4000,2,FALSE)</f>
        <v>#N/A</v>
      </c>
      <c r="B139" s="1" t="e">
        <f>VLOOKUP(D139,epiunits!A$1:C$4000,3,FALSE)</f>
        <v>#N/A</v>
      </c>
      <c r="C139" s="1" t="e">
        <f>VLOOKUP(E139,Inspector!A$1:B$50,2,FALSE)</f>
        <v>#N/A</v>
      </c>
      <c r="I139" s="1" t="e">
        <f>VLOOKUP(D139,epiunits!A$1:J$4000,6,FALSE)</f>
        <v>#N/A</v>
      </c>
      <c r="J139" s="1" t="e">
        <f>VLOOKUP(D139,epiunits!A$1:J$4000,7,FALSE)</f>
        <v>#N/A</v>
      </c>
      <c r="K139" s="1" t="e">
        <f>VLOOKUP(D139,epiunits!A$1:J$4000,8,FALSE)</f>
        <v>#N/A</v>
      </c>
      <c r="L139" s="1" t="e">
        <f>VLOOKUP(D139,epiunits!A$1:J$4000,9,FALSE)</f>
        <v>#N/A</v>
      </c>
      <c r="M139" s="1" t="e">
        <f>VLOOKUP(D139,epiunits!A$1:J$4000,10,FALSE)</f>
        <v>#N/A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s="1" t="e">
        <f>VLOOKUP(D140,epiunits!A$1:C$4000,2,FALSE)</f>
        <v>#N/A</v>
      </c>
      <c r="B140" s="1" t="e">
        <f>VLOOKUP(D140,epiunits!A$1:C$4000,3,FALSE)</f>
        <v>#N/A</v>
      </c>
      <c r="C140" s="1" t="e">
        <f>VLOOKUP(E140,Inspector!A$1:B$50,2,FALSE)</f>
        <v>#N/A</v>
      </c>
      <c r="I140" s="1" t="e">
        <f>VLOOKUP(D140,epiunits!A$1:J$4000,6,FALSE)</f>
        <v>#N/A</v>
      </c>
      <c r="J140" s="1" t="e">
        <f>VLOOKUP(D140,epiunits!A$1:J$4000,7,FALSE)</f>
        <v>#N/A</v>
      </c>
      <c r="K140" s="1" t="e">
        <f>VLOOKUP(D140,epiunits!A$1:J$4000,8,FALSE)</f>
        <v>#N/A</v>
      </c>
      <c r="L140" s="1" t="e">
        <f>VLOOKUP(D140,epiunits!A$1:J$4000,9,FALSE)</f>
        <v>#N/A</v>
      </c>
      <c r="M140" s="1" t="e">
        <f>VLOOKUP(D140,epiunits!A$1:J$4000,10,FALSE)</f>
        <v>#N/A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</row>
    <row r="141" spans="1:51" x14ac:dyDescent="0.25">
      <c r="A141" s="1" t="e">
        <f>VLOOKUP(D141,epiunits!A$1:C$4000,2,FALSE)</f>
        <v>#N/A</v>
      </c>
      <c r="B141" s="1" t="e">
        <f>VLOOKUP(D141,epiunits!A$1:C$4000,3,FALSE)</f>
        <v>#N/A</v>
      </c>
      <c r="C141" s="1" t="e">
        <f>VLOOKUP(E141,Inspector!A$1:B$50,2,FALSE)</f>
        <v>#N/A</v>
      </c>
      <c r="I141" s="1" t="e">
        <f>VLOOKUP(D141,epiunits!A$1:J$4000,6,FALSE)</f>
        <v>#N/A</v>
      </c>
      <c r="J141" s="1" t="e">
        <f>VLOOKUP(D141,epiunits!A$1:J$4000,7,FALSE)</f>
        <v>#N/A</v>
      </c>
      <c r="K141" s="1" t="e">
        <f>VLOOKUP(D141,epiunits!A$1:J$4000,8,FALSE)</f>
        <v>#N/A</v>
      </c>
      <c r="L141" s="1" t="e">
        <f>VLOOKUP(D141,epiunits!A$1:J$4000,9,FALSE)</f>
        <v>#N/A</v>
      </c>
      <c r="M141" s="1" t="e">
        <f>VLOOKUP(D141,epiunits!A$1:J$4000,10,FALSE)</f>
        <v>#N/A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s="1" t="e">
        <f>VLOOKUP(D142,epiunits!A$1:C$4000,2,FALSE)</f>
        <v>#N/A</v>
      </c>
      <c r="B142" s="1" t="e">
        <f>VLOOKUP(D142,epiunits!A$1:C$4000,3,FALSE)</f>
        <v>#N/A</v>
      </c>
      <c r="C142" s="1" t="e">
        <f>VLOOKUP(E142,Inspector!A$1:B$50,2,FALSE)</f>
        <v>#N/A</v>
      </c>
      <c r="I142" s="1" t="e">
        <f>VLOOKUP(D142,epiunits!A$1:J$4000,6,FALSE)</f>
        <v>#N/A</v>
      </c>
      <c r="J142" s="1" t="e">
        <f>VLOOKUP(D142,epiunits!A$1:J$4000,7,FALSE)</f>
        <v>#N/A</v>
      </c>
      <c r="K142" s="1" t="e">
        <f>VLOOKUP(D142,epiunits!A$1:J$4000,8,FALSE)</f>
        <v>#N/A</v>
      </c>
      <c r="L142" s="1" t="e">
        <f>VLOOKUP(D142,epiunits!A$1:J$4000,9,FALSE)</f>
        <v>#N/A</v>
      </c>
      <c r="M142" s="1" t="e">
        <f>VLOOKUP(D142,epiunits!A$1:J$4000,10,FALSE)</f>
        <v>#N/A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s="1" t="e">
        <f>VLOOKUP(D143,epiunits!A$1:C$4000,2,FALSE)</f>
        <v>#N/A</v>
      </c>
      <c r="B143" s="1" t="e">
        <f>VLOOKUP(D143,epiunits!A$1:C$4000,3,FALSE)</f>
        <v>#N/A</v>
      </c>
      <c r="C143" s="1" t="e">
        <f>VLOOKUP(E143,Inspector!A$1:B$50,2,FALSE)</f>
        <v>#N/A</v>
      </c>
      <c r="I143" s="1" t="e">
        <f>VLOOKUP(D143,epiunits!A$1:J$4000,6,FALSE)</f>
        <v>#N/A</v>
      </c>
      <c r="J143" s="1" t="e">
        <f>VLOOKUP(D143,epiunits!A$1:J$4000,7,FALSE)</f>
        <v>#N/A</v>
      </c>
      <c r="K143" s="1" t="e">
        <f>VLOOKUP(D143,epiunits!A$1:J$4000,8,FALSE)</f>
        <v>#N/A</v>
      </c>
      <c r="L143" s="1" t="e">
        <f>VLOOKUP(D143,epiunits!A$1:J$4000,9,FALSE)</f>
        <v>#N/A</v>
      </c>
      <c r="M143" s="1" t="e">
        <f>VLOOKUP(D143,epiunits!A$1:J$4000,10,FALSE)</f>
        <v>#N/A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s="1" t="e">
        <f>VLOOKUP(D144,epiunits!A$1:C$4000,2,FALSE)</f>
        <v>#N/A</v>
      </c>
      <c r="B144" s="1" t="e">
        <f>VLOOKUP(D144,epiunits!A$1:C$4000,3,FALSE)</f>
        <v>#N/A</v>
      </c>
      <c r="C144" s="1" t="e">
        <f>VLOOKUP(E144,Inspector!A$1:B$50,2,FALSE)</f>
        <v>#N/A</v>
      </c>
      <c r="I144" s="1" t="e">
        <f>VLOOKUP(D144,epiunits!A$1:J$4000,6,FALSE)</f>
        <v>#N/A</v>
      </c>
      <c r="J144" s="1" t="e">
        <f>VLOOKUP(D144,epiunits!A$1:J$4000,7,FALSE)</f>
        <v>#N/A</v>
      </c>
      <c r="K144" s="1" t="e">
        <f>VLOOKUP(D144,epiunits!A$1:J$4000,8,FALSE)</f>
        <v>#N/A</v>
      </c>
      <c r="L144" s="1" t="e">
        <f>VLOOKUP(D144,epiunits!A$1:J$4000,9,FALSE)</f>
        <v>#N/A</v>
      </c>
      <c r="M144" s="1" t="e">
        <f>VLOOKUP(D144,epiunits!A$1:J$4000,10,FALSE)</f>
        <v>#N/A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</row>
    <row r="145" spans="1:51" x14ac:dyDescent="0.25">
      <c r="A145" s="1" t="e">
        <f>VLOOKUP(D145,epiunits!A$1:C$4000,2,FALSE)</f>
        <v>#N/A</v>
      </c>
      <c r="B145" s="1" t="e">
        <f>VLOOKUP(D145,epiunits!A$1:C$4000,3,FALSE)</f>
        <v>#N/A</v>
      </c>
      <c r="C145" s="1" t="e">
        <f>VLOOKUP(E145,Inspector!A$1:B$50,2,FALSE)</f>
        <v>#N/A</v>
      </c>
      <c r="I145" s="1" t="e">
        <f>VLOOKUP(D145,epiunits!A$1:J$4000,6,FALSE)</f>
        <v>#N/A</v>
      </c>
      <c r="J145" s="1" t="e">
        <f>VLOOKUP(D145,epiunits!A$1:J$4000,7,FALSE)</f>
        <v>#N/A</v>
      </c>
      <c r="K145" s="1" t="e">
        <f>VLOOKUP(D145,epiunits!A$1:J$4000,8,FALSE)</f>
        <v>#N/A</v>
      </c>
      <c r="L145" s="1" t="e">
        <f>VLOOKUP(D145,epiunits!A$1:J$4000,9,FALSE)</f>
        <v>#N/A</v>
      </c>
      <c r="M145" s="1" t="e">
        <f>VLOOKUP(D145,epiunits!A$1:J$4000,10,FALSE)</f>
        <v>#N/A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s="1" t="e">
        <f>VLOOKUP(D146,epiunits!A$1:C$4000,2,FALSE)</f>
        <v>#N/A</v>
      </c>
      <c r="B146" s="1" t="e">
        <f>VLOOKUP(D146,epiunits!A$1:C$4000,3,FALSE)</f>
        <v>#N/A</v>
      </c>
      <c r="C146" s="1" t="e">
        <f>VLOOKUP(E146,Inspector!A$1:B$50,2,FALSE)</f>
        <v>#N/A</v>
      </c>
      <c r="I146" s="1" t="e">
        <f>VLOOKUP(D146,epiunits!A$1:J$4000,6,FALSE)</f>
        <v>#N/A</v>
      </c>
      <c r="J146" s="1" t="e">
        <f>VLOOKUP(D146,epiunits!A$1:J$4000,7,FALSE)</f>
        <v>#N/A</v>
      </c>
      <c r="K146" s="1" t="e">
        <f>VLOOKUP(D146,epiunits!A$1:J$4000,8,FALSE)</f>
        <v>#N/A</v>
      </c>
      <c r="L146" s="1" t="e">
        <f>VLOOKUP(D146,epiunits!A$1:J$4000,9,FALSE)</f>
        <v>#N/A</v>
      </c>
      <c r="M146" s="1" t="e">
        <f>VLOOKUP(D146,epiunits!A$1:J$4000,10,FALSE)</f>
        <v>#N/A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</row>
    <row r="147" spans="1:51" x14ac:dyDescent="0.25">
      <c r="A147" s="1" t="e">
        <f>VLOOKUP(D147,epiunits!A$1:C$4000,2,FALSE)</f>
        <v>#N/A</v>
      </c>
      <c r="B147" s="1" t="e">
        <f>VLOOKUP(D147,epiunits!A$1:C$4000,3,FALSE)</f>
        <v>#N/A</v>
      </c>
      <c r="C147" s="1" t="e">
        <f>VLOOKUP(E147,Inspector!A$1:B$50,2,FALSE)</f>
        <v>#N/A</v>
      </c>
      <c r="I147" s="1" t="e">
        <f>VLOOKUP(D147,epiunits!A$1:J$4000,6,FALSE)</f>
        <v>#N/A</v>
      </c>
      <c r="J147" s="1" t="e">
        <f>VLOOKUP(D147,epiunits!A$1:J$4000,7,FALSE)</f>
        <v>#N/A</v>
      </c>
      <c r="K147" s="1" t="e">
        <f>VLOOKUP(D147,epiunits!A$1:J$4000,8,FALSE)</f>
        <v>#N/A</v>
      </c>
      <c r="L147" s="1" t="e">
        <f>VLOOKUP(D147,epiunits!A$1:J$4000,9,FALSE)</f>
        <v>#N/A</v>
      </c>
      <c r="M147" s="1" t="e">
        <f>VLOOKUP(D147,epiunits!A$1:J$4000,10,FALSE)</f>
        <v>#N/A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</row>
    <row r="148" spans="1:51" x14ac:dyDescent="0.25">
      <c r="A148" s="1" t="e">
        <f>VLOOKUP(D148,epiunits!A$1:C$4000,2,FALSE)</f>
        <v>#N/A</v>
      </c>
      <c r="B148" s="1" t="e">
        <f>VLOOKUP(D148,epiunits!A$1:C$4000,3,FALSE)</f>
        <v>#N/A</v>
      </c>
      <c r="C148" s="1" t="e">
        <f>VLOOKUP(E148,Inspector!A$1:B$50,2,FALSE)</f>
        <v>#N/A</v>
      </c>
      <c r="I148" s="1" t="e">
        <f>VLOOKUP(D148,epiunits!A$1:J$4000,6,FALSE)</f>
        <v>#N/A</v>
      </c>
      <c r="J148" s="1" t="e">
        <f>VLOOKUP(D148,epiunits!A$1:J$4000,7,FALSE)</f>
        <v>#N/A</v>
      </c>
      <c r="K148" s="1" t="e">
        <f>VLOOKUP(D148,epiunits!A$1:J$4000,8,FALSE)</f>
        <v>#N/A</v>
      </c>
      <c r="L148" s="1" t="e">
        <f>VLOOKUP(D148,epiunits!A$1:J$4000,9,FALSE)</f>
        <v>#N/A</v>
      </c>
      <c r="M148" s="1" t="e">
        <f>VLOOKUP(D148,epiunits!A$1:J$4000,10,FALSE)</f>
        <v>#N/A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</row>
    <row r="149" spans="1:51" x14ac:dyDescent="0.25">
      <c r="A149" s="1" t="e">
        <f>VLOOKUP(D149,epiunits!A$1:C$4000,2,FALSE)</f>
        <v>#N/A</v>
      </c>
      <c r="B149" s="1" t="e">
        <f>VLOOKUP(D149,epiunits!A$1:C$4000,3,FALSE)</f>
        <v>#N/A</v>
      </c>
      <c r="C149" s="1" t="e">
        <f>VLOOKUP(E149,Inspector!A$1:B$50,2,FALSE)</f>
        <v>#N/A</v>
      </c>
      <c r="I149" s="1" t="e">
        <f>VLOOKUP(D149,epiunits!A$1:J$4000,6,FALSE)</f>
        <v>#N/A</v>
      </c>
      <c r="J149" s="1" t="e">
        <f>VLOOKUP(D149,epiunits!A$1:J$4000,7,FALSE)</f>
        <v>#N/A</v>
      </c>
      <c r="K149" s="1" t="e">
        <f>VLOOKUP(D149,epiunits!A$1:J$4000,8,FALSE)</f>
        <v>#N/A</v>
      </c>
      <c r="L149" s="1" t="e">
        <f>VLOOKUP(D149,epiunits!A$1:J$4000,9,FALSE)</f>
        <v>#N/A</v>
      </c>
      <c r="M149" s="1" t="e">
        <f>VLOOKUP(D149,epiunits!A$1:J$4000,10,FALSE)</f>
        <v>#N/A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</row>
    <row r="150" spans="1:51" x14ac:dyDescent="0.25">
      <c r="A150" s="1" t="e">
        <f>VLOOKUP(D150,epiunits!A$1:C$4000,2,FALSE)</f>
        <v>#N/A</v>
      </c>
      <c r="B150" s="1" t="e">
        <f>VLOOKUP(D150,epiunits!A$1:C$4000,3,FALSE)</f>
        <v>#N/A</v>
      </c>
      <c r="C150" s="1" t="e">
        <f>VLOOKUP(E150,Inspector!A$1:B$50,2,FALSE)</f>
        <v>#N/A</v>
      </c>
      <c r="I150" s="1" t="e">
        <f>VLOOKUP(D150,epiunits!A$1:J$4000,6,FALSE)</f>
        <v>#N/A</v>
      </c>
      <c r="J150" s="1" t="e">
        <f>VLOOKUP(D150,epiunits!A$1:J$4000,7,FALSE)</f>
        <v>#N/A</v>
      </c>
      <c r="K150" s="1" t="e">
        <f>VLOOKUP(D150,epiunits!A$1:J$4000,8,FALSE)</f>
        <v>#N/A</v>
      </c>
      <c r="L150" s="1" t="e">
        <f>VLOOKUP(D150,epiunits!A$1:J$4000,9,FALSE)</f>
        <v>#N/A</v>
      </c>
      <c r="M150" s="1" t="e">
        <f>VLOOKUP(D150,epiunits!A$1:J$4000,10,FALSE)</f>
        <v>#N/A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s="1" t="e">
        <f>VLOOKUP(D151,epiunits!A$1:C$4000,2,FALSE)</f>
        <v>#N/A</v>
      </c>
      <c r="B151" s="1" t="e">
        <f>VLOOKUP(D151,epiunits!A$1:C$4000,3,FALSE)</f>
        <v>#N/A</v>
      </c>
      <c r="C151" s="1" t="e">
        <f>VLOOKUP(E151,Inspector!A$1:B$50,2,FALSE)</f>
        <v>#N/A</v>
      </c>
      <c r="I151" s="1" t="e">
        <f>VLOOKUP(D151,epiunits!A$1:J$4000,6,FALSE)</f>
        <v>#N/A</v>
      </c>
      <c r="J151" s="1" t="e">
        <f>VLOOKUP(D151,epiunits!A$1:J$4000,7,FALSE)</f>
        <v>#N/A</v>
      </c>
      <c r="K151" s="1" t="e">
        <f>VLOOKUP(D151,epiunits!A$1:J$4000,8,FALSE)</f>
        <v>#N/A</v>
      </c>
      <c r="L151" s="1" t="e">
        <f>VLOOKUP(D151,epiunits!A$1:J$4000,9,FALSE)</f>
        <v>#N/A</v>
      </c>
      <c r="M151" s="1" t="e">
        <f>VLOOKUP(D151,epiunits!A$1:J$4000,10,FALSE)</f>
        <v>#N/A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</row>
    <row r="152" spans="1:51" x14ac:dyDescent="0.25">
      <c r="A152" s="1" t="e">
        <f>VLOOKUP(D152,epiunits!A$1:C$4000,2,FALSE)</f>
        <v>#N/A</v>
      </c>
      <c r="B152" s="1" t="e">
        <f>VLOOKUP(D152,epiunits!A$1:C$4000,3,FALSE)</f>
        <v>#N/A</v>
      </c>
      <c r="C152" s="1" t="e">
        <f>VLOOKUP(E152,Inspector!A$1:B$50,2,FALSE)</f>
        <v>#N/A</v>
      </c>
      <c r="I152" s="1" t="e">
        <f>VLOOKUP(D152,epiunits!A$1:J$4000,6,FALSE)</f>
        <v>#N/A</v>
      </c>
      <c r="J152" s="1" t="e">
        <f>VLOOKUP(D152,epiunits!A$1:J$4000,7,FALSE)</f>
        <v>#N/A</v>
      </c>
      <c r="K152" s="1" t="e">
        <f>VLOOKUP(D152,epiunits!A$1:J$4000,8,FALSE)</f>
        <v>#N/A</v>
      </c>
      <c r="L152" s="1" t="e">
        <f>VLOOKUP(D152,epiunits!A$1:J$4000,9,FALSE)</f>
        <v>#N/A</v>
      </c>
      <c r="M152" s="1" t="e">
        <f>VLOOKUP(D152,epiunits!A$1:J$4000,10,FALSE)</f>
        <v>#N/A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s="1" t="e">
        <f>VLOOKUP(D153,epiunits!A$1:C$4000,2,FALSE)</f>
        <v>#N/A</v>
      </c>
      <c r="B153" s="1" t="e">
        <f>VLOOKUP(D153,epiunits!A$1:C$4000,3,FALSE)</f>
        <v>#N/A</v>
      </c>
      <c r="C153" s="1" t="e">
        <f>VLOOKUP(E153,Inspector!A$1:B$50,2,FALSE)</f>
        <v>#N/A</v>
      </c>
      <c r="I153" s="1" t="e">
        <f>VLOOKUP(D153,epiunits!A$1:J$4000,6,FALSE)</f>
        <v>#N/A</v>
      </c>
      <c r="J153" s="1" t="e">
        <f>VLOOKUP(D153,epiunits!A$1:J$4000,7,FALSE)</f>
        <v>#N/A</v>
      </c>
      <c r="K153" s="1" t="e">
        <f>VLOOKUP(D153,epiunits!A$1:J$4000,8,FALSE)</f>
        <v>#N/A</v>
      </c>
      <c r="L153" s="1" t="e">
        <f>VLOOKUP(D153,epiunits!A$1:J$4000,9,FALSE)</f>
        <v>#N/A</v>
      </c>
      <c r="M153" s="1" t="e">
        <f>VLOOKUP(D153,epiunits!A$1:J$4000,10,FALSE)</f>
        <v>#N/A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</row>
    <row r="154" spans="1:51" x14ac:dyDescent="0.25">
      <c r="A154" s="1" t="e">
        <f>VLOOKUP(D154,epiunits!A$1:C$4000,2,FALSE)</f>
        <v>#N/A</v>
      </c>
      <c r="B154" s="1" t="e">
        <f>VLOOKUP(D154,epiunits!A$1:C$4000,3,FALSE)</f>
        <v>#N/A</v>
      </c>
      <c r="C154" s="1" t="e">
        <f>VLOOKUP(E154,Inspector!A$1:B$50,2,FALSE)</f>
        <v>#N/A</v>
      </c>
      <c r="I154" s="1" t="e">
        <f>VLOOKUP(D154,epiunits!A$1:J$4000,6,FALSE)</f>
        <v>#N/A</v>
      </c>
      <c r="J154" s="1" t="e">
        <f>VLOOKUP(D154,epiunits!A$1:J$4000,7,FALSE)</f>
        <v>#N/A</v>
      </c>
      <c r="K154" s="1" t="e">
        <f>VLOOKUP(D154,epiunits!A$1:J$4000,8,FALSE)</f>
        <v>#N/A</v>
      </c>
      <c r="L154" s="1" t="e">
        <f>VLOOKUP(D154,epiunits!A$1:J$4000,9,FALSE)</f>
        <v>#N/A</v>
      </c>
      <c r="M154" s="1" t="e">
        <f>VLOOKUP(D154,epiunits!A$1:J$4000,10,FALSE)</f>
        <v>#N/A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</row>
    <row r="155" spans="1:51" x14ac:dyDescent="0.25">
      <c r="A155" s="1" t="e">
        <f>VLOOKUP(D155,epiunits!A$1:C$4000,2,FALSE)</f>
        <v>#N/A</v>
      </c>
      <c r="B155" s="1" t="e">
        <f>VLOOKUP(D155,epiunits!A$1:C$4000,3,FALSE)</f>
        <v>#N/A</v>
      </c>
      <c r="C155" s="1" t="e">
        <f>VLOOKUP(E155,Inspector!A$1:B$50,2,FALSE)</f>
        <v>#N/A</v>
      </c>
      <c r="I155" s="1" t="e">
        <f>VLOOKUP(D155,epiunits!A$1:J$4000,6,FALSE)</f>
        <v>#N/A</v>
      </c>
      <c r="J155" s="1" t="e">
        <f>VLOOKUP(D155,epiunits!A$1:J$4000,7,FALSE)</f>
        <v>#N/A</v>
      </c>
      <c r="K155" s="1" t="e">
        <f>VLOOKUP(D155,epiunits!A$1:J$4000,8,FALSE)</f>
        <v>#N/A</v>
      </c>
      <c r="L155" s="1" t="e">
        <f>VLOOKUP(D155,epiunits!A$1:J$4000,9,FALSE)</f>
        <v>#N/A</v>
      </c>
      <c r="M155" s="1" t="e">
        <f>VLOOKUP(D155,epiunits!A$1:J$4000,10,FALSE)</f>
        <v>#N/A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</row>
    <row r="156" spans="1:51" x14ac:dyDescent="0.25">
      <c r="A156" s="1" t="e">
        <f>VLOOKUP(D156,epiunits!A$1:C$4000,2,FALSE)</f>
        <v>#N/A</v>
      </c>
      <c r="B156" s="1" t="e">
        <f>VLOOKUP(D156,epiunits!A$1:C$4000,3,FALSE)</f>
        <v>#N/A</v>
      </c>
      <c r="C156" s="1" t="e">
        <f>VLOOKUP(E156,Inspector!A$1:B$50,2,FALSE)</f>
        <v>#N/A</v>
      </c>
      <c r="I156" s="1" t="e">
        <f>VLOOKUP(D156,epiunits!A$1:J$4000,6,FALSE)</f>
        <v>#N/A</v>
      </c>
      <c r="J156" s="1" t="e">
        <f>VLOOKUP(D156,epiunits!A$1:J$4000,7,FALSE)</f>
        <v>#N/A</v>
      </c>
      <c r="K156" s="1" t="e">
        <f>VLOOKUP(D156,epiunits!A$1:J$4000,8,FALSE)</f>
        <v>#N/A</v>
      </c>
      <c r="L156" s="1" t="e">
        <f>VLOOKUP(D156,epiunits!A$1:J$4000,9,FALSE)</f>
        <v>#N/A</v>
      </c>
      <c r="M156" s="1" t="e">
        <f>VLOOKUP(D156,epiunits!A$1:J$4000,10,FALSE)</f>
        <v>#N/A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</row>
    <row r="157" spans="1:51" x14ac:dyDescent="0.25">
      <c r="A157" s="1" t="e">
        <f>VLOOKUP(D157,epiunits!A$1:C$4000,2,FALSE)</f>
        <v>#N/A</v>
      </c>
      <c r="B157" s="1" t="e">
        <f>VLOOKUP(D157,epiunits!A$1:C$4000,3,FALSE)</f>
        <v>#N/A</v>
      </c>
      <c r="C157" s="1" t="e">
        <f>VLOOKUP(E157,Inspector!A$1:B$50,2,FALSE)</f>
        <v>#N/A</v>
      </c>
      <c r="I157" s="1" t="e">
        <f>VLOOKUP(D157,epiunits!A$1:J$4000,6,FALSE)</f>
        <v>#N/A</v>
      </c>
      <c r="J157" s="1" t="e">
        <f>VLOOKUP(D157,epiunits!A$1:J$4000,7,FALSE)</f>
        <v>#N/A</v>
      </c>
      <c r="K157" s="1" t="e">
        <f>VLOOKUP(D157,epiunits!A$1:J$4000,8,FALSE)</f>
        <v>#N/A</v>
      </c>
      <c r="L157" s="1" t="e">
        <f>VLOOKUP(D157,epiunits!A$1:J$4000,9,FALSE)</f>
        <v>#N/A</v>
      </c>
      <c r="M157" s="1" t="e">
        <f>VLOOKUP(D157,epiunits!A$1:J$4000,10,FALSE)</f>
        <v>#N/A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</row>
    <row r="158" spans="1:51" x14ac:dyDescent="0.25">
      <c r="A158" s="1" t="e">
        <f>VLOOKUP(D158,epiunits!A$1:C$4000,2,FALSE)</f>
        <v>#N/A</v>
      </c>
      <c r="B158" s="1" t="e">
        <f>VLOOKUP(D158,epiunits!A$1:C$4000,3,FALSE)</f>
        <v>#N/A</v>
      </c>
      <c r="C158" s="1" t="e">
        <f>VLOOKUP(E158,Inspector!A$1:B$50,2,FALSE)</f>
        <v>#N/A</v>
      </c>
      <c r="I158" s="1" t="e">
        <f>VLOOKUP(D158,epiunits!A$1:J$4000,6,FALSE)</f>
        <v>#N/A</v>
      </c>
      <c r="J158" s="1" t="e">
        <f>VLOOKUP(D158,epiunits!A$1:J$4000,7,FALSE)</f>
        <v>#N/A</v>
      </c>
      <c r="K158" s="1" t="e">
        <f>VLOOKUP(D158,epiunits!A$1:J$4000,8,FALSE)</f>
        <v>#N/A</v>
      </c>
      <c r="L158" s="1" t="e">
        <f>VLOOKUP(D158,epiunits!A$1:J$4000,9,FALSE)</f>
        <v>#N/A</v>
      </c>
      <c r="M158" s="1" t="e">
        <f>VLOOKUP(D158,epiunits!A$1:J$4000,10,FALSE)</f>
        <v>#N/A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s="1" t="e">
        <f>VLOOKUP(D159,epiunits!A$1:C$4000,2,FALSE)</f>
        <v>#N/A</v>
      </c>
      <c r="B159" s="1" t="e">
        <f>VLOOKUP(D159,epiunits!A$1:C$4000,3,FALSE)</f>
        <v>#N/A</v>
      </c>
      <c r="C159" s="1" t="e">
        <f>VLOOKUP(E159,Inspector!A$1:B$50,2,FALSE)</f>
        <v>#N/A</v>
      </c>
      <c r="I159" s="1" t="e">
        <f>VLOOKUP(D159,epiunits!A$1:J$4000,6,FALSE)</f>
        <v>#N/A</v>
      </c>
      <c r="J159" s="1" t="e">
        <f>VLOOKUP(D159,epiunits!A$1:J$4000,7,FALSE)</f>
        <v>#N/A</v>
      </c>
      <c r="K159" s="1" t="e">
        <f>VLOOKUP(D159,epiunits!A$1:J$4000,8,FALSE)</f>
        <v>#N/A</v>
      </c>
      <c r="L159" s="1" t="e">
        <f>VLOOKUP(D159,epiunits!A$1:J$4000,9,FALSE)</f>
        <v>#N/A</v>
      </c>
      <c r="M159" s="1" t="e">
        <f>VLOOKUP(D159,epiunits!A$1:J$4000,10,FALSE)</f>
        <v>#N/A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s="1" t="e">
        <f>VLOOKUP(D160,epiunits!A$1:C$4000,2,FALSE)</f>
        <v>#N/A</v>
      </c>
      <c r="B160" s="1" t="e">
        <f>VLOOKUP(D160,epiunits!A$1:C$4000,3,FALSE)</f>
        <v>#N/A</v>
      </c>
      <c r="C160" s="1" t="e">
        <f>VLOOKUP(E160,Inspector!A$1:B$50,2,FALSE)</f>
        <v>#N/A</v>
      </c>
      <c r="I160" s="1" t="e">
        <f>VLOOKUP(D160,epiunits!A$1:J$4000,6,FALSE)</f>
        <v>#N/A</v>
      </c>
      <c r="J160" s="1" t="e">
        <f>VLOOKUP(D160,epiunits!A$1:J$4000,7,FALSE)</f>
        <v>#N/A</v>
      </c>
      <c r="K160" s="1" t="e">
        <f>VLOOKUP(D160,epiunits!A$1:J$4000,8,FALSE)</f>
        <v>#N/A</v>
      </c>
      <c r="L160" s="1" t="e">
        <f>VLOOKUP(D160,epiunits!A$1:J$4000,9,FALSE)</f>
        <v>#N/A</v>
      </c>
      <c r="M160" s="1" t="e">
        <f>VLOOKUP(D160,epiunits!A$1:J$4000,10,FALSE)</f>
        <v>#N/A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</row>
    <row r="161" spans="1:51" x14ac:dyDescent="0.25">
      <c r="A161" s="1" t="e">
        <f>VLOOKUP(D161,epiunits!A$1:C$4000,2,FALSE)</f>
        <v>#N/A</v>
      </c>
      <c r="B161" s="1" t="e">
        <f>VLOOKUP(D161,epiunits!A$1:C$4000,3,FALSE)</f>
        <v>#N/A</v>
      </c>
      <c r="C161" s="1" t="e">
        <f>VLOOKUP(E161,Inspector!A$1:B$50,2,FALSE)</f>
        <v>#N/A</v>
      </c>
      <c r="I161" s="1" t="e">
        <f>VLOOKUP(D161,epiunits!A$1:J$4000,6,FALSE)</f>
        <v>#N/A</v>
      </c>
      <c r="J161" s="1" t="e">
        <f>VLOOKUP(D161,epiunits!A$1:J$4000,7,FALSE)</f>
        <v>#N/A</v>
      </c>
      <c r="K161" s="1" t="e">
        <f>VLOOKUP(D161,epiunits!A$1:J$4000,8,FALSE)</f>
        <v>#N/A</v>
      </c>
      <c r="L161" s="1" t="e">
        <f>VLOOKUP(D161,epiunits!A$1:J$4000,9,FALSE)</f>
        <v>#N/A</v>
      </c>
      <c r="M161" s="1" t="e">
        <f>VLOOKUP(D161,epiunits!A$1:J$4000,10,FALSE)</f>
        <v>#N/A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</row>
    <row r="162" spans="1:51" x14ac:dyDescent="0.25">
      <c r="A162" s="1" t="e">
        <f>VLOOKUP(D162,epiunits!A$1:C$4000,2,FALSE)</f>
        <v>#N/A</v>
      </c>
      <c r="B162" s="1" t="e">
        <f>VLOOKUP(D162,epiunits!A$1:C$4000,3,FALSE)</f>
        <v>#N/A</v>
      </c>
      <c r="C162" s="1" t="e">
        <f>VLOOKUP(E162,Inspector!A$1:B$50,2,FALSE)</f>
        <v>#N/A</v>
      </c>
      <c r="I162" s="1" t="e">
        <f>VLOOKUP(D162,epiunits!A$1:J$4000,6,FALSE)</f>
        <v>#N/A</v>
      </c>
      <c r="J162" s="1" t="e">
        <f>VLOOKUP(D162,epiunits!A$1:J$4000,7,FALSE)</f>
        <v>#N/A</v>
      </c>
      <c r="K162" s="1" t="e">
        <f>VLOOKUP(D162,epiunits!A$1:J$4000,8,FALSE)</f>
        <v>#N/A</v>
      </c>
      <c r="L162" s="1" t="e">
        <f>VLOOKUP(D162,epiunits!A$1:J$4000,9,FALSE)</f>
        <v>#N/A</v>
      </c>
      <c r="M162" s="1" t="e">
        <f>VLOOKUP(D162,epiunits!A$1:J$4000,10,FALSE)</f>
        <v>#N/A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s="1" t="e">
        <f>VLOOKUP(D163,epiunits!A$1:C$4000,2,FALSE)</f>
        <v>#N/A</v>
      </c>
      <c r="B163" s="1" t="e">
        <f>VLOOKUP(D163,epiunits!A$1:C$4000,3,FALSE)</f>
        <v>#N/A</v>
      </c>
      <c r="C163" s="1" t="e">
        <f>VLOOKUP(E163,Inspector!A$1:B$50,2,FALSE)</f>
        <v>#N/A</v>
      </c>
      <c r="I163" s="1" t="e">
        <f>VLOOKUP(D163,epiunits!A$1:J$4000,6,FALSE)</f>
        <v>#N/A</v>
      </c>
      <c r="J163" s="1" t="e">
        <f>VLOOKUP(D163,epiunits!A$1:J$4000,7,FALSE)</f>
        <v>#N/A</v>
      </c>
      <c r="K163" s="1" t="e">
        <f>VLOOKUP(D163,epiunits!A$1:J$4000,8,FALSE)</f>
        <v>#N/A</v>
      </c>
      <c r="L163" s="1" t="e">
        <f>VLOOKUP(D163,epiunits!A$1:J$4000,9,FALSE)</f>
        <v>#N/A</v>
      </c>
      <c r="M163" s="1" t="e">
        <f>VLOOKUP(D163,epiunits!A$1:J$4000,10,FALSE)</f>
        <v>#N/A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</row>
    <row r="164" spans="1:51" x14ac:dyDescent="0.25">
      <c r="A164" s="1" t="e">
        <f>VLOOKUP(D164,epiunits!A$1:C$4000,2,FALSE)</f>
        <v>#N/A</v>
      </c>
      <c r="B164" s="1" t="e">
        <f>VLOOKUP(D164,epiunits!A$1:C$4000,3,FALSE)</f>
        <v>#N/A</v>
      </c>
      <c r="C164" s="1" t="e">
        <f>VLOOKUP(E164,Inspector!A$1:B$50,2,FALSE)</f>
        <v>#N/A</v>
      </c>
      <c r="I164" s="1" t="e">
        <f>VLOOKUP(D164,epiunits!A$1:J$4000,6,FALSE)</f>
        <v>#N/A</v>
      </c>
      <c r="J164" s="1" t="e">
        <f>VLOOKUP(D164,epiunits!A$1:J$4000,7,FALSE)</f>
        <v>#N/A</v>
      </c>
      <c r="K164" s="1" t="e">
        <f>VLOOKUP(D164,epiunits!A$1:J$4000,8,FALSE)</f>
        <v>#N/A</v>
      </c>
      <c r="L164" s="1" t="e">
        <f>VLOOKUP(D164,epiunits!A$1:J$4000,9,FALSE)</f>
        <v>#N/A</v>
      </c>
      <c r="M164" s="1" t="e">
        <f>VLOOKUP(D164,epiunits!A$1:J$4000,10,FALSE)</f>
        <v>#N/A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s="1" t="e">
        <f>VLOOKUP(D165,epiunits!A$1:C$4000,2,FALSE)</f>
        <v>#N/A</v>
      </c>
      <c r="B165" s="1" t="e">
        <f>VLOOKUP(D165,epiunits!A$1:C$4000,3,FALSE)</f>
        <v>#N/A</v>
      </c>
      <c r="C165" s="1" t="e">
        <f>VLOOKUP(E165,Inspector!A$1:B$50,2,FALSE)</f>
        <v>#N/A</v>
      </c>
      <c r="I165" s="1" t="e">
        <f>VLOOKUP(D165,epiunits!A$1:J$4000,6,FALSE)</f>
        <v>#N/A</v>
      </c>
      <c r="J165" s="1" t="e">
        <f>VLOOKUP(D165,epiunits!A$1:J$4000,7,FALSE)</f>
        <v>#N/A</v>
      </c>
      <c r="K165" s="1" t="e">
        <f>VLOOKUP(D165,epiunits!A$1:J$4000,8,FALSE)</f>
        <v>#N/A</v>
      </c>
      <c r="L165" s="1" t="e">
        <f>VLOOKUP(D165,epiunits!A$1:J$4000,9,FALSE)</f>
        <v>#N/A</v>
      </c>
      <c r="M165" s="1" t="e">
        <f>VLOOKUP(D165,epiunits!A$1:J$4000,10,FALSE)</f>
        <v>#N/A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</row>
    <row r="166" spans="1:51" x14ac:dyDescent="0.25">
      <c r="A166" s="1" t="e">
        <f>VLOOKUP(D166,epiunits!A$1:C$4000,2,FALSE)</f>
        <v>#N/A</v>
      </c>
      <c r="B166" s="1" t="e">
        <f>VLOOKUP(D166,epiunits!A$1:C$4000,3,FALSE)</f>
        <v>#N/A</v>
      </c>
      <c r="C166" s="1" t="e">
        <f>VLOOKUP(E166,Inspector!A$1:B$50,2,FALSE)</f>
        <v>#N/A</v>
      </c>
      <c r="I166" s="1" t="e">
        <f>VLOOKUP(D166,epiunits!A$1:J$4000,6,FALSE)</f>
        <v>#N/A</v>
      </c>
      <c r="J166" s="1" t="e">
        <f>VLOOKUP(D166,epiunits!A$1:J$4000,7,FALSE)</f>
        <v>#N/A</v>
      </c>
      <c r="K166" s="1" t="e">
        <f>VLOOKUP(D166,epiunits!A$1:J$4000,8,FALSE)</f>
        <v>#N/A</v>
      </c>
      <c r="L166" s="1" t="e">
        <f>VLOOKUP(D166,epiunits!A$1:J$4000,9,FALSE)</f>
        <v>#N/A</v>
      </c>
      <c r="M166" s="1" t="e">
        <f>VLOOKUP(D166,epiunits!A$1:J$4000,10,FALSE)</f>
        <v>#N/A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</row>
    <row r="167" spans="1:51" x14ac:dyDescent="0.25">
      <c r="A167" s="1" t="e">
        <f>VLOOKUP(D167,epiunits!A$1:C$4000,2,FALSE)</f>
        <v>#N/A</v>
      </c>
      <c r="B167" s="1" t="e">
        <f>VLOOKUP(D167,epiunits!A$1:C$4000,3,FALSE)</f>
        <v>#N/A</v>
      </c>
      <c r="C167" s="1" t="e">
        <f>VLOOKUP(E167,Inspector!A$1:B$50,2,FALSE)</f>
        <v>#N/A</v>
      </c>
      <c r="I167" s="1" t="e">
        <f>VLOOKUP(D167,epiunits!A$1:J$4000,6,FALSE)</f>
        <v>#N/A</v>
      </c>
      <c r="J167" s="1" t="e">
        <f>VLOOKUP(D167,epiunits!A$1:J$4000,7,FALSE)</f>
        <v>#N/A</v>
      </c>
      <c r="K167" s="1" t="e">
        <f>VLOOKUP(D167,epiunits!A$1:J$4000,8,FALSE)</f>
        <v>#N/A</v>
      </c>
      <c r="L167" s="1" t="e">
        <f>VLOOKUP(D167,epiunits!A$1:J$4000,9,FALSE)</f>
        <v>#N/A</v>
      </c>
      <c r="M167" s="1" t="e">
        <f>VLOOKUP(D167,epiunits!A$1:J$4000,10,FALSE)</f>
        <v>#N/A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s="1" t="e">
        <f>VLOOKUP(D168,epiunits!A$1:C$4000,2,FALSE)</f>
        <v>#N/A</v>
      </c>
      <c r="B168" s="1" t="e">
        <f>VLOOKUP(D168,epiunits!A$1:C$4000,3,FALSE)</f>
        <v>#N/A</v>
      </c>
      <c r="C168" s="1" t="e">
        <f>VLOOKUP(E168,Inspector!A$1:B$50,2,FALSE)</f>
        <v>#N/A</v>
      </c>
      <c r="I168" s="1" t="e">
        <f>VLOOKUP(D168,epiunits!A$1:J$4000,6,FALSE)</f>
        <v>#N/A</v>
      </c>
      <c r="J168" s="1" t="e">
        <f>VLOOKUP(D168,epiunits!A$1:J$4000,7,FALSE)</f>
        <v>#N/A</v>
      </c>
      <c r="K168" s="1" t="e">
        <f>VLOOKUP(D168,epiunits!A$1:J$4000,8,FALSE)</f>
        <v>#N/A</v>
      </c>
      <c r="L168" s="1" t="e">
        <f>VLOOKUP(D168,epiunits!A$1:J$4000,9,FALSE)</f>
        <v>#N/A</v>
      </c>
      <c r="M168" s="1" t="e">
        <f>VLOOKUP(D168,epiunits!A$1:J$4000,10,FALSE)</f>
        <v>#N/A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</row>
    <row r="169" spans="1:51" x14ac:dyDescent="0.25">
      <c r="A169" s="1" t="e">
        <f>VLOOKUP(D169,epiunits!A$1:C$4000,2,FALSE)</f>
        <v>#N/A</v>
      </c>
      <c r="B169" s="1" t="e">
        <f>VLOOKUP(D169,epiunits!A$1:C$4000,3,FALSE)</f>
        <v>#N/A</v>
      </c>
      <c r="C169" s="1" t="e">
        <f>VLOOKUP(E169,Inspector!A$1:B$50,2,FALSE)</f>
        <v>#N/A</v>
      </c>
      <c r="I169" s="1" t="e">
        <f>VLOOKUP(D169,epiunits!A$1:J$4000,6,FALSE)</f>
        <v>#N/A</v>
      </c>
      <c r="J169" s="1" t="e">
        <f>VLOOKUP(D169,epiunits!A$1:J$4000,7,FALSE)</f>
        <v>#N/A</v>
      </c>
      <c r="K169" s="1" t="e">
        <f>VLOOKUP(D169,epiunits!A$1:J$4000,8,FALSE)</f>
        <v>#N/A</v>
      </c>
      <c r="L169" s="1" t="e">
        <f>VLOOKUP(D169,epiunits!A$1:J$4000,9,FALSE)</f>
        <v>#N/A</v>
      </c>
      <c r="M169" s="1" t="e">
        <f>VLOOKUP(D169,epiunits!A$1:J$4000,10,FALSE)</f>
        <v>#N/A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s="1" t="e">
        <f>VLOOKUP(D170,epiunits!A$1:C$4000,2,FALSE)</f>
        <v>#N/A</v>
      </c>
      <c r="B170" s="1" t="e">
        <f>VLOOKUP(D170,epiunits!A$1:C$4000,3,FALSE)</f>
        <v>#N/A</v>
      </c>
      <c r="C170" s="1" t="e">
        <f>VLOOKUP(E170,Inspector!A$1:B$50,2,FALSE)</f>
        <v>#N/A</v>
      </c>
      <c r="I170" s="1" t="e">
        <f>VLOOKUP(D170,epiunits!A$1:J$4000,6,FALSE)</f>
        <v>#N/A</v>
      </c>
      <c r="J170" s="1" t="e">
        <f>VLOOKUP(D170,epiunits!A$1:J$4000,7,FALSE)</f>
        <v>#N/A</v>
      </c>
      <c r="K170" s="1" t="e">
        <f>VLOOKUP(D170,epiunits!A$1:J$4000,8,FALSE)</f>
        <v>#N/A</v>
      </c>
      <c r="L170" s="1" t="e">
        <f>VLOOKUP(D170,epiunits!A$1:J$4000,9,FALSE)</f>
        <v>#N/A</v>
      </c>
      <c r="M170" s="1" t="e">
        <f>VLOOKUP(D170,epiunits!A$1:J$4000,10,FALSE)</f>
        <v>#N/A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s="1" t="e">
        <f>VLOOKUP(D171,epiunits!A$1:C$4000,2,FALSE)</f>
        <v>#N/A</v>
      </c>
      <c r="B171" s="1" t="e">
        <f>VLOOKUP(D171,epiunits!A$1:C$4000,3,FALSE)</f>
        <v>#N/A</v>
      </c>
      <c r="C171" s="1" t="e">
        <f>VLOOKUP(E171,Inspector!A$1:B$50,2,FALSE)</f>
        <v>#N/A</v>
      </c>
      <c r="I171" s="1" t="e">
        <f>VLOOKUP(D171,epiunits!A$1:J$4000,6,FALSE)</f>
        <v>#N/A</v>
      </c>
      <c r="J171" s="1" t="e">
        <f>VLOOKUP(D171,epiunits!A$1:J$4000,7,FALSE)</f>
        <v>#N/A</v>
      </c>
      <c r="K171" s="1" t="e">
        <f>VLOOKUP(D171,epiunits!A$1:J$4000,8,FALSE)</f>
        <v>#N/A</v>
      </c>
      <c r="L171" s="1" t="e">
        <f>VLOOKUP(D171,epiunits!A$1:J$4000,9,FALSE)</f>
        <v>#N/A</v>
      </c>
      <c r="M171" s="1" t="e">
        <f>VLOOKUP(D171,epiunits!A$1:J$4000,10,FALSE)</f>
        <v>#N/A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s="1" t="e">
        <f>VLOOKUP(D172,epiunits!A$1:C$4000,2,FALSE)</f>
        <v>#N/A</v>
      </c>
      <c r="B172" s="1" t="e">
        <f>VLOOKUP(D172,epiunits!A$1:C$4000,3,FALSE)</f>
        <v>#N/A</v>
      </c>
      <c r="C172" s="1" t="e">
        <f>VLOOKUP(E172,Inspector!A$1:B$50,2,FALSE)</f>
        <v>#N/A</v>
      </c>
      <c r="I172" s="1" t="e">
        <f>VLOOKUP(D172,epiunits!A$1:J$4000,6,FALSE)</f>
        <v>#N/A</v>
      </c>
      <c r="J172" s="1" t="e">
        <f>VLOOKUP(D172,epiunits!A$1:J$4000,7,FALSE)</f>
        <v>#N/A</v>
      </c>
      <c r="K172" s="1" t="e">
        <f>VLOOKUP(D172,epiunits!A$1:J$4000,8,FALSE)</f>
        <v>#N/A</v>
      </c>
      <c r="L172" s="1" t="e">
        <f>VLOOKUP(D172,epiunits!A$1:J$4000,9,FALSE)</f>
        <v>#N/A</v>
      </c>
      <c r="M172" s="1" t="e">
        <f>VLOOKUP(D172,epiunits!A$1:J$4000,10,FALSE)</f>
        <v>#N/A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s="1" t="e">
        <f>VLOOKUP(D173,epiunits!A$1:C$4000,2,FALSE)</f>
        <v>#N/A</v>
      </c>
      <c r="B173" s="1" t="e">
        <f>VLOOKUP(D173,epiunits!A$1:C$4000,3,FALSE)</f>
        <v>#N/A</v>
      </c>
      <c r="C173" s="1" t="e">
        <f>VLOOKUP(E173,Inspector!A$1:B$50,2,FALSE)</f>
        <v>#N/A</v>
      </c>
      <c r="I173" s="1" t="e">
        <f>VLOOKUP(D173,epiunits!A$1:J$4000,6,FALSE)</f>
        <v>#N/A</v>
      </c>
      <c r="J173" s="1" t="e">
        <f>VLOOKUP(D173,epiunits!A$1:J$4000,7,FALSE)</f>
        <v>#N/A</v>
      </c>
      <c r="K173" s="1" t="e">
        <f>VLOOKUP(D173,epiunits!A$1:J$4000,8,FALSE)</f>
        <v>#N/A</v>
      </c>
      <c r="L173" s="1" t="e">
        <f>VLOOKUP(D173,epiunits!A$1:J$4000,9,FALSE)</f>
        <v>#N/A</v>
      </c>
      <c r="M173" s="1" t="e">
        <f>VLOOKUP(D173,epiunits!A$1:J$4000,10,FALSE)</f>
        <v>#N/A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</row>
    <row r="174" spans="1:51" x14ac:dyDescent="0.25">
      <c r="A174" s="1" t="e">
        <f>VLOOKUP(D174,epiunits!A$1:C$4000,2,FALSE)</f>
        <v>#N/A</v>
      </c>
      <c r="B174" s="1" t="e">
        <f>VLOOKUP(D174,epiunits!A$1:C$4000,3,FALSE)</f>
        <v>#N/A</v>
      </c>
      <c r="C174" s="1" t="e">
        <f>VLOOKUP(E174,Inspector!A$1:B$50,2,FALSE)</f>
        <v>#N/A</v>
      </c>
      <c r="I174" s="1" t="e">
        <f>VLOOKUP(D174,epiunits!A$1:J$4000,6,FALSE)</f>
        <v>#N/A</v>
      </c>
      <c r="J174" s="1" t="e">
        <f>VLOOKUP(D174,epiunits!A$1:J$4000,7,FALSE)</f>
        <v>#N/A</v>
      </c>
      <c r="K174" s="1" t="e">
        <f>VLOOKUP(D174,epiunits!A$1:J$4000,8,FALSE)</f>
        <v>#N/A</v>
      </c>
      <c r="L174" s="1" t="e">
        <f>VLOOKUP(D174,epiunits!A$1:J$4000,9,FALSE)</f>
        <v>#N/A</v>
      </c>
      <c r="M174" s="1" t="e">
        <f>VLOOKUP(D174,epiunits!A$1:J$4000,10,FALSE)</f>
        <v>#N/A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s="1" t="e">
        <f>VLOOKUP(D175,epiunits!A$1:C$4000,2,FALSE)</f>
        <v>#N/A</v>
      </c>
      <c r="B175" s="1" t="e">
        <f>VLOOKUP(D175,epiunits!A$1:C$4000,3,FALSE)</f>
        <v>#N/A</v>
      </c>
      <c r="C175" s="1" t="e">
        <f>VLOOKUP(E175,Inspector!A$1:B$50,2,FALSE)</f>
        <v>#N/A</v>
      </c>
      <c r="I175" s="1" t="e">
        <f>VLOOKUP(D175,epiunits!A$1:J$4000,6,FALSE)</f>
        <v>#N/A</v>
      </c>
      <c r="J175" s="1" t="e">
        <f>VLOOKUP(D175,epiunits!A$1:J$4000,7,FALSE)</f>
        <v>#N/A</v>
      </c>
      <c r="K175" s="1" t="e">
        <f>VLOOKUP(D175,epiunits!A$1:J$4000,8,FALSE)</f>
        <v>#N/A</v>
      </c>
      <c r="L175" s="1" t="e">
        <f>VLOOKUP(D175,epiunits!A$1:J$4000,9,FALSE)</f>
        <v>#N/A</v>
      </c>
      <c r="M175" s="1" t="e">
        <f>VLOOKUP(D175,epiunits!A$1:J$4000,10,FALSE)</f>
        <v>#N/A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s="1" t="e">
        <f>VLOOKUP(D176,epiunits!A$1:C$4000,2,FALSE)</f>
        <v>#N/A</v>
      </c>
      <c r="B176" s="1" t="e">
        <f>VLOOKUP(D176,epiunits!A$1:C$4000,3,FALSE)</f>
        <v>#N/A</v>
      </c>
      <c r="C176" s="1" t="e">
        <f>VLOOKUP(E176,Inspector!A$1:B$50,2,FALSE)</f>
        <v>#N/A</v>
      </c>
      <c r="I176" s="1" t="e">
        <f>VLOOKUP(D176,epiunits!A$1:J$4000,6,FALSE)</f>
        <v>#N/A</v>
      </c>
      <c r="J176" s="1" t="e">
        <f>VLOOKUP(D176,epiunits!A$1:J$4000,7,FALSE)</f>
        <v>#N/A</v>
      </c>
      <c r="K176" s="1" t="e">
        <f>VLOOKUP(D176,epiunits!A$1:J$4000,8,FALSE)</f>
        <v>#N/A</v>
      </c>
      <c r="L176" s="1" t="e">
        <f>VLOOKUP(D176,epiunits!A$1:J$4000,9,FALSE)</f>
        <v>#N/A</v>
      </c>
      <c r="M176" s="1" t="e">
        <f>VLOOKUP(D176,epiunits!A$1:J$4000,10,FALSE)</f>
        <v>#N/A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</row>
    <row r="177" spans="1:51" x14ac:dyDescent="0.25">
      <c r="A177" s="1" t="e">
        <f>VLOOKUP(D177,epiunits!A$1:C$4000,2,FALSE)</f>
        <v>#N/A</v>
      </c>
      <c r="B177" s="1" t="e">
        <f>VLOOKUP(D177,epiunits!A$1:C$4000,3,FALSE)</f>
        <v>#N/A</v>
      </c>
      <c r="C177" s="1" t="e">
        <f>VLOOKUP(E177,Inspector!A$1:B$50,2,FALSE)</f>
        <v>#N/A</v>
      </c>
      <c r="I177" s="1" t="e">
        <f>VLOOKUP(D177,epiunits!A$1:J$4000,6,FALSE)</f>
        <v>#N/A</v>
      </c>
      <c r="J177" s="1" t="e">
        <f>VLOOKUP(D177,epiunits!A$1:J$4000,7,FALSE)</f>
        <v>#N/A</v>
      </c>
      <c r="K177" s="1" t="e">
        <f>VLOOKUP(D177,epiunits!A$1:J$4000,8,FALSE)</f>
        <v>#N/A</v>
      </c>
      <c r="L177" s="1" t="e">
        <f>VLOOKUP(D177,epiunits!A$1:J$4000,9,FALSE)</f>
        <v>#N/A</v>
      </c>
      <c r="M177" s="1" t="e">
        <f>VLOOKUP(D177,epiunits!A$1:J$4000,10,FALSE)</f>
        <v>#N/A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s="1" t="e">
        <f>VLOOKUP(D178,epiunits!A$1:C$4000,2,FALSE)</f>
        <v>#N/A</v>
      </c>
      <c r="B178" s="1" t="e">
        <f>VLOOKUP(D178,epiunits!A$1:C$4000,3,FALSE)</f>
        <v>#N/A</v>
      </c>
      <c r="C178" s="1" t="e">
        <f>VLOOKUP(E178,Inspector!A$1:B$50,2,FALSE)</f>
        <v>#N/A</v>
      </c>
      <c r="I178" s="1" t="e">
        <f>VLOOKUP(D178,epiunits!A$1:J$4000,6,FALSE)</f>
        <v>#N/A</v>
      </c>
      <c r="J178" s="1" t="e">
        <f>VLOOKUP(D178,epiunits!A$1:J$4000,7,FALSE)</f>
        <v>#N/A</v>
      </c>
      <c r="K178" s="1" t="e">
        <f>VLOOKUP(D178,epiunits!A$1:J$4000,8,FALSE)</f>
        <v>#N/A</v>
      </c>
      <c r="L178" s="1" t="e">
        <f>VLOOKUP(D178,epiunits!A$1:J$4000,9,FALSE)</f>
        <v>#N/A</v>
      </c>
      <c r="M178" s="1" t="e">
        <f>VLOOKUP(D178,epiunits!A$1:J$4000,10,FALSE)</f>
        <v>#N/A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s="1" t="e">
        <f>VLOOKUP(D179,epiunits!A$1:C$4000,2,FALSE)</f>
        <v>#N/A</v>
      </c>
      <c r="B179" s="1" t="e">
        <f>VLOOKUP(D179,epiunits!A$1:C$4000,3,FALSE)</f>
        <v>#N/A</v>
      </c>
      <c r="C179" s="1" t="e">
        <f>VLOOKUP(E179,Inspector!A$1:B$50,2,FALSE)</f>
        <v>#N/A</v>
      </c>
      <c r="I179" s="1" t="e">
        <f>VLOOKUP(D179,epiunits!A$1:J$4000,6,FALSE)</f>
        <v>#N/A</v>
      </c>
      <c r="J179" s="1" t="e">
        <f>VLOOKUP(D179,epiunits!A$1:J$4000,7,FALSE)</f>
        <v>#N/A</v>
      </c>
      <c r="K179" s="1" t="e">
        <f>VLOOKUP(D179,epiunits!A$1:J$4000,8,FALSE)</f>
        <v>#N/A</v>
      </c>
      <c r="L179" s="1" t="e">
        <f>VLOOKUP(D179,epiunits!A$1:J$4000,9,FALSE)</f>
        <v>#N/A</v>
      </c>
      <c r="M179" s="1" t="e">
        <f>VLOOKUP(D179,epiunits!A$1:J$4000,10,FALSE)</f>
        <v>#N/A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s="1" t="e">
        <f>VLOOKUP(D180,epiunits!A$1:C$4000,2,FALSE)</f>
        <v>#N/A</v>
      </c>
      <c r="B180" s="1" t="e">
        <f>VLOOKUP(D180,epiunits!A$1:C$4000,3,FALSE)</f>
        <v>#N/A</v>
      </c>
      <c r="C180" s="1" t="e">
        <f>VLOOKUP(E180,Inspector!A$1:B$50,2,FALSE)</f>
        <v>#N/A</v>
      </c>
      <c r="I180" s="1" t="e">
        <f>VLOOKUP(D180,epiunits!A$1:J$4000,6,FALSE)</f>
        <v>#N/A</v>
      </c>
      <c r="J180" s="1" t="e">
        <f>VLOOKUP(D180,epiunits!A$1:J$4000,7,FALSE)</f>
        <v>#N/A</v>
      </c>
      <c r="K180" s="1" t="e">
        <f>VLOOKUP(D180,epiunits!A$1:J$4000,8,FALSE)</f>
        <v>#N/A</v>
      </c>
      <c r="L180" s="1" t="e">
        <f>VLOOKUP(D180,epiunits!A$1:J$4000,9,FALSE)</f>
        <v>#N/A</v>
      </c>
      <c r="M180" s="1" t="e">
        <f>VLOOKUP(D180,epiunits!A$1:J$4000,10,FALSE)</f>
        <v>#N/A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s="1" t="e">
        <f>VLOOKUP(D181,epiunits!A$1:C$4000,2,FALSE)</f>
        <v>#N/A</v>
      </c>
      <c r="B181" s="1" t="e">
        <f>VLOOKUP(D181,epiunits!A$1:C$4000,3,FALSE)</f>
        <v>#N/A</v>
      </c>
      <c r="C181" s="1" t="e">
        <f>VLOOKUP(E181,Inspector!A$1:B$50,2,FALSE)</f>
        <v>#N/A</v>
      </c>
      <c r="I181" s="1" t="e">
        <f>VLOOKUP(D181,epiunits!A$1:J$4000,6,FALSE)</f>
        <v>#N/A</v>
      </c>
      <c r="J181" s="1" t="e">
        <f>VLOOKUP(D181,epiunits!A$1:J$4000,7,FALSE)</f>
        <v>#N/A</v>
      </c>
      <c r="K181" s="1" t="e">
        <f>VLOOKUP(D181,epiunits!A$1:J$4000,8,FALSE)</f>
        <v>#N/A</v>
      </c>
      <c r="L181" s="1" t="e">
        <f>VLOOKUP(D181,epiunits!A$1:J$4000,9,FALSE)</f>
        <v>#N/A</v>
      </c>
      <c r="M181" s="1" t="e">
        <f>VLOOKUP(D181,epiunits!A$1:J$4000,10,FALSE)</f>
        <v>#N/A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</row>
    <row r="182" spans="1:51" x14ac:dyDescent="0.25">
      <c r="A182" s="1" t="e">
        <f>VLOOKUP(D182,epiunits!A$1:C$4000,2,FALSE)</f>
        <v>#N/A</v>
      </c>
      <c r="B182" s="1" t="e">
        <f>VLOOKUP(D182,epiunits!A$1:C$4000,3,FALSE)</f>
        <v>#N/A</v>
      </c>
      <c r="C182" s="1" t="e">
        <f>VLOOKUP(E182,Inspector!A$1:B$50,2,FALSE)</f>
        <v>#N/A</v>
      </c>
      <c r="I182" s="1" t="e">
        <f>VLOOKUP(D182,epiunits!A$1:J$4000,6,FALSE)</f>
        <v>#N/A</v>
      </c>
      <c r="J182" s="1" t="e">
        <f>VLOOKUP(D182,epiunits!A$1:J$4000,7,FALSE)</f>
        <v>#N/A</v>
      </c>
      <c r="K182" s="1" t="e">
        <f>VLOOKUP(D182,epiunits!A$1:J$4000,8,FALSE)</f>
        <v>#N/A</v>
      </c>
      <c r="L182" s="1" t="e">
        <f>VLOOKUP(D182,epiunits!A$1:J$4000,9,FALSE)</f>
        <v>#N/A</v>
      </c>
      <c r="M182" s="1" t="e">
        <f>VLOOKUP(D182,epiunits!A$1:J$4000,10,FALSE)</f>
        <v>#N/A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s="1" t="e">
        <f>VLOOKUP(D183,epiunits!A$1:C$4000,2,FALSE)</f>
        <v>#N/A</v>
      </c>
      <c r="B183" s="1" t="e">
        <f>VLOOKUP(D183,epiunits!A$1:C$4000,3,FALSE)</f>
        <v>#N/A</v>
      </c>
      <c r="C183" s="1" t="e">
        <f>VLOOKUP(E183,Inspector!A$1:B$50,2,FALSE)</f>
        <v>#N/A</v>
      </c>
      <c r="I183" s="1" t="e">
        <f>VLOOKUP(D183,epiunits!A$1:J$4000,6,FALSE)</f>
        <v>#N/A</v>
      </c>
      <c r="J183" s="1" t="e">
        <f>VLOOKUP(D183,epiunits!A$1:J$4000,7,FALSE)</f>
        <v>#N/A</v>
      </c>
      <c r="K183" s="1" t="e">
        <f>VLOOKUP(D183,epiunits!A$1:J$4000,8,FALSE)</f>
        <v>#N/A</v>
      </c>
      <c r="L183" s="1" t="e">
        <f>VLOOKUP(D183,epiunits!A$1:J$4000,9,FALSE)</f>
        <v>#N/A</v>
      </c>
      <c r="M183" s="1" t="e">
        <f>VLOOKUP(D183,epiunits!A$1:J$4000,10,FALSE)</f>
        <v>#N/A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</row>
    <row r="184" spans="1:51" x14ac:dyDescent="0.25">
      <c r="A184" s="1" t="e">
        <f>VLOOKUP(D184,epiunits!A$1:C$4000,2,FALSE)</f>
        <v>#N/A</v>
      </c>
      <c r="B184" s="1" t="e">
        <f>VLOOKUP(D184,epiunits!A$1:C$4000,3,FALSE)</f>
        <v>#N/A</v>
      </c>
      <c r="C184" s="1" t="e">
        <f>VLOOKUP(E184,Inspector!A$1:B$50,2,FALSE)</f>
        <v>#N/A</v>
      </c>
      <c r="I184" s="1" t="e">
        <f>VLOOKUP(D184,epiunits!A$1:J$4000,6,FALSE)</f>
        <v>#N/A</v>
      </c>
      <c r="J184" s="1" t="e">
        <f>VLOOKUP(D184,epiunits!A$1:J$4000,7,FALSE)</f>
        <v>#N/A</v>
      </c>
      <c r="K184" s="1" t="e">
        <f>VLOOKUP(D184,epiunits!A$1:J$4000,8,FALSE)</f>
        <v>#N/A</v>
      </c>
      <c r="L184" s="1" t="e">
        <f>VLOOKUP(D184,epiunits!A$1:J$4000,9,FALSE)</f>
        <v>#N/A</v>
      </c>
      <c r="M184" s="1" t="e">
        <f>VLOOKUP(D184,epiunits!A$1:J$4000,10,FALSE)</f>
        <v>#N/A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</row>
    <row r="185" spans="1:51" x14ac:dyDescent="0.25">
      <c r="A185" s="1" t="e">
        <f>VLOOKUP(D185,epiunits!A$1:C$4000,2,FALSE)</f>
        <v>#N/A</v>
      </c>
      <c r="B185" s="1" t="e">
        <f>VLOOKUP(D185,epiunits!A$1:C$4000,3,FALSE)</f>
        <v>#N/A</v>
      </c>
      <c r="C185" s="1" t="e">
        <f>VLOOKUP(E185,Inspector!A$1:B$50,2,FALSE)</f>
        <v>#N/A</v>
      </c>
      <c r="I185" s="1" t="e">
        <f>VLOOKUP(D185,epiunits!A$1:J$4000,6,FALSE)</f>
        <v>#N/A</v>
      </c>
      <c r="J185" s="1" t="e">
        <f>VLOOKUP(D185,epiunits!A$1:J$4000,7,FALSE)</f>
        <v>#N/A</v>
      </c>
      <c r="K185" s="1" t="e">
        <f>VLOOKUP(D185,epiunits!A$1:J$4000,8,FALSE)</f>
        <v>#N/A</v>
      </c>
      <c r="L185" s="1" t="e">
        <f>VLOOKUP(D185,epiunits!A$1:J$4000,9,FALSE)</f>
        <v>#N/A</v>
      </c>
      <c r="M185" s="1" t="e">
        <f>VLOOKUP(D185,epiunits!A$1:J$4000,10,FALSE)</f>
        <v>#N/A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</row>
    <row r="186" spans="1:51" x14ac:dyDescent="0.25">
      <c r="A186" s="1" t="e">
        <f>VLOOKUP(D186,epiunits!A$1:C$4000,2,FALSE)</f>
        <v>#N/A</v>
      </c>
      <c r="B186" s="1" t="e">
        <f>VLOOKUP(D186,epiunits!A$1:C$4000,3,FALSE)</f>
        <v>#N/A</v>
      </c>
      <c r="C186" s="1" t="e">
        <f>VLOOKUP(E186,Inspector!A$1:B$50,2,FALSE)</f>
        <v>#N/A</v>
      </c>
      <c r="I186" s="1" t="e">
        <f>VLOOKUP(D186,epiunits!A$1:J$4000,6,FALSE)</f>
        <v>#N/A</v>
      </c>
      <c r="J186" s="1" t="e">
        <f>VLOOKUP(D186,epiunits!A$1:J$4000,7,FALSE)</f>
        <v>#N/A</v>
      </c>
      <c r="K186" s="1" t="e">
        <f>VLOOKUP(D186,epiunits!A$1:J$4000,8,FALSE)</f>
        <v>#N/A</v>
      </c>
      <c r="L186" s="1" t="e">
        <f>VLOOKUP(D186,epiunits!A$1:J$4000,9,FALSE)</f>
        <v>#N/A</v>
      </c>
      <c r="M186" s="1" t="e">
        <f>VLOOKUP(D186,epiunits!A$1:J$4000,10,FALSE)</f>
        <v>#N/A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</row>
    <row r="187" spans="1:51" x14ac:dyDescent="0.25">
      <c r="A187" s="1" t="e">
        <f>VLOOKUP(D187,epiunits!A$1:C$4000,2,FALSE)</f>
        <v>#N/A</v>
      </c>
      <c r="B187" s="1" t="e">
        <f>VLOOKUP(D187,epiunits!A$1:C$4000,3,FALSE)</f>
        <v>#N/A</v>
      </c>
      <c r="C187" s="1" t="e">
        <f>VLOOKUP(E187,Inspector!A$1:B$50,2,FALSE)</f>
        <v>#N/A</v>
      </c>
      <c r="I187" s="1" t="e">
        <f>VLOOKUP(D187,epiunits!A$1:J$4000,6,FALSE)</f>
        <v>#N/A</v>
      </c>
      <c r="J187" s="1" t="e">
        <f>VLOOKUP(D187,epiunits!A$1:J$4000,7,FALSE)</f>
        <v>#N/A</v>
      </c>
      <c r="K187" s="1" t="e">
        <f>VLOOKUP(D187,epiunits!A$1:J$4000,8,FALSE)</f>
        <v>#N/A</v>
      </c>
      <c r="L187" s="1" t="e">
        <f>VLOOKUP(D187,epiunits!A$1:J$4000,9,FALSE)</f>
        <v>#N/A</v>
      </c>
      <c r="M187" s="1" t="e">
        <f>VLOOKUP(D187,epiunits!A$1:J$4000,10,FALSE)</f>
        <v>#N/A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s="1" t="e">
        <f>VLOOKUP(D188,epiunits!A$1:C$4000,2,FALSE)</f>
        <v>#N/A</v>
      </c>
      <c r="B188" s="1" t="e">
        <f>VLOOKUP(D188,epiunits!A$1:C$4000,3,FALSE)</f>
        <v>#N/A</v>
      </c>
      <c r="C188" s="1" t="e">
        <f>VLOOKUP(E188,Inspector!A$1:B$50,2,FALSE)</f>
        <v>#N/A</v>
      </c>
      <c r="I188" s="1" t="e">
        <f>VLOOKUP(D188,epiunits!A$1:J$4000,6,FALSE)</f>
        <v>#N/A</v>
      </c>
      <c r="J188" s="1" t="e">
        <f>VLOOKUP(D188,epiunits!A$1:J$4000,7,FALSE)</f>
        <v>#N/A</v>
      </c>
      <c r="K188" s="1" t="e">
        <f>VLOOKUP(D188,epiunits!A$1:J$4000,8,FALSE)</f>
        <v>#N/A</v>
      </c>
      <c r="L188" s="1" t="e">
        <f>VLOOKUP(D188,epiunits!A$1:J$4000,9,FALSE)</f>
        <v>#N/A</v>
      </c>
      <c r="M188" s="1" t="e">
        <f>VLOOKUP(D188,epiunits!A$1:J$4000,10,FALSE)</f>
        <v>#N/A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</row>
    <row r="189" spans="1:51" x14ac:dyDescent="0.25">
      <c r="A189" s="1" t="e">
        <f>VLOOKUP(D189,epiunits!A$1:C$4000,2,FALSE)</f>
        <v>#N/A</v>
      </c>
      <c r="B189" s="1" t="e">
        <f>VLOOKUP(D189,epiunits!A$1:C$4000,3,FALSE)</f>
        <v>#N/A</v>
      </c>
      <c r="C189" s="1" t="e">
        <f>VLOOKUP(E189,Inspector!A$1:B$50,2,FALSE)</f>
        <v>#N/A</v>
      </c>
      <c r="I189" s="1" t="e">
        <f>VLOOKUP(D189,epiunits!A$1:J$4000,6,FALSE)</f>
        <v>#N/A</v>
      </c>
      <c r="J189" s="1" t="e">
        <f>VLOOKUP(D189,epiunits!A$1:J$4000,7,FALSE)</f>
        <v>#N/A</v>
      </c>
      <c r="K189" s="1" t="e">
        <f>VLOOKUP(D189,epiunits!A$1:J$4000,8,FALSE)</f>
        <v>#N/A</v>
      </c>
      <c r="L189" s="1" t="e">
        <f>VLOOKUP(D189,epiunits!A$1:J$4000,9,FALSE)</f>
        <v>#N/A</v>
      </c>
      <c r="M189" s="1" t="e">
        <f>VLOOKUP(D189,epiunits!A$1:J$4000,10,FALSE)</f>
        <v>#N/A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</row>
    <row r="190" spans="1:51" x14ac:dyDescent="0.25">
      <c r="A190" s="1" t="e">
        <f>VLOOKUP(D190,epiunits!A$1:C$4000,2,FALSE)</f>
        <v>#N/A</v>
      </c>
      <c r="B190" s="1" t="e">
        <f>VLOOKUP(D190,epiunits!A$1:C$4000,3,FALSE)</f>
        <v>#N/A</v>
      </c>
      <c r="C190" s="1" t="e">
        <f>VLOOKUP(E190,Inspector!A$1:B$50,2,FALSE)</f>
        <v>#N/A</v>
      </c>
      <c r="I190" s="1" t="e">
        <f>VLOOKUP(D190,epiunits!A$1:J$4000,6,FALSE)</f>
        <v>#N/A</v>
      </c>
      <c r="J190" s="1" t="e">
        <f>VLOOKUP(D190,epiunits!A$1:J$4000,7,FALSE)</f>
        <v>#N/A</v>
      </c>
      <c r="K190" s="1" t="e">
        <f>VLOOKUP(D190,epiunits!A$1:J$4000,8,FALSE)</f>
        <v>#N/A</v>
      </c>
      <c r="L190" s="1" t="e">
        <f>VLOOKUP(D190,epiunits!A$1:J$4000,9,FALSE)</f>
        <v>#N/A</v>
      </c>
      <c r="M190" s="1" t="e">
        <f>VLOOKUP(D190,epiunits!A$1:J$4000,10,FALSE)</f>
        <v>#N/A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</row>
    <row r="191" spans="1:51" x14ac:dyDescent="0.25">
      <c r="A191" s="1" t="e">
        <f>VLOOKUP(D191,epiunits!A$1:C$4000,2,FALSE)</f>
        <v>#N/A</v>
      </c>
      <c r="B191" s="1" t="e">
        <f>VLOOKUP(D191,epiunits!A$1:C$4000,3,FALSE)</f>
        <v>#N/A</v>
      </c>
      <c r="C191" s="1" t="e">
        <f>VLOOKUP(E191,Inspector!A$1:B$50,2,FALSE)</f>
        <v>#N/A</v>
      </c>
      <c r="I191" s="1" t="e">
        <f>VLOOKUP(D191,epiunits!A$1:J$4000,6,FALSE)</f>
        <v>#N/A</v>
      </c>
      <c r="J191" s="1" t="e">
        <f>VLOOKUP(D191,epiunits!A$1:J$4000,7,FALSE)</f>
        <v>#N/A</v>
      </c>
      <c r="K191" s="1" t="e">
        <f>VLOOKUP(D191,epiunits!A$1:J$4000,8,FALSE)</f>
        <v>#N/A</v>
      </c>
      <c r="L191" s="1" t="e">
        <f>VLOOKUP(D191,epiunits!A$1:J$4000,9,FALSE)</f>
        <v>#N/A</v>
      </c>
      <c r="M191" s="1" t="e">
        <f>VLOOKUP(D191,epiunits!A$1:J$4000,10,FALSE)</f>
        <v>#N/A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</row>
    <row r="192" spans="1:51" x14ac:dyDescent="0.25">
      <c r="A192" s="1" t="e">
        <f>VLOOKUP(D192,epiunits!A$1:C$4000,2,FALSE)</f>
        <v>#N/A</v>
      </c>
      <c r="B192" s="1" t="e">
        <f>VLOOKUP(D192,epiunits!A$1:C$4000,3,FALSE)</f>
        <v>#N/A</v>
      </c>
      <c r="C192" s="1" t="e">
        <f>VLOOKUP(E192,Inspector!A$1:B$50,2,FALSE)</f>
        <v>#N/A</v>
      </c>
      <c r="I192" s="1" t="e">
        <f>VLOOKUP(D192,epiunits!A$1:J$4000,6,FALSE)</f>
        <v>#N/A</v>
      </c>
      <c r="J192" s="1" t="e">
        <f>VLOOKUP(D192,epiunits!A$1:J$4000,7,FALSE)</f>
        <v>#N/A</v>
      </c>
      <c r="K192" s="1" t="e">
        <f>VLOOKUP(D192,epiunits!A$1:J$4000,8,FALSE)</f>
        <v>#N/A</v>
      </c>
      <c r="L192" s="1" t="e">
        <f>VLOOKUP(D192,epiunits!A$1:J$4000,9,FALSE)</f>
        <v>#N/A</v>
      </c>
      <c r="M192" s="1" t="e">
        <f>VLOOKUP(D192,epiunits!A$1:J$4000,10,FALSE)</f>
        <v>#N/A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</row>
    <row r="193" spans="1:51" x14ac:dyDescent="0.25">
      <c r="A193" s="1" t="e">
        <f>VLOOKUP(D193,epiunits!A$1:C$4000,2,FALSE)</f>
        <v>#N/A</v>
      </c>
      <c r="B193" s="1" t="e">
        <f>VLOOKUP(D193,epiunits!A$1:C$4000,3,FALSE)</f>
        <v>#N/A</v>
      </c>
      <c r="C193" s="1" t="e">
        <f>VLOOKUP(E193,Inspector!A$1:B$50,2,FALSE)</f>
        <v>#N/A</v>
      </c>
      <c r="I193" s="1" t="e">
        <f>VLOOKUP(D193,epiunits!A$1:J$4000,6,FALSE)</f>
        <v>#N/A</v>
      </c>
      <c r="J193" s="1" t="e">
        <f>VLOOKUP(D193,epiunits!A$1:J$4000,7,FALSE)</f>
        <v>#N/A</v>
      </c>
      <c r="K193" s="1" t="e">
        <f>VLOOKUP(D193,epiunits!A$1:J$4000,8,FALSE)</f>
        <v>#N/A</v>
      </c>
      <c r="L193" s="1" t="e">
        <f>VLOOKUP(D193,epiunits!A$1:J$4000,9,FALSE)</f>
        <v>#N/A</v>
      </c>
      <c r="M193" s="1" t="e">
        <f>VLOOKUP(D193,epiunits!A$1:J$4000,10,FALSE)</f>
        <v>#N/A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25">
      <c r="A194" s="1" t="e">
        <f>VLOOKUP(D194,epiunits!A$1:C$4000,2,FALSE)</f>
        <v>#N/A</v>
      </c>
      <c r="B194" s="1" t="e">
        <f>VLOOKUP(D194,epiunits!A$1:C$4000,3,FALSE)</f>
        <v>#N/A</v>
      </c>
      <c r="C194" s="1" t="e">
        <f>VLOOKUP(E194,Inspector!A$1:B$50,2,FALSE)</f>
        <v>#N/A</v>
      </c>
      <c r="I194" s="1" t="e">
        <f>VLOOKUP(D194,epiunits!A$1:J$4000,6,FALSE)</f>
        <v>#N/A</v>
      </c>
      <c r="J194" s="1" t="e">
        <f>VLOOKUP(D194,epiunits!A$1:J$4000,7,FALSE)</f>
        <v>#N/A</v>
      </c>
      <c r="K194" s="1" t="e">
        <f>VLOOKUP(D194,epiunits!A$1:J$4000,8,FALSE)</f>
        <v>#N/A</v>
      </c>
      <c r="L194" s="1" t="e">
        <f>VLOOKUP(D194,epiunits!A$1:J$4000,9,FALSE)</f>
        <v>#N/A</v>
      </c>
      <c r="M194" s="1" t="e">
        <f>VLOOKUP(D194,epiunits!A$1:J$4000,10,FALSE)</f>
        <v>#N/A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</row>
    <row r="195" spans="1:51" x14ac:dyDescent="0.25">
      <c r="A195" s="1" t="e">
        <f>VLOOKUP(D195,epiunits!A$1:C$4000,2,FALSE)</f>
        <v>#N/A</v>
      </c>
      <c r="B195" s="1" t="e">
        <f>VLOOKUP(D195,epiunits!A$1:C$4000,3,FALSE)</f>
        <v>#N/A</v>
      </c>
      <c r="C195" s="1" t="e">
        <f>VLOOKUP(E195,Inspector!A$1:B$50,2,FALSE)</f>
        <v>#N/A</v>
      </c>
      <c r="I195" s="1" t="e">
        <f>VLOOKUP(D195,epiunits!A$1:J$4000,6,FALSE)</f>
        <v>#N/A</v>
      </c>
      <c r="J195" s="1" t="e">
        <f>VLOOKUP(D195,epiunits!A$1:J$4000,7,FALSE)</f>
        <v>#N/A</v>
      </c>
      <c r="K195" s="1" t="e">
        <f>VLOOKUP(D195,epiunits!A$1:J$4000,8,FALSE)</f>
        <v>#N/A</v>
      </c>
      <c r="L195" s="1" t="e">
        <f>VLOOKUP(D195,epiunits!A$1:J$4000,9,FALSE)</f>
        <v>#N/A</v>
      </c>
      <c r="M195" s="1" t="e">
        <f>VLOOKUP(D195,epiunits!A$1:J$4000,10,FALSE)</f>
        <v>#N/A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</row>
    <row r="196" spans="1:51" x14ac:dyDescent="0.25">
      <c r="A196" s="1" t="e">
        <f>VLOOKUP(D196,epiunits!A$1:C$4000,2,FALSE)</f>
        <v>#N/A</v>
      </c>
      <c r="B196" s="1" t="e">
        <f>VLOOKUP(D196,epiunits!A$1:C$4000,3,FALSE)</f>
        <v>#N/A</v>
      </c>
      <c r="C196" s="1" t="e">
        <f>VLOOKUP(E196,Inspector!A$1:B$50,2,FALSE)</f>
        <v>#N/A</v>
      </c>
      <c r="I196" s="1" t="e">
        <f>VLOOKUP(D196,epiunits!A$1:J$4000,6,FALSE)</f>
        <v>#N/A</v>
      </c>
      <c r="J196" s="1" t="e">
        <f>VLOOKUP(D196,epiunits!A$1:J$4000,7,FALSE)</f>
        <v>#N/A</v>
      </c>
      <c r="K196" s="1" t="e">
        <f>VLOOKUP(D196,epiunits!A$1:J$4000,8,FALSE)</f>
        <v>#N/A</v>
      </c>
      <c r="L196" s="1" t="e">
        <f>VLOOKUP(D196,epiunits!A$1:J$4000,9,FALSE)</f>
        <v>#N/A</v>
      </c>
      <c r="M196" s="1" t="e">
        <f>VLOOKUP(D196,epiunits!A$1:J$4000,10,FALSE)</f>
        <v>#N/A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</row>
    <row r="197" spans="1:51" x14ac:dyDescent="0.25">
      <c r="A197" s="1" t="e">
        <f>VLOOKUP(D197,epiunits!A$1:C$4000,2,FALSE)</f>
        <v>#N/A</v>
      </c>
      <c r="B197" s="1" t="e">
        <f>VLOOKUP(D197,epiunits!A$1:C$4000,3,FALSE)</f>
        <v>#N/A</v>
      </c>
      <c r="C197" s="1" t="e">
        <f>VLOOKUP(E197,Inspector!A$1:B$50,2,FALSE)</f>
        <v>#N/A</v>
      </c>
      <c r="I197" s="1" t="e">
        <f>VLOOKUP(D197,epiunits!A$1:J$4000,6,FALSE)</f>
        <v>#N/A</v>
      </c>
      <c r="J197" s="1" t="e">
        <f>VLOOKUP(D197,epiunits!A$1:J$4000,7,FALSE)</f>
        <v>#N/A</v>
      </c>
      <c r="K197" s="1" t="e">
        <f>VLOOKUP(D197,epiunits!A$1:J$4000,8,FALSE)</f>
        <v>#N/A</v>
      </c>
      <c r="L197" s="1" t="e">
        <f>VLOOKUP(D197,epiunits!A$1:J$4000,9,FALSE)</f>
        <v>#N/A</v>
      </c>
      <c r="M197" s="1" t="e">
        <f>VLOOKUP(D197,epiunits!A$1:J$4000,10,FALSE)</f>
        <v>#N/A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25">
      <c r="A198" s="1" t="e">
        <f>VLOOKUP(D198,epiunits!A$1:C$4000,2,FALSE)</f>
        <v>#N/A</v>
      </c>
      <c r="B198" s="1" t="e">
        <f>VLOOKUP(D198,epiunits!A$1:C$4000,3,FALSE)</f>
        <v>#N/A</v>
      </c>
      <c r="C198" s="1" t="e">
        <f>VLOOKUP(E198,Inspector!A$1:B$50,2,FALSE)</f>
        <v>#N/A</v>
      </c>
      <c r="I198" s="1" t="e">
        <f>VLOOKUP(D198,epiunits!A$1:J$4000,6,FALSE)</f>
        <v>#N/A</v>
      </c>
      <c r="J198" s="1" t="e">
        <f>VLOOKUP(D198,epiunits!A$1:J$4000,7,FALSE)</f>
        <v>#N/A</v>
      </c>
      <c r="K198" s="1" t="e">
        <f>VLOOKUP(D198,epiunits!A$1:J$4000,8,FALSE)</f>
        <v>#N/A</v>
      </c>
      <c r="L198" s="1" t="e">
        <f>VLOOKUP(D198,epiunits!A$1:J$4000,9,FALSE)</f>
        <v>#N/A</v>
      </c>
      <c r="M198" s="1" t="e">
        <f>VLOOKUP(D198,epiunits!A$1:J$4000,10,FALSE)</f>
        <v>#N/A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</row>
    <row r="199" spans="1:51" x14ac:dyDescent="0.25">
      <c r="A199" s="1" t="e">
        <f>VLOOKUP(D199,epiunits!A$1:C$4000,2,FALSE)</f>
        <v>#N/A</v>
      </c>
      <c r="B199" s="1" t="e">
        <f>VLOOKUP(D199,epiunits!A$1:C$4000,3,FALSE)</f>
        <v>#N/A</v>
      </c>
      <c r="C199" s="1" t="e">
        <f>VLOOKUP(E199,Inspector!A$1:B$50,2,FALSE)</f>
        <v>#N/A</v>
      </c>
      <c r="I199" s="1" t="e">
        <f>VLOOKUP(D199,epiunits!A$1:J$4000,6,FALSE)</f>
        <v>#N/A</v>
      </c>
      <c r="J199" s="1" t="e">
        <f>VLOOKUP(D199,epiunits!A$1:J$4000,7,FALSE)</f>
        <v>#N/A</v>
      </c>
      <c r="K199" s="1" t="e">
        <f>VLOOKUP(D199,epiunits!A$1:J$4000,8,FALSE)</f>
        <v>#N/A</v>
      </c>
      <c r="L199" s="1" t="e">
        <f>VLOOKUP(D199,epiunits!A$1:J$4000,9,FALSE)</f>
        <v>#N/A</v>
      </c>
      <c r="M199" s="1" t="e">
        <f>VLOOKUP(D199,epiunits!A$1:J$4000,10,FALSE)</f>
        <v>#N/A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</row>
    <row r="200" spans="1:51" x14ac:dyDescent="0.25">
      <c r="A200" s="1" t="e">
        <f>VLOOKUP(D200,epiunits!A$1:C$4000,2,FALSE)</f>
        <v>#N/A</v>
      </c>
      <c r="B200" s="1" t="e">
        <f>VLOOKUP(D200,epiunits!A$1:C$4000,3,FALSE)</f>
        <v>#N/A</v>
      </c>
      <c r="C200" s="1" t="e">
        <f>VLOOKUP(E200,Inspector!A$1:B$50,2,FALSE)</f>
        <v>#N/A</v>
      </c>
      <c r="I200" s="1" t="e">
        <f>VLOOKUP(D200,epiunits!A$1:J$4000,6,FALSE)</f>
        <v>#N/A</v>
      </c>
      <c r="J200" s="1" t="e">
        <f>VLOOKUP(D200,epiunits!A$1:J$4000,7,FALSE)</f>
        <v>#N/A</v>
      </c>
      <c r="K200" s="1" t="e">
        <f>VLOOKUP(D200,epiunits!A$1:J$4000,8,FALSE)</f>
        <v>#N/A</v>
      </c>
      <c r="L200" s="1" t="e">
        <f>VLOOKUP(D200,epiunits!A$1:J$4000,9,FALSE)</f>
        <v>#N/A</v>
      </c>
      <c r="M200" s="1" t="e">
        <f>VLOOKUP(D200,epiunits!A$1:J$4000,10,FALSE)</f>
        <v>#N/A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</row>
    <row r="201" spans="1:51" x14ac:dyDescent="0.25">
      <c r="A201" s="1" t="e">
        <f>VLOOKUP(D201,epiunits!A$1:C$4000,2,FALSE)</f>
        <v>#N/A</v>
      </c>
      <c r="B201" s="1" t="e">
        <f>VLOOKUP(D201,epiunits!A$1:C$4000,3,FALSE)</f>
        <v>#N/A</v>
      </c>
      <c r="C201" s="1" t="e">
        <f>VLOOKUP(E201,Inspector!A$1:B$50,2,FALSE)</f>
        <v>#N/A</v>
      </c>
      <c r="I201" s="1" t="e">
        <f>VLOOKUP(D201,epiunits!A$1:J$4000,6,FALSE)</f>
        <v>#N/A</v>
      </c>
      <c r="J201" s="1" t="e">
        <f>VLOOKUP(D201,epiunits!A$1:J$4000,7,FALSE)</f>
        <v>#N/A</v>
      </c>
      <c r="K201" s="1" t="e">
        <f>VLOOKUP(D201,epiunits!A$1:J$4000,8,FALSE)</f>
        <v>#N/A</v>
      </c>
      <c r="L201" s="1" t="e">
        <f>VLOOKUP(D201,epiunits!A$1:J$4000,9,FALSE)</f>
        <v>#N/A</v>
      </c>
      <c r="M201" s="1" t="e">
        <f>VLOOKUP(D201,epiunits!A$1:J$4000,10,FALSE)</f>
        <v>#N/A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</row>
    <row r="202" spans="1:51" x14ac:dyDescent="0.25">
      <c r="A202" s="1" t="e">
        <f>VLOOKUP(D202,epiunits!A$1:C$4000,2,FALSE)</f>
        <v>#N/A</v>
      </c>
      <c r="B202" s="1" t="e">
        <f>VLOOKUP(D202,epiunits!A$1:C$4000,3,FALSE)</f>
        <v>#N/A</v>
      </c>
      <c r="C202" s="1" t="e">
        <f>VLOOKUP(E202,Inspector!A$1:B$50,2,FALSE)</f>
        <v>#N/A</v>
      </c>
      <c r="I202" s="1" t="e">
        <f>VLOOKUP(D202,epiunits!A$1:J$4000,6,FALSE)</f>
        <v>#N/A</v>
      </c>
      <c r="J202" s="1" t="e">
        <f>VLOOKUP(D202,epiunits!A$1:J$4000,7,FALSE)</f>
        <v>#N/A</v>
      </c>
      <c r="K202" s="1" t="e">
        <f>VLOOKUP(D202,epiunits!A$1:J$4000,8,FALSE)</f>
        <v>#N/A</v>
      </c>
      <c r="L202" s="1" t="e">
        <f>VLOOKUP(D202,epiunits!A$1:J$4000,9,FALSE)</f>
        <v>#N/A</v>
      </c>
      <c r="M202" s="1" t="e">
        <f>VLOOKUP(D202,epiunits!A$1:J$4000,10,FALSE)</f>
        <v>#N/A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</row>
    <row r="203" spans="1:51" x14ac:dyDescent="0.25">
      <c r="A203" s="1" t="e">
        <f>VLOOKUP(D203,epiunits!A$1:C$4000,2,FALSE)</f>
        <v>#N/A</v>
      </c>
      <c r="B203" s="1" t="e">
        <f>VLOOKUP(D203,epiunits!A$1:C$4000,3,FALSE)</f>
        <v>#N/A</v>
      </c>
      <c r="C203" s="1" t="e">
        <f>VLOOKUP(E203,Inspector!A$1:B$50,2,FALSE)</f>
        <v>#N/A</v>
      </c>
      <c r="I203" s="1" t="e">
        <f>VLOOKUP(D203,epiunits!A$1:J$4000,6,FALSE)</f>
        <v>#N/A</v>
      </c>
      <c r="J203" s="1" t="e">
        <f>VLOOKUP(D203,epiunits!A$1:J$4000,7,FALSE)</f>
        <v>#N/A</v>
      </c>
      <c r="K203" s="1" t="e">
        <f>VLOOKUP(D203,epiunits!A$1:J$4000,8,FALSE)</f>
        <v>#N/A</v>
      </c>
      <c r="L203" s="1" t="e">
        <f>VLOOKUP(D203,epiunits!A$1:J$4000,9,FALSE)</f>
        <v>#N/A</v>
      </c>
      <c r="M203" s="1" t="e">
        <f>VLOOKUP(D203,epiunits!A$1:J$4000,10,FALSE)</f>
        <v>#N/A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</row>
    <row r="204" spans="1:51" x14ac:dyDescent="0.25">
      <c r="A204" s="1" t="e">
        <f>VLOOKUP(D204,epiunits!A$1:C$4000,2,FALSE)</f>
        <v>#N/A</v>
      </c>
      <c r="B204" s="1" t="e">
        <f>VLOOKUP(D204,epiunits!A$1:C$4000,3,FALSE)</f>
        <v>#N/A</v>
      </c>
      <c r="C204" s="1" t="e">
        <f>VLOOKUP(E204,Inspector!A$1:B$50,2,FALSE)</f>
        <v>#N/A</v>
      </c>
      <c r="I204" s="1" t="e">
        <f>VLOOKUP(D204,epiunits!A$1:J$4000,6,FALSE)</f>
        <v>#N/A</v>
      </c>
      <c r="J204" s="1" t="e">
        <f>VLOOKUP(D204,epiunits!A$1:J$4000,7,FALSE)</f>
        <v>#N/A</v>
      </c>
      <c r="K204" s="1" t="e">
        <f>VLOOKUP(D204,epiunits!A$1:J$4000,8,FALSE)</f>
        <v>#N/A</v>
      </c>
      <c r="L204" s="1" t="e">
        <f>VLOOKUP(D204,epiunits!A$1:J$4000,9,FALSE)</f>
        <v>#N/A</v>
      </c>
      <c r="M204" s="1" t="e">
        <f>VLOOKUP(D204,epiunits!A$1:J$4000,10,FALSE)</f>
        <v>#N/A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</row>
    <row r="205" spans="1:51" x14ac:dyDescent="0.25">
      <c r="A205" s="1" t="e">
        <f>VLOOKUP(D205,epiunits!A$1:C$4000,2,FALSE)</f>
        <v>#N/A</v>
      </c>
      <c r="B205" s="1" t="e">
        <f>VLOOKUP(D205,epiunits!A$1:C$4000,3,FALSE)</f>
        <v>#N/A</v>
      </c>
      <c r="C205" s="1" t="e">
        <f>VLOOKUP(E205,Inspector!A$1:B$50,2,FALSE)</f>
        <v>#N/A</v>
      </c>
      <c r="I205" s="1" t="e">
        <f>VLOOKUP(D205,epiunits!A$1:J$4000,6,FALSE)</f>
        <v>#N/A</v>
      </c>
      <c r="J205" s="1" t="e">
        <f>VLOOKUP(D205,epiunits!A$1:J$4000,7,FALSE)</f>
        <v>#N/A</v>
      </c>
      <c r="K205" s="1" t="e">
        <f>VLOOKUP(D205,epiunits!A$1:J$4000,8,FALSE)</f>
        <v>#N/A</v>
      </c>
      <c r="L205" s="1" t="e">
        <f>VLOOKUP(D205,epiunits!A$1:J$4000,9,FALSE)</f>
        <v>#N/A</v>
      </c>
      <c r="M205" s="1" t="e">
        <f>VLOOKUP(D205,epiunits!A$1:J$4000,10,FALSE)</f>
        <v>#N/A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</row>
    <row r="206" spans="1:51" x14ac:dyDescent="0.25">
      <c r="A206" s="1" t="e">
        <f>VLOOKUP(D206,epiunits!A$1:C$4000,2,FALSE)</f>
        <v>#N/A</v>
      </c>
      <c r="B206" s="1" t="e">
        <f>VLOOKUP(D206,epiunits!A$1:C$4000,3,FALSE)</f>
        <v>#N/A</v>
      </c>
      <c r="C206" s="1" t="e">
        <f>VLOOKUP(E206,Inspector!A$1:B$50,2,FALSE)</f>
        <v>#N/A</v>
      </c>
      <c r="I206" s="1" t="e">
        <f>VLOOKUP(D206,epiunits!A$1:J$4000,6,FALSE)</f>
        <v>#N/A</v>
      </c>
      <c r="J206" s="1" t="e">
        <f>VLOOKUP(D206,epiunits!A$1:J$4000,7,FALSE)</f>
        <v>#N/A</v>
      </c>
      <c r="K206" s="1" t="e">
        <f>VLOOKUP(D206,epiunits!A$1:J$4000,8,FALSE)</f>
        <v>#N/A</v>
      </c>
      <c r="L206" s="1" t="e">
        <f>VLOOKUP(D206,epiunits!A$1:J$4000,9,FALSE)</f>
        <v>#N/A</v>
      </c>
      <c r="M206" s="1" t="e">
        <f>VLOOKUP(D206,epiunits!A$1:J$4000,10,FALSE)</f>
        <v>#N/A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</row>
    <row r="207" spans="1:51" x14ac:dyDescent="0.25">
      <c r="A207" s="1" t="e">
        <f>VLOOKUP(D207,epiunits!A$1:C$4000,2,FALSE)</f>
        <v>#N/A</v>
      </c>
      <c r="B207" s="1" t="e">
        <f>VLOOKUP(D207,epiunits!A$1:C$4000,3,FALSE)</f>
        <v>#N/A</v>
      </c>
      <c r="C207" s="1" t="e">
        <f>VLOOKUP(E207,Inspector!A$1:B$50,2,FALSE)</f>
        <v>#N/A</v>
      </c>
      <c r="I207" s="1" t="e">
        <f>VLOOKUP(D207,epiunits!A$1:J$4000,6,FALSE)</f>
        <v>#N/A</v>
      </c>
      <c r="J207" s="1" t="e">
        <f>VLOOKUP(D207,epiunits!A$1:J$4000,7,FALSE)</f>
        <v>#N/A</v>
      </c>
      <c r="K207" s="1" t="e">
        <f>VLOOKUP(D207,epiunits!A$1:J$4000,8,FALSE)</f>
        <v>#N/A</v>
      </c>
      <c r="L207" s="1" t="e">
        <f>VLOOKUP(D207,epiunits!A$1:J$4000,9,FALSE)</f>
        <v>#N/A</v>
      </c>
      <c r="M207" s="1" t="e">
        <f>VLOOKUP(D207,epiunits!A$1:J$4000,10,FALSE)</f>
        <v>#N/A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</row>
    <row r="208" spans="1:51" x14ac:dyDescent="0.25">
      <c r="A208" s="1" t="e">
        <f>VLOOKUP(D208,epiunits!A$1:C$4000,2,FALSE)</f>
        <v>#N/A</v>
      </c>
      <c r="B208" s="1" t="e">
        <f>VLOOKUP(D208,epiunits!A$1:C$4000,3,FALSE)</f>
        <v>#N/A</v>
      </c>
      <c r="C208" s="1" t="e">
        <f>VLOOKUP(E208,Inspector!A$1:B$50,2,FALSE)</f>
        <v>#N/A</v>
      </c>
      <c r="I208" s="1" t="e">
        <f>VLOOKUP(D208,epiunits!A$1:J$4000,6,FALSE)</f>
        <v>#N/A</v>
      </c>
      <c r="J208" s="1" t="e">
        <f>VLOOKUP(D208,epiunits!A$1:J$4000,7,FALSE)</f>
        <v>#N/A</v>
      </c>
      <c r="K208" s="1" t="e">
        <f>VLOOKUP(D208,epiunits!A$1:J$4000,8,FALSE)</f>
        <v>#N/A</v>
      </c>
      <c r="L208" s="1" t="e">
        <f>VLOOKUP(D208,epiunits!A$1:J$4000,9,FALSE)</f>
        <v>#N/A</v>
      </c>
      <c r="M208" s="1" t="e">
        <f>VLOOKUP(D208,epiunits!A$1:J$4000,10,FALSE)</f>
        <v>#N/A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</row>
    <row r="209" spans="1:51" x14ac:dyDescent="0.25">
      <c r="A209" s="1" t="e">
        <f>VLOOKUP(D209,epiunits!A$1:C$4000,2,FALSE)</f>
        <v>#N/A</v>
      </c>
      <c r="B209" s="1" t="e">
        <f>VLOOKUP(D209,epiunits!A$1:C$4000,3,FALSE)</f>
        <v>#N/A</v>
      </c>
      <c r="C209" s="1" t="e">
        <f>VLOOKUP(E209,Inspector!A$1:B$50,2,FALSE)</f>
        <v>#N/A</v>
      </c>
      <c r="I209" s="1" t="e">
        <f>VLOOKUP(D209,epiunits!A$1:J$4000,6,FALSE)</f>
        <v>#N/A</v>
      </c>
      <c r="J209" s="1" t="e">
        <f>VLOOKUP(D209,epiunits!A$1:J$4000,7,FALSE)</f>
        <v>#N/A</v>
      </c>
      <c r="K209" s="1" t="e">
        <f>VLOOKUP(D209,epiunits!A$1:J$4000,8,FALSE)</f>
        <v>#N/A</v>
      </c>
      <c r="L209" s="1" t="e">
        <f>VLOOKUP(D209,epiunits!A$1:J$4000,9,FALSE)</f>
        <v>#N/A</v>
      </c>
      <c r="M209" s="1" t="e">
        <f>VLOOKUP(D209,epiunits!A$1:J$4000,10,FALSE)</f>
        <v>#N/A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</row>
    <row r="210" spans="1:51" x14ac:dyDescent="0.25">
      <c r="A210" s="1" t="e">
        <f>VLOOKUP(D210,epiunits!A$1:C$4000,2,FALSE)</f>
        <v>#N/A</v>
      </c>
      <c r="B210" s="1" t="e">
        <f>VLOOKUP(D210,epiunits!A$1:C$4000,3,FALSE)</f>
        <v>#N/A</v>
      </c>
      <c r="C210" s="1" t="e">
        <f>VLOOKUP(E210,Inspector!A$1:B$50,2,FALSE)</f>
        <v>#N/A</v>
      </c>
      <c r="I210" s="1" t="e">
        <f>VLOOKUP(D210,epiunits!A$1:J$4000,6,FALSE)</f>
        <v>#N/A</v>
      </c>
      <c r="J210" s="1" t="e">
        <f>VLOOKUP(D210,epiunits!A$1:J$4000,7,FALSE)</f>
        <v>#N/A</v>
      </c>
      <c r="K210" s="1" t="e">
        <f>VLOOKUP(D210,epiunits!A$1:J$4000,8,FALSE)</f>
        <v>#N/A</v>
      </c>
      <c r="L210" s="1" t="e">
        <f>VLOOKUP(D210,epiunits!A$1:J$4000,9,FALSE)</f>
        <v>#N/A</v>
      </c>
      <c r="M210" s="1" t="e">
        <f>VLOOKUP(D210,epiunits!A$1:J$4000,10,FALSE)</f>
        <v>#N/A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</row>
    <row r="211" spans="1:51" x14ac:dyDescent="0.25">
      <c r="A211" s="1" t="e">
        <f>VLOOKUP(D211,epiunits!A$1:C$4000,2,FALSE)</f>
        <v>#N/A</v>
      </c>
      <c r="B211" s="1" t="e">
        <f>VLOOKUP(D211,epiunits!A$1:C$4000,3,FALSE)</f>
        <v>#N/A</v>
      </c>
      <c r="C211" s="1" t="e">
        <f>VLOOKUP(E211,Inspector!A$1:B$50,2,FALSE)</f>
        <v>#N/A</v>
      </c>
      <c r="I211" s="1" t="e">
        <f>VLOOKUP(D211,epiunits!A$1:J$4000,6,FALSE)</f>
        <v>#N/A</v>
      </c>
      <c r="J211" s="1" t="e">
        <f>VLOOKUP(D211,epiunits!A$1:J$4000,7,FALSE)</f>
        <v>#N/A</v>
      </c>
      <c r="K211" s="1" t="e">
        <f>VLOOKUP(D211,epiunits!A$1:J$4000,8,FALSE)</f>
        <v>#N/A</v>
      </c>
      <c r="L211" s="1" t="e">
        <f>VLOOKUP(D211,epiunits!A$1:J$4000,9,FALSE)</f>
        <v>#N/A</v>
      </c>
      <c r="M211" s="1" t="e">
        <f>VLOOKUP(D211,epiunits!A$1:J$4000,10,FALSE)</f>
        <v>#N/A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</row>
    <row r="212" spans="1:51" x14ac:dyDescent="0.25">
      <c r="A212" s="1" t="e">
        <f>VLOOKUP(D212,epiunits!A$1:C$4000,2,FALSE)</f>
        <v>#N/A</v>
      </c>
      <c r="B212" s="1" t="e">
        <f>VLOOKUP(D212,epiunits!A$1:C$4000,3,FALSE)</f>
        <v>#N/A</v>
      </c>
      <c r="C212" s="1" t="e">
        <f>VLOOKUP(E212,Inspector!A$1:B$50,2,FALSE)</f>
        <v>#N/A</v>
      </c>
      <c r="I212" s="1" t="e">
        <f>VLOOKUP(D212,epiunits!A$1:J$4000,6,FALSE)</f>
        <v>#N/A</v>
      </c>
      <c r="J212" s="1" t="e">
        <f>VLOOKUP(D212,epiunits!A$1:J$4000,7,FALSE)</f>
        <v>#N/A</v>
      </c>
      <c r="K212" s="1" t="e">
        <f>VLOOKUP(D212,epiunits!A$1:J$4000,8,FALSE)</f>
        <v>#N/A</v>
      </c>
      <c r="L212" s="1" t="e">
        <f>VLOOKUP(D212,epiunits!A$1:J$4000,9,FALSE)</f>
        <v>#N/A</v>
      </c>
      <c r="M212" s="1" t="e">
        <f>VLOOKUP(D212,epiunits!A$1:J$4000,10,FALSE)</f>
        <v>#N/A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</row>
    <row r="213" spans="1:51" x14ac:dyDescent="0.25">
      <c r="A213" s="1" t="e">
        <f>VLOOKUP(D213,epiunits!A$1:C$4000,2,FALSE)</f>
        <v>#N/A</v>
      </c>
      <c r="B213" s="1" t="e">
        <f>VLOOKUP(D213,epiunits!A$1:C$4000,3,FALSE)</f>
        <v>#N/A</v>
      </c>
      <c r="C213" s="1" t="e">
        <f>VLOOKUP(E213,Inspector!A$1:B$50,2,FALSE)</f>
        <v>#N/A</v>
      </c>
      <c r="I213" s="1" t="e">
        <f>VLOOKUP(D213,epiunits!A$1:J$4000,6,FALSE)</f>
        <v>#N/A</v>
      </c>
      <c r="J213" s="1" t="e">
        <f>VLOOKUP(D213,epiunits!A$1:J$4000,7,FALSE)</f>
        <v>#N/A</v>
      </c>
      <c r="K213" s="1" t="e">
        <f>VLOOKUP(D213,epiunits!A$1:J$4000,8,FALSE)</f>
        <v>#N/A</v>
      </c>
      <c r="L213" s="1" t="e">
        <f>VLOOKUP(D213,epiunits!A$1:J$4000,9,FALSE)</f>
        <v>#N/A</v>
      </c>
      <c r="M213" s="1" t="e">
        <f>VLOOKUP(D213,epiunits!A$1:J$4000,10,FALSE)</f>
        <v>#N/A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</row>
    <row r="214" spans="1:51" x14ac:dyDescent="0.25">
      <c r="A214" s="1" t="e">
        <f>VLOOKUP(D214,epiunits!A$1:C$4000,2,FALSE)</f>
        <v>#N/A</v>
      </c>
      <c r="B214" s="1" t="e">
        <f>VLOOKUP(D214,epiunits!A$1:C$4000,3,FALSE)</f>
        <v>#N/A</v>
      </c>
      <c r="C214" s="1" t="e">
        <f>VLOOKUP(E214,Inspector!A$1:B$50,2,FALSE)</f>
        <v>#N/A</v>
      </c>
      <c r="I214" s="1" t="e">
        <f>VLOOKUP(D214,epiunits!A$1:J$4000,6,FALSE)</f>
        <v>#N/A</v>
      </c>
      <c r="J214" s="1" t="e">
        <f>VLOOKUP(D214,epiunits!A$1:J$4000,7,FALSE)</f>
        <v>#N/A</v>
      </c>
      <c r="K214" s="1" t="e">
        <f>VLOOKUP(D214,epiunits!A$1:J$4000,8,FALSE)</f>
        <v>#N/A</v>
      </c>
      <c r="L214" s="1" t="e">
        <f>VLOOKUP(D214,epiunits!A$1:J$4000,9,FALSE)</f>
        <v>#N/A</v>
      </c>
      <c r="M214" s="1" t="e">
        <f>VLOOKUP(D214,epiunits!A$1:J$4000,10,FALSE)</f>
        <v>#N/A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</row>
    <row r="215" spans="1:51" x14ac:dyDescent="0.25">
      <c r="A215" s="1" t="e">
        <f>VLOOKUP(D215,epiunits!A$1:C$4000,2,FALSE)</f>
        <v>#N/A</v>
      </c>
      <c r="B215" s="1" t="e">
        <f>VLOOKUP(D215,epiunits!A$1:C$4000,3,FALSE)</f>
        <v>#N/A</v>
      </c>
      <c r="C215" s="1" t="e">
        <f>VLOOKUP(E215,Inspector!A$1:B$50,2,FALSE)</f>
        <v>#N/A</v>
      </c>
      <c r="I215" s="1" t="e">
        <f>VLOOKUP(D215,epiunits!A$1:J$4000,6,FALSE)</f>
        <v>#N/A</v>
      </c>
      <c r="J215" s="1" t="e">
        <f>VLOOKUP(D215,epiunits!A$1:J$4000,7,FALSE)</f>
        <v>#N/A</v>
      </c>
      <c r="K215" s="1" t="e">
        <f>VLOOKUP(D215,epiunits!A$1:J$4000,8,FALSE)</f>
        <v>#N/A</v>
      </c>
      <c r="L215" s="1" t="e">
        <f>VLOOKUP(D215,epiunits!A$1:J$4000,9,FALSE)</f>
        <v>#N/A</v>
      </c>
      <c r="M215" s="1" t="e">
        <f>VLOOKUP(D215,epiunits!A$1:J$4000,10,FALSE)</f>
        <v>#N/A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</row>
    <row r="216" spans="1:51" x14ac:dyDescent="0.25">
      <c r="A216" s="1" t="e">
        <f>VLOOKUP(D216,epiunits!A$1:C$4000,2,FALSE)</f>
        <v>#N/A</v>
      </c>
      <c r="B216" s="1" t="e">
        <f>VLOOKUP(D216,epiunits!A$1:C$4000,3,FALSE)</f>
        <v>#N/A</v>
      </c>
      <c r="C216" s="1" t="e">
        <f>VLOOKUP(E216,Inspector!A$1:B$50,2,FALSE)</f>
        <v>#N/A</v>
      </c>
      <c r="I216" s="1" t="e">
        <f>VLOOKUP(D216,epiunits!A$1:J$4000,6,FALSE)</f>
        <v>#N/A</v>
      </c>
      <c r="J216" s="1" t="e">
        <f>VLOOKUP(D216,epiunits!A$1:J$4000,7,FALSE)</f>
        <v>#N/A</v>
      </c>
      <c r="K216" s="1" t="e">
        <f>VLOOKUP(D216,epiunits!A$1:J$4000,8,FALSE)</f>
        <v>#N/A</v>
      </c>
      <c r="L216" s="1" t="e">
        <f>VLOOKUP(D216,epiunits!A$1:J$4000,9,FALSE)</f>
        <v>#N/A</v>
      </c>
      <c r="M216" s="1" t="e">
        <f>VLOOKUP(D216,epiunits!A$1:J$4000,10,FALSE)</f>
        <v>#N/A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</row>
    <row r="217" spans="1:51" x14ac:dyDescent="0.25">
      <c r="A217" s="1" t="e">
        <f>VLOOKUP(D217,epiunits!A$1:C$4000,2,FALSE)</f>
        <v>#N/A</v>
      </c>
      <c r="B217" s="1" t="e">
        <f>VLOOKUP(D217,epiunits!A$1:C$4000,3,FALSE)</f>
        <v>#N/A</v>
      </c>
      <c r="C217" s="1" t="e">
        <f>VLOOKUP(E217,Inspector!A$1:B$50,2,FALSE)</f>
        <v>#N/A</v>
      </c>
      <c r="I217" s="1" t="e">
        <f>VLOOKUP(D217,epiunits!A$1:J$4000,6,FALSE)</f>
        <v>#N/A</v>
      </c>
      <c r="J217" s="1" t="e">
        <f>VLOOKUP(D217,epiunits!A$1:J$4000,7,FALSE)</f>
        <v>#N/A</v>
      </c>
      <c r="K217" s="1" t="e">
        <f>VLOOKUP(D217,epiunits!A$1:J$4000,8,FALSE)</f>
        <v>#N/A</v>
      </c>
      <c r="L217" s="1" t="e">
        <f>VLOOKUP(D217,epiunits!A$1:J$4000,9,FALSE)</f>
        <v>#N/A</v>
      </c>
      <c r="M217" s="1" t="e">
        <f>VLOOKUP(D217,epiunits!A$1:J$4000,10,FALSE)</f>
        <v>#N/A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</row>
    <row r="218" spans="1:51" x14ac:dyDescent="0.25">
      <c r="A218" s="1" t="e">
        <f>VLOOKUP(D218,epiunits!A$1:C$4000,2,FALSE)</f>
        <v>#N/A</v>
      </c>
      <c r="B218" s="1" t="e">
        <f>VLOOKUP(D218,epiunits!A$1:C$4000,3,FALSE)</f>
        <v>#N/A</v>
      </c>
      <c r="C218" s="1" t="e">
        <f>VLOOKUP(E218,Inspector!A$1:B$50,2,FALSE)</f>
        <v>#N/A</v>
      </c>
      <c r="I218" s="1" t="e">
        <f>VLOOKUP(D218,epiunits!A$1:J$4000,6,FALSE)</f>
        <v>#N/A</v>
      </c>
      <c r="J218" s="1" t="e">
        <f>VLOOKUP(D218,epiunits!A$1:J$4000,7,FALSE)</f>
        <v>#N/A</v>
      </c>
      <c r="K218" s="1" t="e">
        <f>VLOOKUP(D218,epiunits!A$1:J$4000,8,FALSE)</f>
        <v>#N/A</v>
      </c>
      <c r="L218" s="1" t="e">
        <f>VLOOKUP(D218,epiunits!A$1:J$4000,9,FALSE)</f>
        <v>#N/A</v>
      </c>
      <c r="M218" s="1" t="e">
        <f>VLOOKUP(D218,epiunits!A$1:J$4000,10,FALSE)</f>
        <v>#N/A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</row>
    <row r="219" spans="1:51" x14ac:dyDescent="0.25">
      <c r="A219" s="1" t="e">
        <f>VLOOKUP(D219,epiunits!A$1:C$4000,2,FALSE)</f>
        <v>#N/A</v>
      </c>
      <c r="B219" s="1" t="e">
        <f>VLOOKUP(D219,epiunits!A$1:C$4000,3,FALSE)</f>
        <v>#N/A</v>
      </c>
      <c r="C219" s="1" t="e">
        <f>VLOOKUP(E219,Inspector!A$1:B$50,2,FALSE)</f>
        <v>#N/A</v>
      </c>
      <c r="I219" s="1" t="e">
        <f>VLOOKUP(D219,epiunits!A$1:J$4000,6,FALSE)</f>
        <v>#N/A</v>
      </c>
      <c r="J219" s="1" t="e">
        <f>VLOOKUP(D219,epiunits!A$1:J$4000,7,FALSE)</f>
        <v>#N/A</v>
      </c>
      <c r="K219" s="1" t="e">
        <f>VLOOKUP(D219,epiunits!A$1:J$4000,8,FALSE)</f>
        <v>#N/A</v>
      </c>
      <c r="L219" s="1" t="e">
        <f>VLOOKUP(D219,epiunits!A$1:J$4000,9,FALSE)</f>
        <v>#N/A</v>
      </c>
      <c r="M219" s="1" t="e">
        <f>VLOOKUP(D219,epiunits!A$1:J$4000,10,FALSE)</f>
        <v>#N/A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</row>
    <row r="220" spans="1:51" x14ac:dyDescent="0.25">
      <c r="A220" s="1" t="e">
        <f>VLOOKUP(D220,epiunits!A$1:C$4000,2,FALSE)</f>
        <v>#N/A</v>
      </c>
      <c r="B220" s="1" t="e">
        <f>VLOOKUP(D220,epiunits!A$1:C$4000,3,FALSE)</f>
        <v>#N/A</v>
      </c>
      <c r="C220" s="1" t="e">
        <f>VLOOKUP(E220,Inspector!A$1:B$50,2,FALSE)</f>
        <v>#N/A</v>
      </c>
      <c r="I220" s="1" t="e">
        <f>VLOOKUP(D220,epiunits!A$1:J$4000,6,FALSE)</f>
        <v>#N/A</v>
      </c>
      <c r="J220" s="1" t="e">
        <f>VLOOKUP(D220,epiunits!A$1:J$4000,7,FALSE)</f>
        <v>#N/A</v>
      </c>
      <c r="K220" s="1" t="e">
        <f>VLOOKUP(D220,epiunits!A$1:J$4000,8,FALSE)</f>
        <v>#N/A</v>
      </c>
      <c r="L220" s="1" t="e">
        <f>VLOOKUP(D220,epiunits!A$1:J$4000,9,FALSE)</f>
        <v>#N/A</v>
      </c>
      <c r="M220" s="1" t="e">
        <f>VLOOKUP(D220,epiunits!A$1:J$4000,10,FALSE)</f>
        <v>#N/A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</row>
    <row r="221" spans="1:51" x14ac:dyDescent="0.25">
      <c r="A221" s="1" t="e">
        <f>VLOOKUP(D221,epiunits!A$1:C$4000,2,FALSE)</f>
        <v>#N/A</v>
      </c>
      <c r="B221" s="1" t="e">
        <f>VLOOKUP(D221,epiunits!A$1:C$4000,3,FALSE)</f>
        <v>#N/A</v>
      </c>
      <c r="C221" s="1" t="e">
        <f>VLOOKUP(E221,Inspector!A$1:B$50,2,FALSE)</f>
        <v>#N/A</v>
      </c>
      <c r="I221" s="1" t="e">
        <f>VLOOKUP(D221,epiunits!A$1:J$4000,6,FALSE)</f>
        <v>#N/A</v>
      </c>
      <c r="J221" s="1" t="e">
        <f>VLOOKUP(D221,epiunits!A$1:J$4000,7,FALSE)</f>
        <v>#N/A</v>
      </c>
      <c r="K221" s="1" t="e">
        <f>VLOOKUP(D221,epiunits!A$1:J$4000,8,FALSE)</f>
        <v>#N/A</v>
      </c>
      <c r="L221" s="1" t="e">
        <f>VLOOKUP(D221,epiunits!A$1:J$4000,9,FALSE)</f>
        <v>#N/A</v>
      </c>
      <c r="M221" s="1" t="e">
        <f>VLOOKUP(D221,epiunits!A$1:J$4000,10,FALSE)</f>
        <v>#N/A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</row>
    <row r="222" spans="1:51" x14ac:dyDescent="0.25">
      <c r="A222" s="1" t="e">
        <f>VLOOKUP(D222,epiunits!A$1:C$4000,2,FALSE)</f>
        <v>#N/A</v>
      </c>
      <c r="B222" s="1" t="e">
        <f>VLOOKUP(D222,epiunits!A$1:C$4000,3,FALSE)</f>
        <v>#N/A</v>
      </c>
      <c r="C222" s="1" t="e">
        <f>VLOOKUP(E222,Inspector!A$1:B$50,2,FALSE)</f>
        <v>#N/A</v>
      </c>
      <c r="I222" s="1" t="e">
        <f>VLOOKUP(D222,epiunits!A$1:J$4000,6,FALSE)</f>
        <v>#N/A</v>
      </c>
      <c r="J222" s="1" t="e">
        <f>VLOOKUP(D222,epiunits!A$1:J$4000,7,FALSE)</f>
        <v>#N/A</v>
      </c>
      <c r="K222" s="1" t="e">
        <f>VLOOKUP(D222,epiunits!A$1:J$4000,8,FALSE)</f>
        <v>#N/A</v>
      </c>
      <c r="L222" s="1" t="e">
        <f>VLOOKUP(D222,epiunits!A$1:J$4000,9,FALSE)</f>
        <v>#N/A</v>
      </c>
      <c r="M222" s="1" t="e">
        <f>VLOOKUP(D222,epiunits!A$1:J$4000,10,FALSE)</f>
        <v>#N/A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</row>
    <row r="223" spans="1:51" x14ac:dyDescent="0.25">
      <c r="A223" s="1" t="e">
        <f>VLOOKUP(D223,epiunits!A$1:C$4000,2,FALSE)</f>
        <v>#N/A</v>
      </c>
      <c r="B223" s="1" t="e">
        <f>VLOOKUP(D223,epiunits!A$1:C$4000,3,FALSE)</f>
        <v>#N/A</v>
      </c>
      <c r="C223" s="1" t="e">
        <f>VLOOKUP(E223,Inspector!A$1:B$50,2,FALSE)</f>
        <v>#N/A</v>
      </c>
      <c r="I223" s="1" t="e">
        <f>VLOOKUP(D223,epiunits!A$1:J$4000,6,FALSE)</f>
        <v>#N/A</v>
      </c>
      <c r="J223" s="1" t="e">
        <f>VLOOKUP(D223,epiunits!A$1:J$4000,7,FALSE)</f>
        <v>#N/A</v>
      </c>
      <c r="K223" s="1" t="e">
        <f>VLOOKUP(D223,epiunits!A$1:J$4000,8,FALSE)</f>
        <v>#N/A</v>
      </c>
      <c r="L223" s="1" t="e">
        <f>VLOOKUP(D223,epiunits!A$1:J$4000,9,FALSE)</f>
        <v>#N/A</v>
      </c>
      <c r="M223" s="1" t="e">
        <f>VLOOKUP(D223,epiunits!A$1:J$4000,10,FALSE)</f>
        <v>#N/A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</row>
    <row r="224" spans="1:51" x14ac:dyDescent="0.25">
      <c r="A224" s="1" t="e">
        <f>VLOOKUP(D224,epiunits!A$1:C$4000,2,FALSE)</f>
        <v>#N/A</v>
      </c>
      <c r="B224" s="1" t="e">
        <f>VLOOKUP(D224,epiunits!A$1:C$4000,3,FALSE)</f>
        <v>#N/A</v>
      </c>
      <c r="C224" s="1" t="e">
        <f>VLOOKUP(E224,Inspector!A$1:B$50,2,FALSE)</f>
        <v>#N/A</v>
      </c>
      <c r="I224" s="1" t="e">
        <f>VLOOKUP(D224,epiunits!A$1:J$4000,6,FALSE)</f>
        <v>#N/A</v>
      </c>
      <c r="J224" s="1" t="e">
        <f>VLOOKUP(D224,epiunits!A$1:J$4000,7,FALSE)</f>
        <v>#N/A</v>
      </c>
      <c r="K224" s="1" t="e">
        <f>VLOOKUP(D224,epiunits!A$1:J$4000,8,FALSE)</f>
        <v>#N/A</v>
      </c>
      <c r="L224" s="1" t="e">
        <f>VLOOKUP(D224,epiunits!A$1:J$4000,9,FALSE)</f>
        <v>#N/A</v>
      </c>
      <c r="M224" s="1" t="e">
        <f>VLOOKUP(D224,epiunits!A$1:J$4000,10,FALSE)</f>
        <v>#N/A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</row>
    <row r="225" spans="1:51" x14ac:dyDescent="0.25">
      <c r="A225" s="1" t="e">
        <f>VLOOKUP(D225,epiunits!A$1:C$4000,2,FALSE)</f>
        <v>#N/A</v>
      </c>
      <c r="B225" s="1" t="e">
        <f>VLOOKUP(D225,epiunits!A$1:C$4000,3,FALSE)</f>
        <v>#N/A</v>
      </c>
      <c r="C225" s="1" t="e">
        <f>VLOOKUP(E225,Inspector!A$1:B$50,2,FALSE)</f>
        <v>#N/A</v>
      </c>
      <c r="I225" s="1" t="e">
        <f>VLOOKUP(D225,epiunits!A$1:J$4000,6,FALSE)</f>
        <v>#N/A</v>
      </c>
      <c r="J225" s="1" t="e">
        <f>VLOOKUP(D225,epiunits!A$1:J$4000,7,FALSE)</f>
        <v>#N/A</v>
      </c>
      <c r="K225" s="1" t="e">
        <f>VLOOKUP(D225,epiunits!A$1:J$4000,8,FALSE)</f>
        <v>#N/A</v>
      </c>
      <c r="L225" s="1" t="e">
        <f>VLOOKUP(D225,epiunits!A$1:J$4000,9,FALSE)</f>
        <v>#N/A</v>
      </c>
      <c r="M225" s="1" t="e">
        <f>VLOOKUP(D225,epiunits!A$1:J$4000,10,FALSE)</f>
        <v>#N/A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</row>
    <row r="226" spans="1:51" x14ac:dyDescent="0.25">
      <c r="A226" s="1" t="e">
        <f>VLOOKUP(D226,epiunits!A$1:C$4000,2,FALSE)</f>
        <v>#N/A</v>
      </c>
      <c r="B226" s="1" t="e">
        <f>VLOOKUP(D226,epiunits!A$1:C$4000,3,FALSE)</f>
        <v>#N/A</v>
      </c>
      <c r="C226" s="1" t="e">
        <f>VLOOKUP(E226,Inspector!A$1:B$50,2,FALSE)</f>
        <v>#N/A</v>
      </c>
      <c r="I226" s="1" t="e">
        <f>VLOOKUP(D226,epiunits!A$1:J$4000,6,FALSE)</f>
        <v>#N/A</v>
      </c>
      <c r="J226" s="1" t="e">
        <f>VLOOKUP(D226,epiunits!A$1:J$4000,7,FALSE)</f>
        <v>#N/A</v>
      </c>
      <c r="K226" s="1" t="e">
        <f>VLOOKUP(D226,epiunits!A$1:J$4000,8,FALSE)</f>
        <v>#N/A</v>
      </c>
      <c r="L226" s="1" t="e">
        <f>VLOOKUP(D226,epiunits!A$1:J$4000,9,FALSE)</f>
        <v>#N/A</v>
      </c>
      <c r="M226" s="1" t="e">
        <f>VLOOKUP(D226,epiunits!A$1:J$4000,10,FALSE)</f>
        <v>#N/A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</row>
    <row r="227" spans="1:51" x14ac:dyDescent="0.25">
      <c r="A227" s="1" t="e">
        <f>VLOOKUP(D227,epiunits!A$1:C$4000,2,FALSE)</f>
        <v>#N/A</v>
      </c>
      <c r="B227" s="1" t="e">
        <f>VLOOKUP(D227,epiunits!A$1:C$4000,3,FALSE)</f>
        <v>#N/A</v>
      </c>
      <c r="C227" s="1" t="e">
        <f>VLOOKUP(E227,Inspector!A$1:B$50,2,FALSE)</f>
        <v>#N/A</v>
      </c>
      <c r="I227" s="1" t="e">
        <f>VLOOKUP(D227,epiunits!A$1:J$4000,6,FALSE)</f>
        <v>#N/A</v>
      </c>
      <c r="J227" s="1" t="e">
        <f>VLOOKUP(D227,epiunits!A$1:J$4000,7,FALSE)</f>
        <v>#N/A</v>
      </c>
      <c r="K227" s="1" t="e">
        <f>VLOOKUP(D227,epiunits!A$1:J$4000,8,FALSE)</f>
        <v>#N/A</v>
      </c>
      <c r="L227" s="1" t="e">
        <f>VLOOKUP(D227,epiunits!A$1:J$4000,9,FALSE)</f>
        <v>#N/A</v>
      </c>
      <c r="M227" s="1" t="e">
        <f>VLOOKUP(D227,epiunits!A$1:J$4000,10,FALSE)</f>
        <v>#N/A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</row>
    <row r="228" spans="1:51" x14ac:dyDescent="0.25">
      <c r="A228" s="1" t="e">
        <f>VLOOKUP(D228,epiunits!A$1:C$4000,2,FALSE)</f>
        <v>#N/A</v>
      </c>
      <c r="B228" s="1" t="e">
        <f>VLOOKUP(D228,epiunits!A$1:C$4000,3,FALSE)</f>
        <v>#N/A</v>
      </c>
      <c r="C228" s="1" t="e">
        <f>VLOOKUP(E228,Inspector!A$1:B$50,2,FALSE)</f>
        <v>#N/A</v>
      </c>
      <c r="I228" s="1" t="e">
        <f>VLOOKUP(D228,epiunits!A$1:J$4000,6,FALSE)</f>
        <v>#N/A</v>
      </c>
      <c r="J228" s="1" t="e">
        <f>VLOOKUP(D228,epiunits!A$1:J$4000,7,FALSE)</f>
        <v>#N/A</v>
      </c>
      <c r="K228" s="1" t="e">
        <f>VLOOKUP(D228,epiunits!A$1:J$4000,8,FALSE)</f>
        <v>#N/A</v>
      </c>
      <c r="L228" s="1" t="e">
        <f>VLOOKUP(D228,epiunits!A$1:J$4000,9,FALSE)</f>
        <v>#N/A</v>
      </c>
      <c r="M228" s="1" t="e">
        <f>VLOOKUP(D228,epiunits!A$1:J$4000,10,FALSE)</f>
        <v>#N/A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</row>
    <row r="229" spans="1:51" x14ac:dyDescent="0.25">
      <c r="A229" s="1" t="e">
        <f>VLOOKUP(D229,epiunits!A$1:C$4000,2,FALSE)</f>
        <v>#N/A</v>
      </c>
      <c r="B229" s="1" t="e">
        <f>VLOOKUP(D229,epiunits!A$1:C$4000,3,FALSE)</f>
        <v>#N/A</v>
      </c>
      <c r="C229" s="1" t="e">
        <f>VLOOKUP(E229,Inspector!A$1:B$50,2,FALSE)</f>
        <v>#N/A</v>
      </c>
      <c r="I229" s="1" t="e">
        <f>VLOOKUP(D229,epiunits!A$1:J$4000,6,FALSE)</f>
        <v>#N/A</v>
      </c>
      <c r="J229" s="1" t="e">
        <f>VLOOKUP(D229,epiunits!A$1:J$4000,7,FALSE)</f>
        <v>#N/A</v>
      </c>
      <c r="K229" s="1" t="e">
        <f>VLOOKUP(D229,epiunits!A$1:J$4000,8,FALSE)</f>
        <v>#N/A</v>
      </c>
      <c r="L229" s="1" t="e">
        <f>VLOOKUP(D229,epiunits!A$1:J$4000,9,FALSE)</f>
        <v>#N/A</v>
      </c>
      <c r="M229" s="1" t="e">
        <f>VLOOKUP(D229,epiunits!A$1:J$4000,10,FALSE)</f>
        <v>#N/A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</row>
    <row r="230" spans="1:51" x14ac:dyDescent="0.25">
      <c r="A230" s="1" t="e">
        <f>VLOOKUP(D230,epiunits!A$1:C$4000,2,FALSE)</f>
        <v>#N/A</v>
      </c>
      <c r="B230" s="1" t="e">
        <f>VLOOKUP(D230,epiunits!A$1:C$4000,3,FALSE)</f>
        <v>#N/A</v>
      </c>
      <c r="C230" s="1" t="e">
        <f>VLOOKUP(E230,Inspector!A$1:B$50,2,FALSE)</f>
        <v>#N/A</v>
      </c>
      <c r="I230" s="1" t="e">
        <f>VLOOKUP(D230,epiunits!A$1:J$4000,6,FALSE)</f>
        <v>#N/A</v>
      </c>
      <c r="J230" s="1" t="e">
        <f>VLOOKUP(D230,epiunits!A$1:J$4000,7,FALSE)</f>
        <v>#N/A</v>
      </c>
      <c r="K230" s="1" t="e">
        <f>VLOOKUP(D230,epiunits!A$1:J$4000,8,FALSE)</f>
        <v>#N/A</v>
      </c>
      <c r="L230" s="1" t="e">
        <f>VLOOKUP(D230,epiunits!A$1:J$4000,9,FALSE)</f>
        <v>#N/A</v>
      </c>
      <c r="M230" s="1" t="e">
        <f>VLOOKUP(D230,epiunits!A$1:J$4000,10,FALSE)</f>
        <v>#N/A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</row>
    <row r="231" spans="1:51" x14ac:dyDescent="0.25">
      <c r="A231" s="1" t="e">
        <f>VLOOKUP(D231,epiunits!A$1:C$4000,2,FALSE)</f>
        <v>#N/A</v>
      </c>
      <c r="B231" s="1" t="e">
        <f>VLOOKUP(D231,epiunits!A$1:C$4000,3,FALSE)</f>
        <v>#N/A</v>
      </c>
      <c r="C231" s="1" t="e">
        <f>VLOOKUP(E231,Inspector!A$1:B$50,2,FALSE)</f>
        <v>#N/A</v>
      </c>
      <c r="I231" s="1" t="e">
        <f>VLOOKUP(D231,epiunits!A$1:J$4000,6,FALSE)</f>
        <v>#N/A</v>
      </c>
      <c r="J231" s="1" t="e">
        <f>VLOOKUP(D231,epiunits!A$1:J$4000,7,FALSE)</f>
        <v>#N/A</v>
      </c>
      <c r="K231" s="1" t="e">
        <f>VLOOKUP(D231,epiunits!A$1:J$4000,8,FALSE)</f>
        <v>#N/A</v>
      </c>
      <c r="L231" s="1" t="e">
        <f>VLOOKUP(D231,epiunits!A$1:J$4000,9,FALSE)</f>
        <v>#N/A</v>
      </c>
      <c r="M231" s="1" t="e">
        <f>VLOOKUP(D231,epiunits!A$1:J$4000,10,FALSE)</f>
        <v>#N/A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</row>
    <row r="232" spans="1:51" x14ac:dyDescent="0.25">
      <c r="A232" s="1" t="e">
        <f>VLOOKUP(D232,epiunits!A$1:C$4000,2,FALSE)</f>
        <v>#N/A</v>
      </c>
      <c r="B232" s="1" t="e">
        <f>VLOOKUP(D232,epiunits!A$1:C$4000,3,FALSE)</f>
        <v>#N/A</v>
      </c>
      <c r="C232" s="1" t="e">
        <f>VLOOKUP(E232,Inspector!A$1:B$50,2,FALSE)</f>
        <v>#N/A</v>
      </c>
      <c r="I232" s="1" t="e">
        <f>VLOOKUP(D232,epiunits!A$1:J$4000,6,FALSE)</f>
        <v>#N/A</v>
      </c>
      <c r="J232" s="1" t="e">
        <f>VLOOKUP(D232,epiunits!A$1:J$4000,7,FALSE)</f>
        <v>#N/A</v>
      </c>
      <c r="K232" s="1" t="e">
        <f>VLOOKUP(D232,epiunits!A$1:J$4000,8,FALSE)</f>
        <v>#N/A</v>
      </c>
      <c r="L232" s="1" t="e">
        <f>VLOOKUP(D232,epiunits!A$1:J$4000,9,FALSE)</f>
        <v>#N/A</v>
      </c>
      <c r="M232" s="1" t="e">
        <f>VLOOKUP(D232,epiunits!A$1:J$4000,10,FALSE)</f>
        <v>#N/A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</row>
    <row r="233" spans="1:51" x14ac:dyDescent="0.25">
      <c r="A233" s="1" t="e">
        <f>VLOOKUP(D233,epiunits!A$1:C$4000,2,FALSE)</f>
        <v>#N/A</v>
      </c>
      <c r="B233" s="1" t="e">
        <f>VLOOKUP(D233,epiunits!A$1:C$4000,3,FALSE)</f>
        <v>#N/A</v>
      </c>
      <c r="C233" s="1" t="e">
        <f>VLOOKUP(E233,Inspector!A$1:B$50,2,FALSE)</f>
        <v>#N/A</v>
      </c>
      <c r="I233" s="1" t="e">
        <f>VLOOKUP(D233,epiunits!A$1:J$4000,6,FALSE)</f>
        <v>#N/A</v>
      </c>
      <c r="J233" s="1" t="e">
        <f>VLOOKUP(D233,epiunits!A$1:J$4000,7,FALSE)</f>
        <v>#N/A</v>
      </c>
      <c r="K233" s="1" t="e">
        <f>VLOOKUP(D233,epiunits!A$1:J$4000,8,FALSE)</f>
        <v>#N/A</v>
      </c>
      <c r="L233" s="1" t="e">
        <f>VLOOKUP(D233,epiunits!A$1:J$4000,9,FALSE)</f>
        <v>#N/A</v>
      </c>
      <c r="M233" s="1" t="e">
        <f>VLOOKUP(D233,epiunits!A$1:J$4000,10,FALSE)</f>
        <v>#N/A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</row>
    <row r="234" spans="1:51" x14ac:dyDescent="0.25">
      <c r="A234" s="1" t="e">
        <f>VLOOKUP(D234,epiunits!A$1:C$4000,2,FALSE)</f>
        <v>#N/A</v>
      </c>
      <c r="B234" s="1" t="e">
        <f>VLOOKUP(D234,epiunits!A$1:C$4000,3,FALSE)</f>
        <v>#N/A</v>
      </c>
      <c r="C234" s="1" t="e">
        <f>VLOOKUP(E234,Inspector!A$1:B$50,2,FALSE)</f>
        <v>#N/A</v>
      </c>
      <c r="I234" s="1" t="e">
        <f>VLOOKUP(D234,epiunits!A$1:J$4000,6,FALSE)</f>
        <v>#N/A</v>
      </c>
      <c r="J234" s="1" t="e">
        <f>VLOOKUP(D234,epiunits!A$1:J$4000,7,FALSE)</f>
        <v>#N/A</v>
      </c>
      <c r="K234" s="1" t="e">
        <f>VLOOKUP(D234,epiunits!A$1:J$4000,8,FALSE)</f>
        <v>#N/A</v>
      </c>
      <c r="L234" s="1" t="e">
        <f>VLOOKUP(D234,epiunits!A$1:J$4000,9,FALSE)</f>
        <v>#N/A</v>
      </c>
      <c r="M234" s="1" t="e">
        <f>VLOOKUP(D234,epiunits!A$1:J$4000,10,FALSE)</f>
        <v>#N/A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</row>
    <row r="235" spans="1:51" x14ac:dyDescent="0.25">
      <c r="A235" s="1" t="e">
        <f>VLOOKUP(D235,epiunits!A$1:C$4000,2,FALSE)</f>
        <v>#N/A</v>
      </c>
      <c r="B235" s="1" t="e">
        <f>VLOOKUP(D235,epiunits!A$1:C$4000,3,FALSE)</f>
        <v>#N/A</v>
      </c>
      <c r="C235" s="1" t="e">
        <f>VLOOKUP(E235,Inspector!A$1:B$50,2,FALSE)</f>
        <v>#N/A</v>
      </c>
      <c r="I235" s="1" t="e">
        <f>VLOOKUP(D235,epiunits!A$1:J$4000,6,FALSE)</f>
        <v>#N/A</v>
      </c>
      <c r="J235" s="1" t="e">
        <f>VLOOKUP(D235,epiunits!A$1:J$4000,7,FALSE)</f>
        <v>#N/A</v>
      </c>
      <c r="K235" s="1" t="e">
        <f>VLOOKUP(D235,epiunits!A$1:J$4000,8,FALSE)</f>
        <v>#N/A</v>
      </c>
      <c r="L235" s="1" t="e">
        <f>VLOOKUP(D235,epiunits!A$1:J$4000,9,FALSE)</f>
        <v>#N/A</v>
      </c>
      <c r="M235" s="1" t="e">
        <f>VLOOKUP(D235,epiunits!A$1:J$4000,10,FALSE)</f>
        <v>#N/A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</row>
    <row r="236" spans="1:51" x14ac:dyDescent="0.25">
      <c r="A236" s="1" t="e">
        <f>VLOOKUP(D236,epiunits!A$1:C$4000,2,FALSE)</f>
        <v>#N/A</v>
      </c>
      <c r="B236" s="1" t="e">
        <f>VLOOKUP(D236,epiunits!A$1:C$4000,3,FALSE)</f>
        <v>#N/A</v>
      </c>
      <c r="C236" s="1" t="e">
        <f>VLOOKUP(E236,Inspector!A$1:B$50,2,FALSE)</f>
        <v>#N/A</v>
      </c>
      <c r="I236" s="1" t="e">
        <f>VLOOKUP(D236,epiunits!A$1:J$4000,6,FALSE)</f>
        <v>#N/A</v>
      </c>
      <c r="J236" s="1" t="e">
        <f>VLOOKUP(D236,epiunits!A$1:J$4000,7,FALSE)</f>
        <v>#N/A</v>
      </c>
      <c r="K236" s="1" t="e">
        <f>VLOOKUP(D236,epiunits!A$1:J$4000,8,FALSE)</f>
        <v>#N/A</v>
      </c>
      <c r="L236" s="1" t="e">
        <f>VLOOKUP(D236,epiunits!A$1:J$4000,9,FALSE)</f>
        <v>#N/A</v>
      </c>
      <c r="M236" s="1" t="e">
        <f>VLOOKUP(D236,epiunits!A$1:J$4000,10,FALSE)</f>
        <v>#N/A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</row>
    <row r="237" spans="1:51" x14ac:dyDescent="0.25">
      <c r="A237" s="1" t="e">
        <f>VLOOKUP(D237,epiunits!A$1:C$4000,2,FALSE)</f>
        <v>#N/A</v>
      </c>
      <c r="B237" s="1" t="e">
        <f>VLOOKUP(D237,epiunits!A$1:C$4000,3,FALSE)</f>
        <v>#N/A</v>
      </c>
      <c r="C237" s="1" t="e">
        <f>VLOOKUP(E237,Inspector!A$1:B$50,2,FALSE)</f>
        <v>#N/A</v>
      </c>
      <c r="I237" s="1" t="e">
        <f>VLOOKUP(D237,epiunits!A$1:J$4000,6,FALSE)</f>
        <v>#N/A</v>
      </c>
      <c r="J237" s="1" t="e">
        <f>VLOOKUP(D237,epiunits!A$1:J$4000,7,FALSE)</f>
        <v>#N/A</v>
      </c>
      <c r="K237" s="1" t="e">
        <f>VLOOKUP(D237,epiunits!A$1:J$4000,8,FALSE)</f>
        <v>#N/A</v>
      </c>
      <c r="L237" s="1" t="e">
        <f>VLOOKUP(D237,epiunits!A$1:J$4000,9,FALSE)</f>
        <v>#N/A</v>
      </c>
      <c r="M237" s="1" t="e">
        <f>VLOOKUP(D237,epiunits!A$1:J$4000,10,FALSE)</f>
        <v>#N/A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</row>
    <row r="238" spans="1:51" x14ac:dyDescent="0.25">
      <c r="A238" s="1" t="e">
        <f>VLOOKUP(D238,epiunits!A$1:C$4000,2,FALSE)</f>
        <v>#N/A</v>
      </c>
      <c r="B238" s="1" t="e">
        <f>VLOOKUP(D238,epiunits!A$1:C$4000,3,FALSE)</f>
        <v>#N/A</v>
      </c>
      <c r="C238" s="1" t="e">
        <f>VLOOKUP(E238,Inspector!A$1:B$50,2,FALSE)</f>
        <v>#N/A</v>
      </c>
      <c r="I238" s="1" t="e">
        <f>VLOOKUP(D238,epiunits!A$1:J$4000,6,FALSE)</f>
        <v>#N/A</v>
      </c>
      <c r="J238" s="1" t="e">
        <f>VLOOKUP(D238,epiunits!A$1:J$4000,7,FALSE)</f>
        <v>#N/A</v>
      </c>
      <c r="K238" s="1" t="e">
        <f>VLOOKUP(D238,epiunits!A$1:J$4000,8,FALSE)</f>
        <v>#N/A</v>
      </c>
      <c r="L238" s="1" t="e">
        <f>VLOOKUP(D238,epiunits!A$1:J$4000,9,FALSE)</f>
        <v>#N/A</v>
      </c>
      <c r="M238" s="1" t="e">
        <f>VLOOKUP(D238,epiunits!A$1:J$4000,10,FALSE)</f>
        <v>#N/A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</row>
    <row r="239" spans="1:51" x14ac:dyDescent="0.25">
      <c r="A239" s="1" t="e">
        <f>VLOOKUP(D239,epiunits!A$1:C$4000,2,FALSE)</f>
        <v>#N/A</v>
      </c>
      <c r="B239" s="1" t="e">
        <f>VLOOKUP(D239,epiunits!A$1:C$4000,3,FALSE)</f>
        <v>#N/A</v>
      </c>
      <c r="C239" s="1" t="e">
        <f>VLOOKUP(E239,Inspector!A$1:B$50,2,FALSE)</f>
        <v>#N/A</v>
      </c>
      <c r="I239" s="1" t="e">
        <f>VLOOKUP(D239,epiunits!A$1:J$4000,6,FALSE)</f>
        <v>#N/A</v>
      </c>
      <c r="J239" s="1" t="e">
        <f>VLOOKUP(D239,epiunits!A$1:J$4000,7,FALSE)</f>
        <v>#N/A</v>
      </c>
      <c r="K239" s="1" t="e">
        <f>VLOOKUP(D239,epiunits!A$1:J$4000,8,FALSE)</f>
        <v>#N/A</v>
      </c>
      <c r="L239" s="1" t="e">
        <f>VLOOKUP(D239,epiunits!A$1:J$4000,9,FALSE)</f>
        <v>#N/A</v>
      </c>
      <c r="M239" s="1" t="e">
        <f>VLOOKUP(D239,epiunits!A$1:J$4000,10,FALSE)</f>
        <v>#N/A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</row>
    <row r="240" spans="1:51" x14ac:dyDescent="0.25">
      <c r="A240" s="1" t="e">
        <f>VLOOKUP(D240,epiunits!A$1:C$4000,2,FALSE)</f>
        <v>#N/A</v>
      </c>
      <c r="B240" s="1" t="e">
        <f>VLOOKUP(D240,epiunits!A$1:C$4000,3,FALSE)</f>
        <v>#N/A</v>
      </c>
      <c r="C240" s="1" t="e">
        <f>VLOOKUP(E240,Inspector!A$1:B$50,2,FALSE)</f>
        <v>#N/A</v>
      </c>
      <c r="I240" s="1" t="e">
        <f>VLOOKUP(D240,epiunits!A$1:J$4000,6,FALSE)</f>
        <v>#N/A</v>
      </c>
      <c r="J240" s="1" t="e">
        <f>VLOOKUP(D240,epiunits!A$1:J$4000,7,FALSE)</f>
        <v>#N/A</v>
      </c>
      <c r="K240" s="1" t="e">
        <f>VLOOKUP(D240,epiunits!A$1:J$4000,8,FALSE)</f>
        <v>#N/A</v>
      </c>
      <c r="L240" s="1" t="e">
        <f>VLOOKUP(D240,epiunits!A$1:J$4000,9,FALSE)</f>
        <v>#N/A</v>
      </c>
      <c r="M240" s="1" t="e">
        <f>VLOOKUP(D240,epiunits!A$1:J$4000,10,FALSE)</f>
        <v>#N/A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</row>
    <row r="241" spans="1:51" x14ac:dyDescent="0.25">
      <c r="A241" s="1" t="e">
        <f>VLOOKUP(D241,epiunits!A$1:C$4000,2,FALSE)</f>
        <v>#N/A</v>
      </c>
      <c r="B241" s="1" t="e">
        <f>VLOOKUP(D241,epiunits!A$1:C$4000,3,FALSE)</f>
        <v>#N/A</v>
      </c>
      <c r="C241" s="1" t="e">
        <f>VLOOKUP(E241,Inspector!A$1:B$50,2,FALSE)</f>
        <v>#N/A</v>
      </c>
      <c r="I241" s="1" t="e">
        <f>VLOOKUP(D241,epiunits!A$1:J$4000,6,FALSE)</f>
        <v>#N/A</v>
      </c>
      <c r="J241" s="1" t="e">
        <f>VLOOKUP(D241,epiunits!A$1:J$4000,7,FALSE)</f>
        <v>#N/A</v>
      </c>
      <c r="K241" s="1" t="e">
        <f>VLOOKUP(D241,epiunits!A$1:J$4000,8,FALSE)</f>
        <v>#N/A</v>
      </c>
      <c r="L241" s="1" t="e">
        <f>VLOOKUP(D241,epiunits!A$1:J$4000,9,FALSE)</f>
        <v>#N/A</v>
      </c>
      <c r="M241" s="1" t="e">
        <f>VLOOKUP(D241,epiunits!A$1:J$4000,10,FALSE)</f>
        <v>#N/A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</row>
    <row r="242" spans="1:51" x14ac:dyDescent="0.25">
      <c r="A242" s="1" t="e">
        <f>VLOOKUP(D242,epiunits!A$1:C$4000,2,FALSE)</f>
        <v>#N/A</v>
      </c>
      <c r="B242" s="1" t="e">
        <f>VLOOKUP(D242,epiunits!A$1:C$4000,3,FALSE)</f>
        <v>#N/A</v>
      </c>
      <c r="C242" s="1" t="e">
        <f>VLOOKUP(E242,Inspector!A$1:B$50,2,FALSE)</f>
        <v>#N/A</v>
      </c>
      <c r="I242" s="1" t="e">
        <f>VLOOKUP(D242,epiunits!A$1:J$4000,6,FALSE)</f>
        <v>#N/A</v>
      </c>
      <c r="J242" s="1" t="e">
        <f>VLOOKUP(D242,epiunits!A$1:J$4000,7,FALSE)</f>
        <v>#N/A</v>
      </c>
      <c r="K242" s="1" t="e">
        <f>VLOOKUP(D242,epiunits!A$1:J$4000,8,FALSE)</f>
        <v>#N/A</v>
      </c>
      <c r="L242" s="1" t="e">
        <f>VLOOKUP(D242,epiunits!A$1:J$4000,9,FALSE)</f>
        <v>#N/A</v>
      </c>
      <c r="M242" s="1" t="e">
        <f>VLOOKUP(D242,epiunits!A$1:J$4000,10,FALSE)</f>
        <v>#N/A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</row>
    <row r="243" spans="1:51" x14ac:dyDescent="0.25">
      <c r="A243" s="1" t="e">
        <f>VLOOKUP(D243,epiunits!A$1:C$4000,2,FALSE)</f>
        <v>#N/A</v>
      </c>
      <c r="B243" s="1" t="e">
        <f>VLOOKUP(D243,epiunits!A$1:C$4000,3,FALSE)</f>
        <v>#N/A</v>
      </c>
      <c r="C243" s="1" t="e">
        <f>VLOOKUP(E243,Inspector!A$1:B$50,2,FALSE)</f>
        <v>#N/A</v>
      </c>
      <c r="I243" s="1" t="e">
        <f>VLOOKUP(D243,epiunits!A$1:J$4000,6,FALSE)</f>
        <v>#N/A</v>
      </c>
      <c r="J243" s="1" t="e">
        <f>VLOOKUP(D243,epiunits!A$1:J$4000,7,FALSE)</f>
        <v>#N/A</v>
      </c>
      <c r="K243" s="1" t="e">
        <f>VLOOKUP(D243,epiunits!A$1:J$4000,8,FALSE)</f>
        <v>#N/A</v>
      </c>
      <c r="L243" s="1" t="e">
        <f>VLOOKUP(D243,epiunits!A$1:J$4000,9,FALSE)</f>
        <v>#N/A</v>
      </c>
      <c r="M243" s="1" t="e">
        <f>VLOOKUP(D243,epiunits!A$1:J$4000,10,FALSE)</f>
        <v>#N/A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</row>
    <row r="244" spans="1:51" x14ac:dyDescent="0.25">
      <c r="A244" s="1" t="e">
        <f>VLOOKUP(D244,epiunits!A$1:C$4000,2,FALSE)</f>
        <v>#N/A</v>
      </c>
      <c r="B244" s="1" t="e">
        <f>VLOOKUP(D244,epiunits!A$1:C$4000,3,FALSE)</f>
        <v>#N/A</v>
      </c>
      <c r="C244" s="1" t="e">
        <f>VLOOKUP(E244,Inspector!A$1:B$50,2,FALSE)</f>
        <v>#N/A</v>
      </c>
      <c r="I244" s="1" t="e">
        <f>VLOOKUP(D244,epiunits!A$1:J$4000,6,FALSE)</f>
        <v>#N/A</v>
      </c>
      <c r="J244" s="1" t="e">
        <f>VLOOKUP(D244,epiunits!A$1:J$4000,7,FALSE)</f>
        <v>#N/A</v>
      </c>
      <c r="K244" s="1" t="e">
        <f>VLOOKUP(D244,epiunits!A$1:J$4000,8,FALSE)</f>
        <v>#N/A</v>
      </c>
      <c r="L244" s="1" t="e">
        <f>VLOOKUP(D244,epiunits!A$1:J$4000,9,FALSE)</f>
        <v>#N/A</v>
      </c>
      <c r="M244" s="1" t="e">
        <f>VLOOKUP(D244,epiunits!A$1:J$4000,10,FALSE)</f>
        <v>#N/A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</row>
    <row r="245" spans="1:51" x14ac:dyDescent="0.25">
      <c r="A245" s="1" t="e">
        <f>VLOOKUP(D245,epiunits!A$1:C$4000,2,FALSE)</f>
        <v>#N/A</v>
      </c>
      <c r="B245" s="1" t="e">
        <f>VLOOKUP(D245,epiunits!A$1:C$4000,3,FALSE)</f>
        <v>#N/A</v>
      </c>
      <c r="C245" s="1" t="e">
        <f>VLOOKUP(E245,Inspector!A$1:B$50,2,FALSE)</f>
        <v>#N/A</v>
      </c>
      <c r="I245" s="1" t="e">
        <f>VLOOKUP(D245,epiunits!A$1:J$4000,6,FALSE)</f>
        <v>#N/A</v>
      </c>
      <c r="J245" s="1" t="e">
        <f>VLOOKUP(D245,epiunits!A$1:J$4000,7,FALSE)</f>
        <v>#N/A</v>
      </c>
      <c r="K245" s="1" t="e">
        <f>VLOOKUP(D245,epiunits!A$1:J$4000,8,FALSE)</f>
        <v>#N/A</v>
      </c>
      <c r="L245" s="1" t="e">
        <f>VLOOKUP(D245,epiunits!A$1:J$4000,9,FALSE)</f>
        <v>#N/A</v>
      </c>
      <c r="M245" s="1" t="e">
        <f>VLOOKUP(D245,epiunits!A$1:J$4000,10,FALSE)</f>
        <v>#N/A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</row>
    <row r="246" spans="1:51" x14ac:dyDescent="0.25">
      <c r="A246" s="1" t="e">
        <f>VLOOKUP(D246,epiunits!A$1:C$4000,2,FALSE)</f>
        <v>#N/A</v>
      </c>
      <c r="B246" s="1" t="e">
        <f>VLOOKUP(D246,epiunits!A$1:C$4000,3,FALSE)</f>
        <v>#N/A</v>
      </c>
      <c r="C246" s="1" t="e">
        <f>VLOOKUP(E246,Inspector!A$1:B$50,2,FALSE)</f>
        <v>#N/A</v>
      </c>
      <c r="I246" s="1" t="e">
        <f>VLOOKUP(D246,epiunits!A$1:J$4000,6,FALSE)</f>
        <v>#N/A</v>
      </c>
      <c r="J246" s="1" t="e">
        <f>VLOOKUP(D246,epiunits!A$1:J$4000,7,FALSE)</f>
        <v>#N/A</v>
      </c>
      <c r="K246" s="1" t="e">
        <f>VLOOKUP(D246,epiunits!A$1:J$4000,8,FALSE)</f>
        <v>#N/A</v>
      </c>
      <c r="L246" s="1" t="e">
        <f>VLOOKUP(D246,epiunits!A$1:J$4000,9,FALSE)</f>
        <v>#N/A</v>
      </c>
      <c r="M246" s="1" t="e">
        <f>VLOOKUP(D246,epiunits!A$1:J$4000,10,FALSE)</f>
        <v>#N/A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</row>
    <row r="247" spans="1:51" x14ac:dyDescent="0.25">
      <c r="A247" s="1" t="e">
        <f>VLOOKUP(D247,epiunits!A$1:C$4000,2,FALSE)</f>
        <v>#N/A</v>
      </c>
      <c r="B247" s="1" t="e">
        <f>VLOOKUP(D247,epiunits!A$1:C$4000,3,FALSE)</f>
        <v>#N/A</v>
      </c>
      <c r="C247" s="1" t="e">
        <f>VLOOKUP(E247,Inspector!A$1:B$50,2,FALSE)</f>
        <v>#N/A</v>
      </c>
      <c r="I247" s="1" t="e">
        <f>VLOOKUP(D247,epiunits!A$1:J$4000,6,FALSE)</f>
        <v>#N/A</v>
      </c>
      <c r="J247" s="1" t="e">
        <f>VLOOKUP(D247,epiunits!A$1:J$4000,7,FALSE)</f>
        <v>#N/A</v>
      </c>
      <c r="K247" s="1" t="e">
        <f>VLOOKUP(D247,epiunits!A$1:J$4000,8,FALSE)</f>
        <v>#N/A</v>
      </c>
      <c r="L247" s="1" t="e">
        <f>VLOOKUP(D247,epiunits!A$1:J$4000,9,FALSE)</f>
        <v>#N/A</v>
      </c>
      <c r="M247" s="1" t="e">
        <f>VLOOKUP(D247,epiunits!A$1:J$4000,10,FALSE)</f>
        <v>#N/A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</row>
    <row r="248" spans="1:51" x14ac:dyDescent="0.25">
      <c r="A248" s="1" t="e">
        <f>VLOOKUP(D248,epiunits!A$1:C$4000,2,FALSE)</f>
        <v>#N/A</v>
      </c>
      <c r="B248" s="1" t="e">
        <f>VLOOKUP(D248,epiunits!A$1:C$4000,3,FALSE)</f>
        <v>#N/A</v>
      </c>
      <c r="C248" s="1" t="e">
        <f>VLOOKUP(E248,Inspector!A$1:B$50,2,FALSE)</f>
        <v>#N/A</v>
      </c>
      <c r="I248" s="1" t="e">
        <f>VLOOKUP(D248,epiunits!A$1:J$4000,6,FALSE)</f>
        <v>#N/A</v>
      </c>
      <c r="J248" s="1" t="e">
        <f>VLOOKUP(D248,epiunits!A$1:J$4000,7,FALSE)</f>
        <v>#N/A</v>
      </c>
      <c r="K248" s="1" t="e">
        <f>VLOOKUP(D248,epiunits!A$1:J$4000,8,FALSE)</f>
        <v>#N/A</v>
      </c>
      <c r="L248" s="1" t="e">
        <f>VLOOKUP(D248,epiunits!A$1:J$4000,9,FALSE)</f>
        <v>#N/A</v>
      </c>
      <c r="M248" s="1" t="e">
        <f>VLOOKUP(D248,epiunits!A$1:J$4000,10,FALSE)</f>
        <v>#N/A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</row>
    <row r="249" spans="1:51" x14ac:dyDescent="0.25">
      <c r="A249" s="1" t="e">
        <f>VLOOKUP(D249,epiunits!A$1:C$4000,2,FALSE)</f>
        <v>#N/A</v>
      </c>
      <c r="B249" s="1" t="e">
        <f>VLOOKUP(D249,epiunits!A$1:C$4000,3,FALSE)</f>
        <v>#N/A</v>
      </c>
      <c r="C249" s="1" t="e">
        <f>VLOOKUP(E249,Inspector!A$1:B$50,2,FALSE)</f>
        <v>#N/A</v>
      </c>
      <c r="I249" s="1" t="e">
        <f>VLOOKUP(D249,epiunits!A$1:J$4000,6,FALSE)</f>
        <v>#N/A</v>
      </c>
      <c r="J249" s="1" t="e">
        <f>VLOOKUP(D249,epiunits!A$1:J$4000,7,FALSE)</f>
        <v>#N/A</v>
      </c>
      <c r="K249" s="1" t="e">
        <f>VLOOKUP(D249,epiunits!A$1:J$4000,8,FALSE)</f>
        <v>#N/A</v>
      </c>
      <c r="L249" s="1" t="e">
        <f>VLOOKUP(D249,epiunits!A$1:J$4000,9,FALSE)</f>
        <v>#N/A</v>
      </c>
      <c r="M249" s="1" t="e">
        <f>VLOOKUP(D249,epiunits!A$1:J$4000,10,FALSE)</f>
        <v>#N/A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</row>
    <row r="250" spans="1:51" x14ac:dyDescent="0.25">
      <c r="A250" s="1" t="e">
        <f>VLOOKUP(D250,epiunits!A$1:C$4000,2,FALSE)</f>
        <v>#N/A</v>
      </c>
      <c r="B250" s="1" t="e">
        <f>VLOOKUP(D250,epiunits!A$1:C$4000,3,FALSE)</f>
        <v>#N/A</v>
      </c>
      <c r="C250" s="1" t="e">
        <f>VLOOKUP(E250,Inspector!A$1:B$50,2,FALSE)</f>
        <v>#N/A</v>
      </c>
      <c r="I250" s="1" t="e">
        <f>VLOOKUP(D250,epiunits!A$1:J$4000,6,FALSE)</f>
        <v>#N/A</v>
      </c>
      <c r="J250" s="1" t="e">
        <f>VLOOKUP(D250,epiunits!A$1:J$4000,7,FALSE)</f>
        <v>#N/A</v>
      </c>
      <c r="K250" s="1" t="e">
        <f>VLOOKUP(D250,epiunits!A$1:J$4000,8,FALSE)</f>
        <v>#N/A</v>
      </c>
      <c r="L250" s="1" t="e">
        <f>VLOOKUP(D250,epiunits!A$1:J$4000,9,FALSE)</f>
        <v>#N/A</v>
      </c>
      <c r="M250" s="1" t="e">
        <f>VLOOKUP(D250,epiunits!A$1:J$4000,10,FALSE)</f>
        <v>#N/A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</row>
    <row r="251" spans="1:51" x14ac:dyDescent="0.25">
      <c r="A251" s="1" t="e">
        <f>VLOOKUP(D251,epiunits!A$1:C$4000,2,FALSE)</f>
        <v>#N/A</v>
      </c>
      <c r="B251" s="1" t="e">
        <f>VLOOKUP(D251,epiunits!A$1:C$4000,3,FALSE)</f>
        <v>#N/A</v>
      </c>
      <c r="C251" s="1" t="e">
        <f>VLOOKUP(E251,Inspector!A$1:B$50,2,FALSE)</f>
        <v>#N/A</v>
      </c>
      <c r="I251" s="1" t="e">
        <f>VLOOKUP(D251,epiunits!A$1:J$4000,6,FALSE)</f>
        <v>#N/A</v>
      </c>
      <c r="J251" s="1" t="e">
        <f>VLOOKUP(D251,epiunits!A$1:J$4000,7,FALSE)</f>
        <v>#N/A</v>
      </c>
      <c r="K251" s="1" t="e">
        <f>VLOOKUP(D251,epiunits!A$1:J$4000,8,FALSE)</f>
        <v>#N/A</v>
      </c>
      <c r="L251" s="1" t="e">
        <f>VLOOKUP(D251,epiunits!A$1:J$4000,9,FALSE)</f>
        <v>#N/A</v>
      </c>
      <c r="M251" s="1" t="e">
        <f>VLOOKUP(D251,epiunits!A$1:J$4000,10,FALSE)</f>
        <v>#N/A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</row>
    <row r="252" spans="1:51" x14ac:dyDescent="0.25">
      <c r="A252" s="1" t="e">
        <f>VLOOKUP(D252,epiunits!A$1:C$4000,2,FALSE)</f>
        <v>#N/A</v>
      </c>
      <c r="B252" s="1" t="e">
        <f>VLOOKUP(D252,epiunits!A$1:C$4000,3,FALSE)</f>
        <v>#N/A</v>
      </c>
      <c r="C252" s="1" t="e">
        <f>VLOOKUP(E252,Inspector!A$1:B$50,2,FALSE)</f>
        <v>#N/A</v>
      </c>
      <c r="I252" s="1" t="e">
        <f>VLOOKUP(D252,epiunits!A$1:J$4000,6,FALSE)</f>
        <v>#N/A</v>
      </c>
      <c r="J252" s="1" t="e">
        <f>VLOOKUP(D252,epiunits!A$1:J$4000,7,FALSE)</f>
        <v>#N/A</v>
      </c>
      <c r="K252" s="1" t="e">
        <f>VLOOKUP(D252,epiunits!A$1:J$4000,8,FALSE)</f>
        <v>#N/A</v>
      </c>
      <c r="L252" s="1" t="e">
        <f>VLOOKUP(D252,epiunits!A$1:J$4000,9,FALSE)</f>
        <v>#N/A</v>
      </c>
      <c r="M252" s="1" t="e">
        <f>VLOOKUP(D252,epiunits!A$1:J$4000,10,FALSE)</f>
        <v>#N/A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</row>
    <row r="253" spans="1:51" x14ac:dyDescent="0.25">
      <c r="A253" s="1" t="e">
        <f>VLOOKUP(D253,epiunits!A$1:C$4000,2,FALSE)</f>
        <v>#N/A</v>
      </c>
      <c r="B253" s="1" t="e">
        <f>VLOOKUP(D253,epiunits!A$1:C$4000,3,FALSE)</f>
        <v>#N/A</v>
      </c>
      <c r="C253" s="1" t="e">
        <f>VLOOKUP(E253,Inspector!A$1:B$50,2,FALSE)</f>
        <v>#N/A</v>
      </c>
      <c r="I253" s="1" t="e">
        <f>VLOOKUP(D253,epiunits!A$1:J$4000,6,FALSE)</f>
        <v>#N/A</v>
      </c>
      <c r="J253" s="1" t="e">
        <f>VLOOKUP(D253,epiunits!A$1:J$4000,7,FALSE)</f>
        <v>#N/A</v>
      </c>
      <c r="K253" s="1" t="e">
        <f>VLOOKUP(D253,epiunits!A$1:J$4000,8,FALSE)</f>
        <v>#N/A</v>
      </c>
      <c r="L253" s="1" t="e">
        <f>VLOOKUP(D253,epiunits!A$1:J$4000,9,FALSE)</f>
        <v>#N/A</v>
      </c>
      <c r="M253" s="1" t="e">
        <f>VLOOKUP(D253,epiunits!A$1:J$4000,10,FALSE)</f>
        <v>#N/A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</row>
    <row r="254" spans="1:51" x14ac:dyDescent="0.25">
      <c r="A254" s="1" t="e">
        <f>VLOOKUP(D254,epiunits!A$1:C$4000,2,FALSE)</f>
        <v>#N/A</v>
      </c>
      <c r="B254" s="1" t="e">
        <f>VLOOKUP(D254,epiunits!A$1:C$4000,3,FALSE)</f>
        <v>#N/A</v>
      </c>
      <c r="C254" s="1" t="e">
        <f>VLOOKUP(E254,Inspector!A$1:B$50,2,FALSE)</f>
        <v>#N/A</v>
      </c>
      <c r="I254" s="1" t="e">
        <f>VLOOKUP(D254,epiunits!A$1:J$4000,6,FALSE)</f>
        <v>#N/A</v>
      </c>
      <c r="J254" s="1" t="e">
        <f>VLOOKUP(D254,epiunits!A$1:J$4000,7,FALSE)</f>
        <v>#N/A</v>
      </c>
      <c r="K254" s="1" t="e">
        <f>VLOOKUP(D254,epiunits!A$1:J$4000,8,FALSE)</f>
        <v>#N/A</v>
      </c>
      <c r="L254" s="1" t="e">
        <f>VLOOKUP(D254,epiunits!A$1:J$4000,9,FALSE)</f>
        <v>#N/A</v>
      </c>
      <c r="M254" s="1" t="e">
        <f>VLOOKUP(D254,epiunits!A$1:J$4000,10,FALSE)</f>
        <v>#N/A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</row>
    <row r="255" spans="1:51" x14ac:dyDescent="0.25">
      <c r="A255" s="1" t="e">
        <f>VLOOKUP(D255,epiunits!A$1:C$4000,2,FALSE)</f>
        <v>#N/A</v>
      </c>
      <c r="B255" s="1" t="e">
        <f>VLOOKUP(D255,epiunits!A$1:C$4000,3,FALSE)</f>
        <v>#N/A</v>
      </c>
      <c r="C255" s="1" t="e">
        <f>VLOOKUP(E255,Inspector!A$1:B$50,2,FALSE)</f>
        <v>#N/A</v>
      </c>
      <c r="I255" s="1" t="e">
        <f>VLOOKUP(D255,epiunits!A$1:J$4000,6,FALSE)</f>
        <v>#N/A</v>
      </c>
      <c r="J255" s="1" t="e">
        <f>VLOOKUP(D255,epiunits!A$1:J$4000,7,FALSE)</f>
        <v>#N/A</v>
      </c>
      <c r="K255" s="1" t="e">
        <f>VLOOKUP(D255,epiunits!A$1:J$4000,8,FALSE)</f>
        <v>#N/A</v>
      </c>
      <c r="L255" s="1" t="e">
        <f>VLOOKUP(D255,epiunits!A$1:J$4000,9,FALSE)</f>
        <v>#N/A</v>
      </c>
      <c r="M255" s="1" t="e">
        <f>VLOOKUP(D255,epiunits!A$1:J$4000,10,FALSE)</f>
        <v>#N/A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s="1" t="e">
        <f>VLOOKUP(D256,epiunits!A$1:C$4000,2,FALSE)</f>
        <v>#N/A</v>
      </c>
      <c r="B256" s="1" t="e">
        <f>VLOOKUP(D256,epiunits!A$1:C$4000,3,FALSE)</f>
        <v>#N/A</v>
      </c>
      <c r="C256" s="1" t="e">
        <f>VLOOKUP(E256,Inspector!A$1:B$50,2,FALSE)</f>
        <v>#N/A</v>
      </c>
      <c r="I256" s="1" t="e">
        <f>VLOOKUP(D256,epiunits!A$1:J$4000,6,FALSE)</f>
        <v>#N/A</v>
      </c>
      <c r="J256" s="1" t="e">
        <f>VLOOKUP(D256,epiunits!A$1:J$4000,7,FALSE)</f>
        <v>#N/A</v>
      </c>
      <c r="K256" s="1" t="e">
        <f>VLOOKUP(D256,epiunits!A$1:J$4000,8,FALSE)</f>
        <v>#N/A</v>
      </c>
      <c r="L256" s="1" t="e">
        <f>VLOOKUP(D256,epiunits!A$1:J$4000,9,FALSE)</f>
        <v>#N/A</v>
      </c>
      <c r="M256" s="1" t="e">
        <f>VLOOKUP(D256,epiunits!A$1:J$4000,10,FALSE)</f>
        <v>#N/A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</row>
    <row r="257" spans="1:51" x14ac:dyDescent="0.25">
      <c r="A257" s="1" t="e">
        <f>VLOOKUP(D257,epiunits!A$1:C$4000,2,FALSE)</f>
        <v>#N/A</v>
      </c>
      <c r="B257" s="1" t="e">
        <f>VLOOKUP(D257,epiunits!A$1:C$4000,3,FALSE)</f>
        <v>#N/A</v>
      </c>
      <c r="C257" s="1" t="e">
        <f>VLOOKUP(E257,Inspector!A$1:B$50,2,FALSE)</f>
        <v>#N/A</v>
      </c>
      <c r="I257" s="1" t="e">
        <f>VLOOKUP(D257,epiunits!A$1:J$4000,6,FALSE)</f>
        <v>#N/A</v>
      </c>
      <c r="J257" s="1" t="e">
        <f>VLOOKUP(D257,epiunits!A$1:J$4000,7,FALSE)</f>
        <v>#N/A</v>
      </c>
      <c r="K257" s="1" t="e">
        <f>VLOOKUP(D257,epiunits!A$1:J$4000,8,FALSE)</f>
        <v>#N/A</v>
      </c>
      <c r="L257" s="1" t="e">
        <f>VLOOKUP(D257,epiunits!A$1:J$4000,9,FALSE)</f>
        <v>#N/A</v>
      </c>
      <c r="M257" s="1" t="e">
        <f>VLOOKUP(D257,epiunits!A$1:J$4000,10,FALSE)</f>
        <v>#N/A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s="1" t="e">
        <f>VLOOKUP(D258,epiunits!A$1:C$4000,2,FALSE)</f>
        <v>#N/A</v>
      </c>
      <c r="B258" s="1" t="e">
        <f>VLOOKUP(D258,epiunits!A$1:C$4000,3,FALSE)</f>
        <v>#N/A</v>
      </c>
      <c r="C258" s="1" t="e">
        <f>VLOOKUP(E258,Inspector!A$1:B$50,2,FALSE)</f>
        <v>#N/A</v>
      </c>
      <c r="I258" s="1" t="e">
        <f>VLOOKUP(D258,epiunits!A$1:J$4000,6,FALSE)</f>
        <v>#N/A</v>
      </c>
      <c r="J258" s="1" t="e">
        <f>VLOOKUP(D258,epiunits!A$1:J$4000,7,FALSE)</f>
        <v>#N/A</v>
      </c>
      <c r="K258" s="1" t="e">
        <f>VLOOKUP(D258,epiunits!A$1:J$4000,8,FALSE)</f>
        <v>#N/A</v>
      </c>
      <c r="L258" s="1" t="e">
        <f>VLOOKUP(D258,epiunits!A$1:J$4000,9,FALSE)</f>
        <v>#N/A</v>
      </c>
      <c r="M258" s="1" t="e">
        <f>VLOOKUP(D258,epiunits!A$1:J$4000,10,FALSE)</f>
        <v>#N/A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</row>
    <row r="259" spans="1:51" x14ac:dyDescent="0.25">
      <c r="A259" s="1" t="e">
        <f>VLOOKUP(D259,epiunits!A$1:C$4000,2,FALSE)</f>
        <v>#N/A</v>
      </c>
      <c r="B259" s="1" t="e">
        <f>VLOOKUP(D259,epiunits!A$1:C$4000,3,FALSE)</f>
        <v>#N/A</v>
      </c>
      <c r="C259" s="1" t="e">
        <f>VLOOKUP(E259,Inspector!A$1:B$50,2,FALSE)</f>
        <v>#N/A</v>
      </c>
      <c r="I259" s="1" t="e">
        <f>VLOOKUP(D259,epiunits!A$1:J$4000,6,FALSE)</f>
        <v>#N/A</v>
      </c>
      <c r="J259" s="1" t="e">
        <f>VLOOKUP(D259,epiunits!A$1:J$4000,7,FALSE)</f>
        <v>#N/A</v>
      </c>
      <c r="K259" s="1" t="e">
        <f>VLOOKUP(D259,epiunits!A$1:J$4000,8,FALSE)</f>
        <v>#N/A</v>
      </c>
      <c r="L259" s="1" t="e">
        <f>VLOOKUP(D259,epiunits!A$1:J$4000,9,FALSE)</f>
        <v>#N/A</v>
      </c>
      <c r="M259" s="1" t="e">
        <f>VLOOKUP(D259,epiunits!A$1:J$4000,10,FALSE)</f>
        <v>#N/A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</row>
    <row r="260" spans="1:51" x14ac:dyDescent="0.25">
      <c r="A260" s="1" t="e">
        <f>VLOOKUP(D260,epiunits!A$1:C$4000,2,FALSE)</f>
        <v>#N/A</v>
      </c>
      <c r="B260" s="1" t="e">
        <f>VLOOKUP(D260,epiunits!A$1:C$4000,3,FALSE)</f>
        <v>#N/A</v>
      </c>
      <c r="C260" s="1" t="e">
        <f>VLOOKUP(E260,Inspector!A$1:B$50,2,FALSE)</f>
        <v>#N/A</v>
      </c>
      <c r="I260" s="1" t="e">
        <f>VLOOKUP(D260,epiunits!A$1:J$4000,6,FALSE)</f>
        <v>#N/A</v>
      </c>
      <c r="J260" s="1" t="e">
        <f>VLOOKUP(D260,epiunits!A$1:J$4000,7,FALSE)</f>
        <v>#N/A</v>
      </c>
      <c r="K260" s="1" t="e">
        <f>VLOOKUP(D260,epiunits!A$1:J$4000,8,FALSE)</f>
        <v>#N/A</v>
      </c>
      <c r="L260" s="1" t="e">
        <f>VLOOKUP(D260,epiunits!A$1:J$4000,9,FALSE)</f>
        <v>#N/A</v>
      </c>
      <c r="M260" s="1" t="e">
        <f>VLOOKUP(D260,epiunits!A$1:J$4000,10,FALSE)</f>
        <v>#N/A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</row>
    <row r="261" spans="1:51" x14ac:dyDescent="0.25">
      <c r="A261" s="1" t="e">
        <f>VLOOKUP(D261,epiunits!A$1:C$4000,2,FALSE)</f>
        <v>#N/A</v>
      </c>
      <c r="B261" s="1" t="e">
        <f>VLOOKUP(D261,epiunits!A$1:C$4000,3,FALSE)</f>
        <v>#N/A</v>
      </c>
      <c r="C261" s="1" t="e">
        <f>VLOOKUP(E261,Inspector!A$1:B$50,2,FALSE)</f>
        <v>#N/A</v>
      </c>
      <c r="I261" s="1" t="e">
        <f>VLOOKUP(D261,epiunits!A$1:J$4000,6,FALSE)</f>
        <v>#N/A</v>
      </c>
      <c r="J261" s="1" t="e">
        <f>VLOOKUP(D261,epiunits!A$1:J$4000,7,FALSE)</f>
        <v>#N/A</v>
      </c>
      <c r="K261" s="1" t="e">
        <f>VLOOKUP(D261,epiunits!A$1:J$4000,8,FALSE)</f>
        <v>#N/A</v>
      </c>
      <c r="L261" s="1" t="e">
        <f>VLOOKUP(D261,epiunits!A$1:J$4000,9,FALSE)</f>
        <v>#N/A</v>
      </c>
      <c r="M261" s="1" t="e">
        <f>VLOOKUP(D261,epiunits!A$1:J$4000,10,FALSE)</f>
        <v>#N/A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</row>
    <row r="262" spans="1:51" x14ac:dyDescent="0.25">
      <c r="A262" s="1" t="e">
        <f>VLOOKUP(D262,epiunits!A$1:C$4000,2,FALSE)</f>
        <v>#N/A</v>
      </c>
      <c r="B262" s="1" t="e">
        <f>VLOOKUP(D262,epiunits!A$1:C$4000,3,FALSE)</f>
        <v>#N/A</v>
      </c>
      <c r="C262" s="1" t="e">
        <f>VLOOKUP(E262,Inspector!A$1:B$50,2,FALSE)</f>
        <v>#N/A</v>
      </c>
      <c r="I262" s="1" t="e">
        <f>VLOOKUP(D262,epiunits!A$1:J$4000,6,FALSE)</f>
        <v>#N/A</v>
      </c>
      <c r="J262" s="1" t="e">
        <f>VLOOKUP(D262,epiunits!A$1:J$4000,7,FALSE)</f>
        <v>#N/A</v>
      </c>
      <c r="K262" s="1" t="e">
        <f>VLOOKUP(D262,epiunits!A$1:J$4000,8,FALSE)</f>
        <v>#N/A</v>
      </c>
      <c r="L262" s="1" t="e">
        <f>VLOOKUP(D262,epiunits!A$1:J$4000,9,FALSE)</f>
        <v>#N/A</v>
      </c>
      <c r="M262" s="1" t="e">
        <f>VLOOKUP(D262,epiunits!A$1:J$4000,10,FALSE)</f>
        <v>#N/A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</row>
    <row r="263" spans="1:51" x14ac:dyDescent="0.25">
      <c r="A263" s="1" t="e">
        <f>VLOOKUP(D263,epiunits!A$1:C$4000,2,FALSE)</f>
        <v>#N/A</v>
      </c>
      <c r="B263" s="1" t="e">
        <f>VLOOKUP(D263,epiunits!A$1:C$4000,3,FALSE)</f>
        <v>#N/A</v>
      </c>
      <c r="C263" s="1" t="e">
        <f>VLOOKUP(E263,Inspector!A$1:B$50,2,FALSE)</f>
        <v>#N/A</v>
      </c>
      <c r="I263" s="1" t="e">
        <f>VLOOKUP(D263,epiunits!A$1:J$4000,6,FALSE)</f>
        <v>#N/A</v>
      </c>
      <c r="J263" s="1" t="e">
        <f>VLOOKUP(D263,epiunits!A$1:J$4000,7,FALSE)</f>
        <v>#N/A</v>
      </c>
      <c r="K263" s="1" t="e">
        <f>VLOOKUP(D263,epiunits!A$1:J$4000,8,FALSE)</f>
        <v>#N/A</v>
      </c>
      <c r="L263" s="1" t="e">
        <f>VLOOKUP(D263,epiunits!A$1:J$4000,9,FALSE)</f>
        <v>#N/A</v>
      </c>
      <c r="M263" s="1" t="e">
        <f>VLOOKUP(D263,epiunits!A$1:J$4000,10,FALSE)</f>
        <v>#N/A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</row>
    <row r="264" spans="1:51" x14ac:dyDescent="0.25">
      <c r="A264" s="1" t="e">
        <f>VLOOKUP(D264,epiunits!A$1:C$4000,2,FALSE)</f>
        <v>#N/A</v>
      </c>
      <c r="B264" s="1" t="e">
        <f>VLOOKUP(D264,epiunits!A$1:C$4000,3,FALSE)</f>
        <v>#N/A</v>
      </c>
      <c r="C264" s="1" t="e">
        <f>VLOOKUP(E264,Inspector!A$1:B$50,2,FALSE)</f>
        <v>#N/A</v>
      </c>
      <c r="I264" s="1" t="e">
        <f>VLOOKUP(D264,epiunits!A$1:J$4000,6,FALSE)</f>
        <v>#N/A</v>
      </c>
      <c r="J264" s="1" t="e">
        <f>VLOOKUP(D264,epiunits!A$1:J$4000,7,FALSE)</f>
        <v>#N/A</v>
      </c>
      <c r="K264" s="1" t="e">
        <f>VLOOKUP(D264,epiunits!A$1:J$4000,8,FALSE)</f>
        <v>#N/A</v>
      </c>
      <c r="L264" s="1" t="e">
        <f>VLOOKUP(D264,epiunits!A$1:J$4000,9,FALSE)</f>
        <v>#N/A</v>
      </c>
      <c r="M264" s="1" t="e">
        <f>VLOOKUP(D264,epiunits!A$1:J$4000,10,FALSE)</f>
        <v>#N/A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</row>
    <row r="265" spans="1:51" x14ac:dyDescent="0.25">
      <c r="A265" s="1" t="e">
        <f>VLOOKUP(D265,epiunits!A$1:C$4000,2,FALSE)</f>
        <v>#N/A</v>
      </c>
      <c r="B265" s="1" t="e">
        <f>VLOOKUP(D265,epiunits!A$1:C$4000,3,FALSE)</f>
        <v>#N/A</v>
      </c>
      <c r="C265" s="1" t="e">
        <f>VLOOKUP(E265,Inspector!A$1:B$50,2,FALSE)</f>
        <v>#N/A</v>
      </c>
      <c r="I265" s="1" t="e">
        <f>VLOOKUP(D265,epiunits!A$1:J$4000,6,FALSE)</f>
        <v>#N/A</v>
      </c>
      <c r="J265" s="1" t="e">
        <f>VLOOKUP(D265,epiunits!A$1:J$4000,7,FALSE)</f>
        <v>#N/A</v>
      </c>
      <c r="K265" s="1" t="e">
        <f>VLOOKUP(D265,epiunits!A$1:J$4000,8,FALSE)</f>
        <v>#N/A</v>
      </c>
      <c r="L265" s="1" t="e">
        <f>VLOOKUP(D265,epiunits!A$1:J$4000,9,FALSE)</f>
        <v>#N/A</v>
      </c>
      <c r="M265" s="1" t="e">
        <f>VLOOKUP(D265,epiunits!A$1:J$4000,10,FALSE)</f>
        <v>#N/A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</row>
    <row r="266" spans="1:51" x14ac:dyDescent="0.25">
      <c r="A266" s="1" t="e">
        <f>VLOOKUP(D266,epiunits!A$1:C$4000,2,FALSE)</f>
        <v>#N/A</v>
      </c>
      <c r="B266" s="1" t="e">
        <f>VLOOKUP(D266,epiunits!A$1:C$4000,3,FALSE)</f>
        <v>#N/A</v>
      </c>
      <c r="C266" s="1" t="e">
        <f>VLOOKUP(E266,Inspector!A$1:B$50,2,FALSE)</f>
        <v>#N/A</v>
      </c>
      <c r="I266" s="1" t="e">
        <f>VLOOKUP(D266,epiunits!A$1:J$4000,6,FALSE)</f>
        <v>#N/A</v>
      </c>
      <c r="J266" s="1" t="e">
        <f>VLOOKUP(D266,epiunits!A$1:J$4000,7,FALSE)</f>
        <v>#N/A</v>
      </c>
      <c r="K266" s="1" t="e">
        <f>VLOOKUP(D266,epiunits!A$1:J$4000,8,FALSE)</f>
        <v>#N/A</v>
      </c>
      <c r="L266" s="1" t="e">
        <f>VLOOKUP(D266,epiunits!A$1:J$4000,9,FALSE)</f>
        <v>#N/A</v>
      </c>
      <c r="M266" s="1" t="e">
        <f>VLOOKUP(D266,epiunits!A$1:J$4000,10,FALSE)</f>
        <v>#N/A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</row>
    <row r="267" spans="1:51" x14ac:dyDescent="0.25">
      <c r="A267" s="1" t="e">
        <f>VLOOKUP(D267,epiunits!A$1:C$4000,2,FALSE)</f>
        <v>#N/A</v>
      </c>
      <c r="B267" s="1" t="e">
        <f>VLOOKUP(D267,epiunits!A$1:C$4000,3,FALSE)</f>
        <v>#N/A</v>
      </c>
      <c r="C267" s="1" t="e">
        <f>VLOOKUP(E267,Inspector!A$1:B$50,2,FALSE)</f>
        <v>#N/A</v>
      </c>
      <c r="I267" s="1" t="e">
        <f>VLOOKUP(D267,epiunits!A$1:J$4000,6,FALSE)</f>
        <v>#N/A</v>
      </c>
      <c r="J267" s="1" t="e">
        <f>VLOOKUP(D267,epiunits!A$1:J$4000,7,FALSE)</f>
        <v>#N/A</v>
      </c>
      <c r="K267" s="1" t="e">
        <f>VLOOKUP(D267,epiunits!A$1:J$4000,8,FALSE)</f>
        <v>#N/A</v>
      </c>
      <c r="L267" s="1" t="e">
        <f>VLOOKUP(D267,epiunits!A$1:J$4000,9,FALSE)</f>
        <v>#N/A</v>
      </c>
      <c r="M267" s="1" t="e">
        <f>VLOOKUP(D267,epiunits!A$1:J$4000,10,FALSE)</f>
        <v>#N/A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</row>
    <row r="268" spans="1:51" x14ac:dyDescent="0.25">
      <c r="A268" s="1" t="e">
        <f>VLOOKUP(D268,epiunits!A$1:C$4000,2,FALSE)</f>
        <v>#N/A</v>
      </c>
      <c r="B268" s="1" t="e">
        <f>VLOOKUP(D268,epiunits!A$1:C$4000,3,FALSE)</f>
        <v>#N/A</v>
      </c>
      <c r="C268" s="1" t="e">
        <f>VLOOKUP(E268,Inspector!A$1:B$50,2,FALSE)</f>
        <v>#N/A</v>
      </c>
      <c r="I268" s="1" t="e">
        <f>VLOOKUP(D268,epiunits!A$1:J$4000,6,FALSE)</f>
        <v>#N/A</v>
      </c>
      <c r="J268" s="1" t="e">
        <f>VLOOKUP(D268,epiunits!A$1:J$4000,7,FALSE)</f>
        <v>#N/A</v>
      </c>
      <c r="K268" s="1" t="e">
        <f>VLOOKUP(D268,epiunits!A$1:J$4000,8,FALSE)</f>
        <v>#N/A</v>
      </c>
      <c r="L268" s="1" t="e">
        <f>VLOOKUP(D268,epiunits!A$1:J$4000,9,FALSE)</f>
        <v>#N/A</v>
      </c>
      <c r="M268" s="1" t="e">
        <f>VLOOKUP(D268,epiunits!A$1:J$4000,10,FALSE)</f>
        <v>#N/A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</row>
    <row r="269" spans="1:51" x14ac:dyDescent="0.25">
      <c r="A269" s="1" t="e">
        <f>VLOOKUP(D269,epiunits!A$1:C$4000,2,FALSE)</f>
        <v>#N/A</v>
      </c>
      <c r="B269" s="1" t="e">
        <f>VLOOKUP(D269,epiunits!A$1:C$4000,3,FALSE)</f>
        <v>#N/A</v>
      </c>
      <c r="C269" s="1" t="e">
        <f>VLOOKUP(E269,Inspector!A$1:B$50,2,FALSE)</f>
        <v>#N/A</v>
      </c>
      <c r="I269" s="1" t="e">
        <f>VLOOKUP(D269,epiunits!A$1:J$4000,6,FALSE)</f>
        <v>#N/A</v>
      </c>
      <c r="J269" s="1" t="e">
        <f>VLOOKUP(D269,epiunits!A$1:J$4000,7,FALSE)</f>
        <v>#N/A</v>
      </c>
      <c r="K269" s="1" t="e">
        <f>VLOOKUP(D269,epiunits!A$1:J$4000,8,FALSE)</f>
        <v>#N/A</v>
      </c>
      <c r="L269" s="1" t="e">
        <f>VLOOKUP(D269,epiunits!A$1:J$4000,9,FALSE)</f>
        <v>#N/A</v>
      </c>
      <c r="M269" s="1" t="e">
        <f>VLOOKUP(D269,epiunits!A$1:J$4000,10,FALSE)</f>
        <v>#N/A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</row>
    <row r="270" spans="1:51" x14ac:dyDescent="0.25">
      <c r="A270" s="1" t="e">
        <f>VLOOKUP(D270,epiunits!A$1:C$4000,2,FALSE)</f>
        <v>#N/A</v>
      </c>
      <c r="B270" s="1" t="e">
        <f>VLOOKUP(D270,epiunits!A$1:C$4000,3,FALSE)</f>
        <v>#N/A</v>
      </c>
      <c r="C270" s="1" t="e">
        <f>VLOOKUP(E270,Inspector!A$1:B$50,2,FALSE)</f>
        <v>#N/A</v>
      </c>
      <c r="I270" s="1" t="e">
        <f>VLOOKUP(D270,epiunits!A$1:J$4000,6,FALSE)</f>
        <v>#N/A</v>
      </c>
      <c r="J270" s="1" t="e">
        <f>VLOOKUP(D270,epiunits!A$1:J$4000,7,FALSE)</f>
        <v>#N/A</v>
      </c>
      <c r="K270" s="1" t="e">
        <f>VLOOKUP(D270,epiunits!A$1:J$4000,8,FALSE)</f>
        <v>#N/A</v>
      </c>
      <c r="L270" s="1" t="e">
        <f>VLOOKUP(D270,epiunits!A$1:J$4000,9,FALSE)</f>
        <v>#N/A</v>
      </c>
      <c r="M270" s="1" t="e">
        <f>VLOOKUP(D270,epiunits!A$1:J$4000,10,FALSE)</f>
        <v>#N/A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</row>
    <row r="271" spans="1:51" x14ac:dyDescent="0.25">
      <c r="A271" s="1" t="e">
        <f>VLOOKUP(D271,epiunits!A$1:C$4000,2,FALSE)</f>
        <v>#N/A</v>
      </c>
      <c r="B271" s="1" t="e">
        <f>VLOOKUP(D271,epiunits!A$1:C$4000,3,FALSE)</f>
        <v>#N/A</v>
      </c>
      <c r="C271" s="1" t="e">
        <f>VLOOKUP(E271,Inspector!A$1:B$50,2,FALSE)</f>
        <v>#N/A</v>
      </c>
      <c r="I271" s="1" t="e">
        <f>VLOOKUP(D271,epiunits!A$1:J$4000,6,FALSE)</f>
        <v>#N/A</v>
      </c>
      <c r="J271" s="1" t="e">
        <f>VLOOKUP(D271,epiunits!A$1:J$4000,7,FALSE)</f>
        <v>#N/A</v>
      </c>
      <c r="K271" s="1" t="e">
        <f>VLOOKUP(D271,epiunits!A$1:J$4000,8,FALSE)</f>
        <v>#N/A</v>
      </c>
      <c r="L271" s="1" t="e">
        <f>VLOOKUP(D271,epiunits!A$1:J$4000,9,FALSE)</f>
        <v>#N/A</v>
      </c>
      <c r="M271" s="1" t="e">
        <f>VLOOKUP(D271,epiunits!A$1:J$4000,10,FALSE)</f>
        <v>#N/A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</row>
    <row r="272" spans="1:51" x14ac:dyDescent="0.25">
      <c r="A272" s="1" t="e">
        <f>VLOOKUP(D272,epiunits!A$1:C$4000,2,FALSE)</f>
        <v>#N/A</v>
      </c>
      <c r="B272" s="1" t="e">
        <f>VLOOKUP(D272,epiunits!A$1:C$4000,3,FALSE)</f>
        <v>#N/A</v>
      </c>
      <c r="C272" s="1" t="e">
        <f>VLOOKUP(E272,Inspector!A$1:B$50,2,FALSE)</f>
        <v>#N/A</v>
      </c>
      <c r="I272" s="1" t="e">
        <f>VLOOKUP(D272,epiunits!A$1:J$4000,6,FALSE)</f>
        <v>#N/A</v>
      </c>
      <c r="J272" s="1" t="e">
        <f>VLOOKUP(D272,epiunits!A$1:J$4000,7,FALSE)</f>
        <v>#N/A</v>
      </c>
      <c r="K272" s="1" t="e">
        <f>VLOOKUP(D272,epiunits!A$1:J$4000,8,FALSE)</f>
        <v>#N/A</v>
      </c>
      <c r="L272" s="1" t="e">
        <f>VLOOKUP(D272,epiunits!A$1:J$4000,9,FALSE)</f>
        <v>#N/A</v>
      </c>
      <c r="M272" s="1" t="e">
        <f>VLOOKUP(D272,epiunits!A$1:J$4000,10,FALSE)</f>
        <v>#N/A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</row>
    <row r="273" spans="1:51" x14ac:dyDescent="0.25">
      <c r="A273" s="1" t="e">
        <f>VLOOKUP(D273,epiunits!A$1:C$4000,2,FALSE)</f>
        <v>#N/A</v>
      </c>
      <c r="B273" s="1" t="e">
        <f>VLOOKUP(D273,epiunits!A$1:C$4000,3,FALSE)</f>
        <v>#N/A</v>
      </c>
      <c r="C273" s="1" t="e">
        <f>VLOOKUP(E273,Inspector!A$1:B$50,2,FALSE)</f>
        <v>#N/A</v>
      </c>
      <c r="I273" s="1" t="e">
        <f>VLOOKUP(D273,epiunits!A$1:J$4000,6,FALSE)</f>
        <v>#N/A</v>
      </c>
      <c r="J273" s="1" t="e">
        <f>VLOOKUP(D273,epiunits!A$1:J$4000,7,FALSE)</f>
        <v>#N/A</v>
      </c>
      <c r="K273" s="1" t="e">
        <f>VLOOKUP(D273,epiunits!A$1:J$4000,8,FALSE)</f>
        <v>#N/A</v>
      </c>
      <c r="L273" s="1" t="e">
        <f>VLOOKUP(D273,epiunits!A$1:J$4000,9,FALSE)</f>
        <v>#N/A</v>
      </c>
      <c r="M273" s="1" t="e">
        <f>VLOOKUP(D273,epiunits!A$1:J$4000,10,FALSE)</f>
        <v>#N/A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</row>
    <row r="274" spans="1:51" x14ac:dyDescent="0.25">
      <c r="A274" s="1" t="e">
        <f>VLOOKUP(D274,epiunits!A$1:C$4000,2,FALSE)</f>
        <v>#N/A</v>
      </c>
      <c r="B274" s="1" t="e">
        <f>VLOOKUP(D274,epiunits!A$1:C$4000,3,FALSE)</f>
        <v>#N/A</v>
      </c>
      <c r="C274" s="1" t="e">
        <f>VLOOKUP(E274,Inspector!A$1:B$50,2,FALSE)</f>
        <v>#N/A</v>
      </c>
      <c r="I274" s="1" t="e">
        <f>VLOOKUP(D274,epiunits!A$1:J$4000,6,FALSE)</f>
        <v>#N/A</v>
      </c>
      <c r="J274" s="1" t="e">
        <f>VLOOKUP(D274,epiunits!A$1:J$4000,7,FALSE)</f>
        <v>#N/A</v>
      </c>
      <c r="K274" s="1" t="e">
        <f>VLOOKUP(D274,epiunits!A$1:J$4000,8,FALSE)</f>
        <v>#N/A</v>
      </c>
      <c r="L274" s="1" t="e">
        <f>VLOOKUP(D274,epiunits!A$1:J$4000,9,FALSE)</f>
        <v>#N/A</v>
      </c>
      <c r="M274" s="1" t="e">
        <f>VLOOKUP(D274,epiunits!A$1:J$4000,10,FALSE)</f>
        <v>#N/A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</row>
    <row r="275" spans="1:51" x14ac:dyDescent="0.25">
      <c r="A275" s="1" t="e">
        <f>VLOOKUP(D275,epiunits!A$1:C$4000,2,FALSE)</f>
        <v>#N/A</v>
      </c>
      <c r="B275" s="1" t="e">
        <f>VLOOKUP(D275,epiunits!A$1:C$4000,3,FALSE)</f>
        <v>#N/A</v>
      </c>
      <c r="C275" s="1" t="e">
        <f>VLOOKUP(E275,Inspector!A$1:B$50,2,FALSE)</f>
        <v>#N/A</v>
      </c>
      <c r="I275" s="1" t="e">
        <f>VLOOKUP(D275,epiunits!A$1:J$4000,6,FALSE)</f>
        <v>#N/A</v>
      </c>
      <c r="J275" s="1" t="e">
        <f>VLOOKUP(D275,epiunits!A$1:J$4000,7,FALSE)</f>
        <v>#N/A</v>
      </c>
      <c r="K275" s="1" t="e">
        <f>VLOOKUP(D275,epiunits!A$1:J$4000,8,FALSE)</f>
        <v>#N/A</v>
      </c>
      <c r="L275" s="1" t="e">
        <f>VLOOKUP(D275,epiunits!A$1:J$4000,9,FALSE)</f>
        <v>#N/A</v>
      </c>
      <c r="M275" s="1" t="e">
        <f>VLOOKUP(D275,epiunits!A$1:J$4000,10,FALSE)</f>
        <v>#N/A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</row>
    <row r="276" spans="1:51" x14ac:dyDescent="0.25">
      <c r="A276" s="1" t="e">
        <f>VLOOKUP(D276,epiunits!A$1:C$4000,2,FALSE)</f>
        <v>#N/A</v>
      </c>
      <c r="B276" s="1" t="e">
        <f>VLOOKUP(D276,epiunits!A$1:C$4000,3,FALSE)</f>
        <v>#N/A</v>
      </c>
      <c r="C276" s="1" t="e">
        <f>VLOOKUP(E276,Inspector!A$1:B$50,2,FALSE)</f>
        <v>#N/A</v>
      </c>
      <c r="I276" s="1" t="e">
        <f>VLOOKUP(D276,epiunits!A$1:J$4000,6,FALSE)</f>
        <v>#N/A</v>
      </c>
      <c r="J276" s="1" t="e">
        <f>VLOOKUP(D276,epiunits!A$1:J$4000,7,FALSE)</f>
        <v>#N/A</v>
      </c>
      <c r="K276" s="1" t="e">
        <f>VLOOKUP(D276,epiunits!A$1:J$4000,8,FALSE)</f>
        <v>#N/A</v>
      </c>
      <c r="L276" s="1" t="e">
        <f>VLOOKUP(D276,epiunits!A$1:J$4000,9,FALSE)</f>
        <v>#N/A</v>
      </c>
      <c r="M276" s="1" t="e">
        <f>VLOOKUP(D276,epiunits!A$1:J$4000,10,FALSE)</f>
        <v>#N/A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</row>
    <row r="277" spans="1:51" x14ac:dyDescent="0.25">
      <c r="A277" s="1" t="e">
        <f>VLOOKUP(D277,epiunits!A$1:C$4000,2,FALSE)</f>
        <v>#N/A</v>
      </c>
      <c r="B277" s="1" t="e">
        <f>VLOOKUP(D277,epiunits!A$1:C$4000,3,FALSE)</f>
        <v>#N/A</v>
      </c>
      <c r="C277" s="1" t="e">
        <f>VLOOKUP(E277,Inspector!A$1:B$50,2,FALSE)</f>
        <v>#N/A</v>
      </c>
      <c r="I277" s="1" t="e">
        <f>VLOOKUP(D277,epiunits!A$1:J$4000,6,FALSE)</f>
        <v>#N/A</v>
      </c>
      <c r="J277" s="1" t="e">
        <f>VLOOKUP(D277,epiunits!A$1:J$4000,7,FALSE)</f>
        <v>#N/A</v>
      </c>
      <c r="K277" s="1" t="e">
        <f>VLOOKUP(D277,epiunits!A$1:J$4000,8,FALSE)</f>
        <v>#N/A</v>
      </c>
      <c r="L277" s="1" t="e">
        <f>VLOOKUP(D277,epiunits!A$1:J$4000,9,FALSE)</f>
        <v>#N/A</v>
      </c>
      <c r="M277" s="1" t="e">
        <f>VLOOKUP(D277,epiunits!A$1:J$4000,10,FALSE)</f>
        <v>#N/A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</row>
    <row r="278" spans="1:51" x14ac:dyDescent="0.25">
      <c r="A278" s="1" t="e">
        <f>VLOOKUP(D278,epiunits!A$1:C$4000,2,FALSE)</f>
        <v>#N/A</v>
      </c>
      <c r="B278" s="1" t="e">
        <f>VLOOKUP(D278,epiunits!A$1:C$4000,3,FALSE)</f>
        <v>#N/A</v>
      </c>
      <c r="C278" s="1" t="e">
        <f>VLOOKUP(E278,Inspector!A$1:B$50,2,FALSE)</f>
        <v>#N/A</v>
      </c>
      <c r="I278" s="1" t="e">
        <f>VLOOKUP(D278,epiunits!A$1:J$4000,6,FALSE)</f>
        <v>#N/A</v>
      </c>
      <c r="J278" s="1" t="e">
        <f>VLOOKUP(D278,epiunits!A$1:J$4000,7,FALSE)</f>
        <v>#N/A</v>
      </c>
      <c r="K278" s="1" t="e">
        <f>VLOOKUP(D278,epiunits!A$1:J$4000,8,FALSE)</f>
        <v>#N/A</v>
      </c>
      <c r="L278" s="1" t="e">
        <f>VLOOKUP(D278,epiunits!A$1:J$4000,9,FALSE)</f>
        <v>#N/A</v>
      </c>
      <c r="M278" s="1" t="e">
        <f>VLOOKUP(D278,epiunits!A$1:J$4000,10,FALSE)</f>
        <v>#N/A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</row>
    <row r="279" spans="1:51" x14ac:dyDescent="0.25">
      <c r="A279" s="1" t="e">
        <f>VLOOKUP(D279,epiunits!A$1:C$4000,2,FALSE)</f>
        <v>#N/A</v>
      </c>
      <c r="B279" s="1" t="e">
        <f>VLOOKUP(D279,epiunits!A$1:C$4000,3,FALSE)</f>
        <v>#N/A</v>
      </c>
      <c r="C279" s="1" t="e">
        <f>VLOOKUP(E279,Inspector!A$1:B$50,2,FALSE)</f>
        <v>#N/A</v>
      </c>
      <c r="I279" s="1" t="e">
        <f>VLOOKUP(D279,epiunits!A$1:J$4000,6,FALSE)</f>
        <v>#N/A</v>
      </c>
      <c r="J279" s="1" t="e">
        <f>VLOOKUP(D279,epiunits!A$1:J$4000,7,FALSE)</f>
        <v>#N/A</v>
      </c>
      <c r="K279" s="1" t="e">
        <f>VLOOKUP(D279,epiunits!A$1:J$4000,8,FALSE)</f>
        <v>#N/A</v>
      </c>
      <c r="L279" s="1" t="e">
        <f>VLOOKUP(D279,epiunits!A$1:J$4000,9,FALSE)</f>
        <v>#N/A</v>
      </c>
      <c r="M279" s="1" t="e">
        <f>VLOOKUP(D279,epiunits!A$1:J$4000,10,FALSE)</f>
        <v>#N/A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</row>
    <row r="280" spans="1:51" x14ac:dyDescent="0.25">
      <c r="A280" s="1" t="e">
        <f>VLOOKUP(D280,epiunits!A$1:C$4000,2,FALSE)</f>
        <v>#N/A</v>
      </c>
      <c r="B280" s="1" t="e">
        <f>VLOOKUP(D280,epiunits!A$1:C$4000,3,FALSE)</f>
        <v>#N/A</v>
      </c>
      <c r="C280" s="1" t="e">
        <f>VLOOKUP(E280,Inspector!A$1:B$50,2,FALSE)</f>
        <v>#N/A</v>
      </c>
      <c r="I280" s="1" t="e">
        <f>VLOOKUP(D280,epiunits!A$1:J$4000,6,FALSE)</f>
        <v>#N/A</v>
      </c>
      <c r="J280" s="1" t="e">
        <f>VLOOKUP(D280,epiunits!A$1:J$4000,7,FALSE)</f>
        <v>#N/A</v>
      </c>
      <c r="K280" s="1" t="e">
        <f>VLOOKUP(D280,epiunits!A$1:J$4000,8,FALSE)</f>
        <v>#N/A</v>
      </c>
      <c r="L280" s="1" t="e">
        <f>VLOOKUP(D280,epiunits!A$1:J$4000,9,FALSE)</f>
        <v>#N/A</v>
      </c>
      <c r="M280" s="1" t="e">
        <f>VLOOKUP(D280,epiunits!A$1:J$4000,10,FALSE)</f>
        <v>#N/A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</row>
    <row r="281" spans="1:51" x14ac:dyDescent="0.25">
      <c r="A281" s="1" t="e">
        <f>VLOOKUP(D281,epiunits!A$1:C$4000,2,FALSE)</f>
        <v>#N/A</v>
      </c>
      <c r="B281" s="1" t="e">
        <f>VLOOKUP(D281,epiunits!A$1:C$4000,3,FALSE)</f>
        <v>#N/A</v>
      </c>
      <c r="C281" s="1" t="e">
        <f>VLOOKUP(E281,Inspector!A$1:B$50,2,FALSE)</f>
        <v>#N/A</v>
      </c>
      <c r="I281" s="1" t="e">
        <f>VLOOKUP(D281,epiunits!A$1:J$4000,6,FALSE)</f>
        <v>#N/A</v>
      </c>
      <c r="J281" s="1" t="e">
        <f>VLOOKUP(D281,epiunits!A$1:J$4000,7,FALSE)</f>
        <v>#N/A</v>
      </c>
      <c r="K281" s="1" t="e">
        <f>VLOOKUP(D281,epiunits!A$1:J$4000,8,FALSE)</f>
        <v>#N/A</v>
      </c>
      <c r="L281" s="1" t="e">
        <f>VLOOKUP(D281,epiunits!A$1:J$4000,9,FALSE)</f>
        <v>#N/A</v>
      </c>
      <c r="M281" s="1" t="e">
        <f>VLOOKUP(D281,epiunits!A$1:J$4000,10,FALSE)</f>
        <v>#N/A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</row>
    <row r="282" spans="1:51" x14ac:dyDescent="0.25">
      <c r="A282" s="1" t="e">
        <f>VLOOKUP(D282,epiunits!A$1:C$4000,2,FALSE)</f>
        <v>#N/A</v>
      </c>
      <c r="B282" s="1" t="e">
        <f>VLOOKUP(D282,epiunits!A$1:C$4000,3,FALSE)</f>
        <v>#N/A</v>
      </c>
      <c r="C282" s="1" t="e">
        <f>VLOOKUP(E282,Inspector!A$1:B$50,2,FALSE)</f>
        <v>#N/A</v>
      </c>
      <c r="I282" s="1" t="e">
        <f>VLOOKUP(D282,epiunits!A$1:J$4000,6,FALSE)</f>
        <v>#N/A</v>
      </c>
      <c r="J282" s="1" t="e">
        <f>VLOOKUP(D282,epiunits!A$1:J$4000,7,FALSE)</f>
        <v>#N/A</v>
      </c>
      <c r="K282" s="1" t="e">
        <f>VLOOKUP(D282,epiunits!A$1:J$4000,8,FALSE)</f>
        <v>#N/A</v>
      </c>
      <c r="L282" s="1" t="e">
        <f>VLOOKUP(D282,epiunits!A$1:J$4000,9,FALSE)</f>
        <v>#N/A</v>
      </c>
      <c r="M282" s="1" t="e">
        <f>VLOOKUP(D282,epiunits!A$1:J$4000,10,FALSE)</f>
        <v>#N/A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</row>
    <row r="283" spans="1:51" x14ac:dyDescent="0.25">
      <c r="A283" s="1" t="e">
        <f>VLOOKUP(D283,epiunits!A$1:C$4000,2,FALSE)</f>
        <v>#N/A</v>
      </c>
      <c r="B283" s="1" t="e">
        <f>VLOOKUP(D283,epiunits!A$1:C$4000,3,FALSE)</f>
        <v>#N/A</v>
      </c>
      <c r="C283" s="1" t="e">
        <f>VLOOKUP(E283,Inspector!A$1:B$50,2,FALSE)</f>
        <v>#N/A</v>
      </c>
      <c r="I283" s="1" t="e">
        <f>VLOOKUP(D283,epiunits!A$1:J$4000,6,FALSE)</f>
        <v>#N/A</v>
      </c>
      <c r="J283" s="1" t="e">
        <f>VLOOKUP(D283,epiunits!A$1:J$4000,7,FALSE)</f>
        <v>#N/A</v>
      </c>
      <c r="K283" s="1" t="e">
        <f>VLOOKUP(D283,epiunits!A$1:J$4000,8,FALSE)</f>
        <v>#N/A</v>
      </c>
      <c r="L283" s="1" t="e">
        <f>VLOOKUP(D283,epiunits!A$1:J$4000,9,FALSE)</f>
        <v>#N/A</v>
      </c>
      <c r="M283" s="1" t="e">
        <f>VLOOKUP(D283,epiunits!A$1:J$4000,10,FALSE)</f>
        <v>#N/A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</row>
    <row r="284" spans="1:51" x14ac:dyDescent="0.25">
      <c r="A284" s="1" t="e">
        <f>VLOOKUP(D284,epiunits!A$1:C$4000,2,FALSE)</f>
        <v>#N/A</v>
      </c>
      <c r="B284" s="1" t="e">
        <f>VLOOKUP(D284,epiunits!A$1:C$4000,3,FALSE)</f>
        <v>#N/A</v>
      </c>
      <c r="C284" s="1" t="e">
        <f>VLOOKUP(E284,Inspector!A$1:B$50,2,FALSE)</f>
        <v>#N/A</v>
      </c>
      <c r="I284" s="1" t="e">
        <f>VLOOKUP(D284,epiunits!A$1:J$4000,6,FALSE)</f>
        <v>#N/A</v>
      </c>
      <c r="J284" s="1" t="e">
        <f>VLOOKUP(D284,epiunits!A$1:J$4000,7,FALSE)</f>
        <v>#N/A</v>
      </c>
      <c r="K284" s="1" t="e">
        <f>VLOOKUP(D284,epiunits!A$1:J$4000,8,FALSE)</f>
        <v>#N/A</v>
      </c>
      <c r="L284" s="1" t="e">
        <f>VLOOKUP(D284,epiunits!A$1:J$4000,9,FALSE)</f>
        <v>#N/A</v>
      </c>
      <c r="M284" s="1" t="e">
        <f>VLOOKUP(D284,epiunits!A$1:J$4000,10,FALSE)</f>
        <v>#N/A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 x14ac:dyDescent="0.25">
      <c r="A285" s="1" t="e">
        <f>VLOOKUP(D285,epiunits!A$1:C$4000,2,FALSE)</f>
        <v>#N/A</v>
      </c>
      <c r="B285" s="1" t="e">
        <f>VLOOKUP(D285,epiunits!A$1:C$4000,3,FALSE)</f>
        <v>#N/A</v>
      </c>
      <c r="C285" s="1" t="e">
        <f>VLOOKUP(E285,Inspector!A$1:B$50,2,FALSE)</f>
        <v>#N/A</v>
      </c>
      <c r="I285" s="1" t="e">
        <f>VLOOKUP(D285,epiunits!A$1:J$4000,6,FALSE)</f>
        <v>#N/A</v>
      </c>
      <c r="J285" s="1" t="e">
        <f>VLOOKUP(D285,epiunits!A$1:J$4000,7,FALSE)</f>
        <v>#N/A</v>
      </c>
      <c r="K285" s="1" t="e">
        <f>VLOOKUP(D285,epiunits!A$1:J$4000,8,FALSE)</f>
        <v>#N/A</v>
      </c>
      <c r="L285" s="1" t="e">
        <f>VLOOKUP(D285,epiunits!A$1:J$4000,9,FALSE)</f>
        <v>#N/A</v>
      </c>
      <c r="M285" s="1" t="e">
        <f>VLOOKUP(D285,epiunits!A$1:J$4000,10,FALSE)</f>
        <v>#N/A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s="1" t="e">
        <f>VLOOKUP(D286,epiunits!A$1:C$4000,2,FALSE)</f>
        <v>#N/A</v>
      </c>
      <c r="B286" s="1" t="e">
        <f>VLOOKUP(D286,epiunits!A$1:C$4000,3,FALSE)</f>
        <v>#N/A</v>
      </c>
      <c r="C286" s="1" t="e">
        <f>VLOOKUP(E286,Inspector!A$1:B$50,2,FALSE)</f>
        <v>#N/A</v>
      </c>
      <c r="I286" s="1" t="e">
        <f>VLOOKUP(D286,epiunits!A$1:J$4000,6,FALSE)</f>
        <v>#N/A</v>
      </c>
      <c r="J286" s="1" t="e">
        <f>VLOOKUP(D286,epiunits!A$1:J$4000,7,FALSE)</f>
        <v>#N/A</v>
      </c>
      <c r="K286" s="1" t="e">
        <f>VLOOKUP(D286,epiunits!A$1:J$4000,8,FALSE)</f>
        <v>#N/A</v>
      </c>
      <c r="L286" s="1" t="e">
        <f>VLOOKUP(D286,epiunits!A$1:J$4000,9,FALSE)</f>
        <v>#N/A</v>
      </c>
      <c r="M286" s="1" t="e">
        <f>VLOOKUP(D286,epiunits!A$1:J$4000,10,FALSE)</f>
        <v>#N/A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</row>
    <row r="287" spans="1:51" x14ac:dyDescent="0.25">
      <c r="A287" s="1" t="e">
        <f>VLOOKUP(D287,epiunits!A$1:C$4000,2,FALSE)</f>
        <v>#N/A</v>
      </c>
      <c r="B287" s="1" t="e">
        <f>VLOOKUP(D287,epiunits!A$1:C$4000,3,FALSE)</f>
        <v>#N/A</v>
      </c>
      <c r="C287" s="1" t="e">
        <f>VLOOKUP(E287,Inspector!A$1:B$50,2,FALSE)</f>
        <v>#N/A</v>
      </c>
      <c r="I287" s="1" t="e">
        <f>VLOOKUP(D287,epiunits!A$1:J$4000,6,FALSE)</f>
        <v>#N/A</v>
      </c>
      <c r="J287" s="1" t="e">
        <f>VLOOKUP(D287,epiunits!A$1:J$4000,7,FALSE)</f>
        <v>#N/A</v>
      </c>
      <c r="K287" s="1" t="e">
        <f>VLOOKUP(D287,epiunits!A$1:J$4000,8,FALSE)</f>
        <v>#N/A</v>
      </c>
      <c r="L287" s="1" t="e">
        <f>VLOOKUP(D287,epiunits!A$1:J$4000,9,FALSE)</f>
        <v>#N/A</v>
      </c>
      <c r="M287" s="1" t="e">
        <f>VLOOKUP(D287,epiunits!A$1:J$4000,10,FALSE)</f>
        <v>#N/A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</row>
    <row r="288" spans="1:51" x14ac:dyDescent="0.25">
      <c r="A288" s="1" t="e">
        <f>VLOOKUP(D288,epiunits!A$1:C$4000,2,FALSE)</f>
        <v>#N/A</v>
      </c>
      <c r="B288" s="1" t="e">
        <f>VLOOKUP(D288,epiunits!A$1:C$4000,3,FALSE)</f>
        <v>#N/A</v>
      </c>
      <c r="C288" s="1" t="e">
        <f>VLOOKUP(E288,Inspector!A$1:B$50,2,FALSE)</f>
        <v>#N/A</v>
      </c>
      <c r="I288" s="1" t="e">
        <f>VLOOKUP(D288,epiunits!A$1:J$4000,6,FALSE)</f>
        <v>#N/A</v>
      </c>
      <c r="J288" s="1" t="e">
        <f>VLOOKUP(D288,epiunits!A$1:J$4000,7,FALSE)</f>
        <v>#N/A</v>
      </c>
      <c r="K288" s="1" t="e">
        <f>VLOOKUP(D288,epiunits!A$1:J$4000,8,FALSE)</f>
        <v>#N/A</v>
      </c>
      <c r="L288" s="1" t="e">
        <f>VLOOKUP(D288,epiunits!A$1:J$4000,9,FALSE)</f>
        <v>#N/A</v>
      </c>
      <c r="M288" s="1" t="e">
        <f>VLOOKUP(D288,epiunits!A$1:J$4000,10,FALSE)</f>
        <v>#N/A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</row>
    <row r="289" spans="1:51" x14ac:dyDescent="0.25">
      <c r="A289" s="1" t="e">
        <f>VLOOKUP(D289,epiunits!A$1:C$4000,2,FALSE)</f>
        <v>#N/A</v>
      </c>
      <c r="B289" s="1" t="e">
        <f>VLOOKUP(D289,epiunits!A$1:C$4000,3,FALSE)</f>
        <v>#N/A</v>
      </c>
      <c r="C289" s="1" t="e">
        <f>VLOOKUP(E289,Inspector!A$1:B$50,2,FALSE)</f>
        <v>#N/A</v>
      </c>
      <c r="I289" s="1" t="e">
        <f>VLOOKUP(D289,epiunits!A$1:J$4000,6,FALSE)</f>
        <v>#N/A</v>
      </c>
      <c r="J289" s="1" t="e">
        <f>VLOOKUP(D289,epiunits!A$1:J$4000,7,FALSE)</f>
        <v>#N/A</v>
      </c>
      <c r="K289" s="1" t="e">
        <f>VLOOKUP(D289,epiunits!A$1:J$4000,8,FALSE)</f>
        <v>#N/A</v>
      </c>
      <c r="L289" s="1" t="e">
        <f>VLOOKUP(D289,epiunits!A$1:J$4000,9,FALSE)</f>
        <v>#N/A</v>
      </c>
      <c r="M289" s="1" t="e">
        <f>VLOOKUP(D289,epiunits!A$1:J$4000,10,FALSE)</f>
        <v>#N/A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</row>
    <row r="290" spans="1:51" x14ac:dyDescent="0.25">
      <c r="A290" s="1" t="e">
        <f>VLOOKUP(D290,epiunits!A$1:C$4000,2,FALSE)</f>
        <v>#N/A</v>
      </c>
      <c r="B290" s="1" t="e">
        <f>VLOOKUP(D290,epiunits!A$1:C$4000,3,FALSE)</f>
        <v>#N/A</v>
      </c>
      <c r="C290" s="1" t="e">
        <f>VLOOKUP(E290,Inspector!A$1:B$50,2,FALSE)</f>
        <v>#N/A</v>
      </c>
      <c r="I290" s="1" t="e">
        <f>VLOOKUP(D290,epiunits!A$1:J$4000,6,FALSE)</f>
        <v>#N/A</v>
      </c>
      <c r="J290" s="1" t="e">
        <f>VLOOKUP(D290,epiunits!A$1:J$4000,7,FALSE)</f>
        <v>#N/A</v>
      </c>
      <c r="K290" s="1" t="e">
        <f>VLOOKUP(D290,epiunits!A$1:J$4000,8,FALSE)</f>
        <v>#N/A</v>
      </c>
      <c r="L290" s="1" t="e">
        <f>VLOOKUP(D290,epiunits!A$1:J$4000,9,FALSE)</f>
        <v>#N/A</v>
      </c>
      <c r="M290" s="1" t="e">
        <f>VLOOKUP(D290,epiunits!A$1:J$4000,10,FALSE)</f>
        <v>#N/A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</row>
    <row r="291" spans="1:51" x14ac:dyDescent="0.25">
      <c r="A291" s="1" t="e">
        <f>VLOOKUP(D291,epiunits!A$1:C$4000,2,FALSE)</f>
        <v>#N/A</v>
      </c>
      <c r="B291" s="1" t="e">
        <f>VLOOKUP(D291,epiunits!A$1:C$4000,3,FALSE)</f>
        <v>#N/A</v>
      </c>
      <c r="C291" s="1" t="e">
        <f>VLOOKUP(E291,Inspector!A$1:B$50,2,FALSE)</f>
        <v>#N/A</v>
      </c>
      <c r="I291" s="1" t="e">
        <f>VLOOKUP(D291,epiunits!A$1:J$4000,6,FALSE)</f>
        <v>#N/A</v>
      </c>
      <c r="J291" s="1" t="e">
        <f>VLOOKUP(D291,epiunits!A$1:J$4000,7,FALSE)</f>
        <v>#N/A</v>
      </c>
      <c r="K291" s="1" t="e">
        <f>VLOOKUP(D291,epiunits!A$1:J$4000,8,FALSE)</f>
        <v>#N/A</v>
      </c>
      <c r="L291" s="1" t="e">
        <f>VLOOKUP(D291,epiunits!A$1:J$4000,9,FALSE)</f>
        <v>#N/A</v>
      </c>
      <c r="M291" s="1" t="e">
        <f>VLOOKUP(D291,epiunits!A$1:J$4000,10,FALSE)</f>
        <v>#N/A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</row>
    <row r="292" spans="1:51" x14ac:dyDescent="0.25">
      <c r="A292" s="1" t="e">
        <f>VLOOKUP(D292,epiunits!A$1:C$4000,2,FALSE)</f>
        <v>#N/A</v>
      </c>
      <c r="B292" s="1" t="e">
        <f>VLOOKUP(D292,epiunits!A$1:C$4000,3,FALSE)</f>
        <v>#N/A</v>
      </c>
      <c r="C292" s="1" t="e">
        <f>VLOOKUP(E292,Inspector!A$1:B$50,2,FALSE)</f>
        <v>#N/A</v>
      </c>
      <c r="I292" s="1" t="e">
        <f>VLOOKUP(D292,epiunits!A$1:J$4000,6,FALSE)</f>
        <v>#N/A</v>
      </c>
      <c r="J292" s="1" t="e">
        <f>VLOOKUP(D292,epiunits!A$1:J$4000,7,FALSE)</f>
        <v>#N/A</v>
      </c>
      <c r="K292" s="1" t="e">
        <f>VLOOKUP(D292,epiunits!A$1:J$4000,8,FALSE)</f>
        <v>#N/A</v>
      </c>
      <c r="L292" s="1" t="e">
        <f>VLOOKUP(D292,epiunits!A$1:J$4000,9,FALSE)</f>
        <v>#N/A</v>
      </c>
      <c r="M292" s="1" t="e">
        <f>VLOOKUP(D292,epiunits!A$1:J$4000,10,FALSE)</f>
        <v>#N/A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</row>
    <row r="293" spans="1:51" x14ac:dyDescent="0.25">
      <c r="A293" s="1" t="e">
        <f>VLOOKUP(D293,epiunits!A$1:C$4000,2,FALSE)</f>
        <v>#N/A</v>
      </c>
      <c r="B293" s="1" t="e">
        <f>VLOOKUP(D293,epiunits!A$1:C$4000,3,FALSE)</f>
        <v>#N/A</v>
      </c>
      <c r="C293" s="1" t="e">
        <f>VLOOKUP(E293,Inspector!A$1:B$50,2,FALSE)</f>
        <v>#N/A</v>
      </c>
      <c r="I293" s="1" t="e">
        <f>VLOOKUP(D293,epiunits!A$1:J$4000,6,FALSE)</f>
        <v>#N/A</v>
      </c>
      <c r="J293" s="1" t="e">
        <f>VLOOKUP(D293,epiunits!A$1:J$4000,7,FALSE)</f>
        <v>#N/A</v>
      </c>
      <c r="K293" s="1" t="e">
        <f>VLOOKUP(D293,epiunits!A$1:J$4000,8,FALSE)</f>
        <v>#N/A</v>
      </c>
      <c r="L293" s="1" t="e">
        <f>VLOOKUP(D293,epiunits!A$1:J$4000,9,FALSE)</f>
        <v>#N/A</v>
      </c>
      <c r="M293" s="1" t="e">
        <f>VLOOKUP(D293,epiunits!A$1:J$4000,10,FALSE)</f>
        <v>#N/A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</row>
    <row r="294" spans="1:51" x14ac:dyDescent="0.25">
      <c r="A294" s="1" t="e">
        <f>VLOOKUP(D294,epiunits!A$1:C$4000,2,FALSE)</f>
        <v>#N/A</v>
      </c>
      <c r="B294" s="1" t="e">
        <f>VLOOKUP(D294,epiunits!A$1:C$4000,3,FALSE)</f>
        <v>#N/A</v>
      </c>
      <c r="C294" s="1" t="e">
        <f>VLOOKUP(E294,Inspector!A$1:B$50,2,FALSE)</f>
        <v>#N/A</v>
      </c>
      <c r="I294" s="1" t="e">
        <f>VLOOKUP(D294,epiunits!A$1:J$4000,6,FALSE)</f>
        <v>#N/A</v>
      </c>
      <c r="J294" s="1" t="e">
        <f>VLOOKUP(D294,epiunits!A$1:J$4000,7,FALSE)</f>
        <v>#N/A</v>
      </c>
      <c r="K294" s="1" t="e">
        <f>VLOOKUP(D294,epiunits!A$1:J$4000,8,FALSE)</f>
        <v>#N/A</v>
      </c>
      <c r="L294" s="1" t="e">
        <f>VLOOKUP(D294,epiunits!A$1:J$4000,9,FALSE)</f>
        <v>#N/A</v>
      </c>
      <c r="M294" s="1" t="e">
        <f>VLOOKUP(D294,epiunits!A$1:J$4000,10,FALSE)</f>
        <v>#N/A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</row>
    <row r="295" spans="1:51" x14ac:dyDescent="0.25">
      <c r="A295" s="1" t="e">
        <f>VLOOKUP(D295,epiunits!A$1:C$4000,2,FALSE)</f>
        <v>#N/A</v>
      </c>
      <c r="B295" s="1" t="e">
        <f>VLOOKUP(D295,epiunits!A$1:C$4000,3,FALSE)</f>
        <v>#N/A</v>
      </c>
      <c r="C295" s="1" t="e">
        <f>VLOOKUP(E295,Inspector!A$1:B$50,2,FALSE)</f>
        <v>#N/A</v>
      </c>
      <c r="I295" s="1" t="e">
        <f>VLOOKUP(D295,epiunits!A$1:J$4000,6,FALSE)</f>
        <v>#N/A</v>
      </c>
      <c r="J295" s="1" t="e">
        <f>VLOOKUP(D295,epiunits!A$1:J$4000,7,FALSE)</f>
        <v>#N/A</v>
      </c>
      <c r="K295" s="1" t="e">
        <f>VLOOKUP(D295,epiunits!A$1:J$4000,8,FALSE)</f>
        <v>#N/A</v>
      </c>
      <c r="L295" s="1" t="e">
        <f>VLOOKUP(D295,epiunits!A$1:J$4000,9,FALSE)</f>
        <v>#N/A</v>
      </c>
      <c r="M295" s="1" t="e">
        <f>VLOOKUP(D295,epiunits!A$1:J$4000,10,FALSE)</f>
        <v>#N/A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</row>
    <row r="296" spans="1:51" x14ac:dyDescent="0.25">
      <c r="A296" s="1" t="e">
        <f>VLOOKUP(D296,epiunits!A$1:C$4000,2,FALSE)</f>
        <v>#N/A</v>
      </c>
      <c r="B296" s="1" t="e">
        <f>VLOOKUP(D296,epiunits!A$1:C$4000,3,FALSE)</f>
        <v>#N/A</v>
      </c>
      <c r="C296" s="1" t="e">
        <f>VLOOKUP(E296,Inspector!A$1:B$50,2,FALSE)</f>
        <v>#N/A</v>
      </c>
      <c r="I296" s="1" t="e">
        <f>VLOOKUP(D296,epiunits!A$1:J$4000,6,FALSE)</f>
        <v>#N/A</v>
      </c>
      <c r="J296" s="1" t="e">
        <f>VLOOKUP(D296,epiunits!A$1:J$4000,7,FALSE)</f>
        <v>#N/A</v>
      </c>
      <c r="K296" s="1" t="e">
        <f>VLOOKUP(D296,epiunits!A$1:J$4000,8,FALSE)</f>
        <v>#N/A</v>
      </c>
      <c r="L296" s="1" t="e">
        <f>VLOOKUP(D296,epiunits!A$1:J$4000,9,FALSE)</f>
        <v>#N/A</v>
      </c>
      <c r="M296" s="1" t="e">
        <f>VLOOKUP(D296,epiunits!A$1:J$4000,10,FALSE)</f>
        <v>#N/A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</row>
    <row r="297" spans="1:51" x14ac:dyDescent="0.25">
      <c r="A297" s="1" t="e">
        <f>VLOOKUP(D297,epiunits!A$1:C$4000,2,FALSE)</f>
        <v>#N/A</v>
      </c>
      <c r="B297" s="1" t="e">
        <f>VLOOKUP(D297,epiunits!A$1:C$4000,3,FALSE)</f>
        <v>#N/A</v>
      </c>
      <c r="C297" s="1" t="e">
        <f>VLOOKUP(E297,Inspector!A$1:B$50,2,FALSE)</f>
        <v>#N/A</v>
      </c>
      <c r="I297" s="1" t="e">
        <f>VLOOKUP(D297,epiunits!A$1:J$4000,6,FALSE)</f>
        <v>#N/A</v>
      </c>
      <c r="J297" s="1" t="e">
        <f>VLOOKUP(D297,epiunits!A$1:J$4000,7,FALSE)</f>
        <v>#N/A</v>
      </c>
      <c r="K297" s="1" t="e">
        <f>VLOOKUP(D297,epiunits!A$1:J$4000,8,FALSE)</f>
        <v>#N/A</v>
      </c>
      <c r="L297" s="1" t="e">
        <f>VLOOKUP(D297,epiunits!A$1:J$4000,9,FALSE)</f>
        <v>#N/A</v>
      </c>
      <c r="M297" s="1" t="e">
        <f>VLOOKUP(D297,epiunits!A$1:J$4000,10,FALSE)</f>
        <v>#N/A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</row>
    <row r="298" spans="1:51" x14ac:dyDescent="0.25">
      <c r="A298" s="1" t="e">
        <f>VLOOKUP(D298,epiunits!A$1:C$4000,2,FALSE)</f>
        <v>#N/A</v>
      </c>
      <c r="B298" s="1" t="e">
        <f>VLOOKUP(D298,epiunits!A$1:C$4000,3,FALSE)</f>
        <v>#N/A</v>
      </c>
      <c r="C298" s="1" t="e">
        <f>VLOOKUP(E298,Inspector!A$1:B$50,2,FALSE)</f>
        <v>#N/A</v>
      </c>
      <c r="I298" s="1" t="e">
        <f>VLOOKUP(D298,epiunits!A$1:J$4000,6,FALSE)</f>
        <v>#N/A</v>
      </c>
      <c r="J298" s="1" t="e">
        <f>VLOOKUP(D298,epiunits!A$1:J$4000,7,FALSE)</f>
        <v>#N/A</v>
      </c>
      <c r="K298" s="1" t="e">
        <f>VLOOKUP(D298,epiunits!A$1:J$4000,8,FALSE)</f>
        <v>#N/A</v>
      </c>
      <c r="L298" s="1" t="e">
        <f>VLOOKUP(D298,epiunits!A$1:J$4000,9,FALSE)</f>
        <v>#N/A</v>
      </c>
      <c r="M298" s="1" t="e">
        <f>VLOOKUP(D298,epiunits!A$1:J$4000,10,FALSE)</f>
        <v>#N/A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</row>
    <row r="299" spans="1:51" x14ac:dyDescent="0.25">
      <c r="A299" s="1" t="e">
        <f>VLOOKUP(D299,epiunits!A$1:C$4000,2,FALSE)</f>
        <v>#N/A</v>
      </c>
      <c r="B299" s="1" t="e">
        <f>VLOOKUP(D299,epiunits!A$1:C$4000,3,FALSE)</f>
        <v>#N/A</v>
      </c>
      <c r="C299" s="1" t="e">
        <f>VLOOKUP(E299,Inspector!A$1:B$50,2,FALSE)</f>
        <v>#N/A</v>
      </c>
      <c r="I299" s="1" t="e">
        <f>VLOOKUP(D299,epiunits!A$1:J$4000,6,FALSE)</f>
        <v>#N/A</v>
      </c>
      <c r="J299" s="1" t="e">
        <f>VLOOKUP(D299,epiunits!A$1:J$4000,7,FALSE)</f>
        <v>#N/A</v>
      </c>
      <c r="K299" s="1" t="e">
        <f>VLOOKUP(D299,epiunits!A$1:J$4000,8,FALSE)</f>
        <v>#N/A</v>
      </c>
      <c r="L299" s="1" t="e">
        <f>VLOOKUP(D299,epiunits!A$1:J$4000,9,FALSE)</f>
        <v>#N/A</v>
      </c>
      <c r="M299" s="1" t="e">
        <f>VLOOKUP(D299,epiunits!A$1:J$4000,10,FALSE)</f>
        <v>#N/A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</row>
    <row r="300" spans="1:51" x14ac:dyDescent="0.25">
      <c r="A300" s="1" t="e">
        <f>VLOOKUP(D300,epiunits!A$1:C$4000,2,FALSE)</f>
        <v>#N/A</v>
      </c>
      <c r="B300" s="1" t="e">
        <f>VLOOKUP(D300,epiunits!A$1:C$4000,3,FALSE)</f>
        <v>#N/A</v>
      </c>
      <c r="C300" s="1" t="e">
        <f>VLOOKUP(E300,Inspector!A$1:B$50,2,FALSE)</f>
        <v>#N/A</v>
      </c>
      <c r="I300" s="1" t="e">
        <f>VLOOKUP(D300,epiunits!A$1:J$4000,6,FALSE)</f>
        <v>#N/A</v>
      </c>
      <c r="J300" s="1" t="e">
        <f>VLOOKUP(D300,epiunits!A$1:J$4000,7,FALSE)</f>
        <v>#N/A</v>
      </c>
      <c r="K300" s="1" t="e">
        <f>VLOOKUP(D300,epiunits!A$1:J$4000,8,FALSE)</f>
        <v>#N/A</v>
      </c>
      <c r="L300" s="1" t="e">
        <f>VLOOKUP(D300,epiunits!A$1:J$4000,9,FALSE)</f>
        <v>#N/A</v>
      </c>
      <c r="M300" s="1" t="e">
        <f>VLOOKUP(D300,epiunits!A$1:J$4000,10,FALSE)</f>
        <v>#N/A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</row>
    <row r="301" spans="1:51" x14ac:dyDescent="0.25">
      <c r="A301" s="1" t="e">
        <f>VLOOKUP(D301,epiunits!A$1:C$4000,2,FALSE)</f>
        <v>#N/A</v>
      </c>
      <c r="B301" s="1" t="e">
        <f>VLOOKUP(D301,epiunits!A$1:C$4000,3,FALSE)</f>
        <v>#N/A</v>
      </c>
      <c r="C301" s="1" t="e">
        <f>VLOOKUP(E301,Inspector!A$1:B$50,2,FALSE)</f>
        <v>#N/A</v>
      </c>
      <c r="I301" s="1" t="e">
        <f>VLOOKUP(D301,epiunits!A$1:J$4000,6,FALSE)</f>
        <v>#N/A</v>
      </c>
      <c r="J301" s="1" t="e">
        <f>VLOOKUP(D301,epiunits!A$1:J$4000,7,FALSE)</f>
        <v>#N/A</v>
      </c>
      <c r="K301" s="1" t="e">
        <f>VLOOKUP(D301,epiunits!A$1:J$4000,8,FALSE)</f>
        <v>#N/A</v>
      </c>
      <c r="L301" s="1" t="e">
        <f>VLOOKUP(D301,epiunits!A$1:J$4000,9,FALSE)</f>
        <v>#N/A</v>
      </c>
      <c r="M301" s="1" t="e">
        <f>VLOOKUP(D301,epiunits!A$1:J$4000,10,FALSE)</f>
        <v>#N/A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s="1" t="e">
        <f>VLOOKUP(D302,epiunits!A$1:C$4000,2,FALSE)</f>
        <v>#N/A</v>
      </c>
      <c r="B302" s="1" t="e">
        <f>VLOOKUP(D302,epiunits!A$1:C$4000,3,FALSE)</f>
        <v>#N/A</v>
      </c>
      <c r="C302" s="1" t="e">
        <f>VLOOKUP(E302,Inspector!A$1:B$50,2,FALSE)</f>
        <v>#N/A</v>
      </c>
      <c r="I302" s="1" t="e">
        <f>VLOOKUP(D302,epiunits!A$1:J$4000,6,FALSE)</f>
        <v>#N/A</v>
      </c>
      <c r="J302" s="1" t="e">
        <f>VLOOKUP(D302,epiunits!A$1:J$4000,7,FALSE)</f>
        <v>#N/A</v>
      </c>
      <c r="K302" s="1" t="e">
        <f>VLOOKUP(D302,epiunits!A$1:J$4000,8,FALSE)</f>
        <v>#N/A</v>
      </c>
      <c r="L302" s="1" t="e">
        <f>VLOOKUP(D302,epiunits!A$1:J$4000,9,FALSE)</f>
        <v>#N/A</v>
      </c>
      <c r="M302" s="1" t="e">
        <f>VLOOKUP(D302,epiunits!A$1:J$4000,10,FALSE)</f>
        <v>#N/A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</row>
    <row r="303" spans="1:51" x14ac:dyDescent="0.25">
      <c r="A303" s="1" t="e">
        <f>VLOOKUP(D303,epiunits!A$1:C$4000,2,FALSE)</f>
        <v>#N/A</v>
      </c>
      <c r="B303" s="1" t="e">
        <f>VLOOKUP(D303,epiunits!A$1:C$4000,3,FALSE)</f>
        <v>#N/A</v>
      </c>
      <c r="C303" s="1" t="e">
        <f>VLOOKUP(E303,Inspector!A$1:B$50,2,FALSE)</f>
        <v>#N/A</v>
      </c>
      <c r="I303" s="1" t="e">
        <f>VLOOKUP(D303,epiunits!A$1:J$4000,6,FALSE)</f>
        <v>#N/A</v>
      </c>
      <c r="J303" s="1" t="e">
        <f>VLOOKUP(D303,epiunits!A$1:J$4000,7,FALSE)</f>
        <v>#N/A</v>
      </c>
      <c r="K303" s="1" t="e">
        <f>VLOOKUP(D303,epiunits!A$1:J$4000,8,FALSE)</f>
        <v>#N/A</v>
      </c>
      <c r="L303" s="1" t="e">
        <f>VLOOKUP(D303,epiunits!A$1:J$4000,9,FALSE)</f>
        <v>#N/A</v>
      </c>
      <c r="M303" s="1" t="e">
        <f>VLOOKUP(D303,epiunits!A$1:J$4000,10,FALSE)</f>
        <v>#N/A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</row>
    <row r="304" spans="1:51" x14ac:dyDescent="0.25">
      <c r="A304" s="1" t="e">
        <f>VLOOKUP(D304,epiunits!A$1:C$4000,2,FALSE)</f>
        <v>#N/A</v>
      </c>
      <c r="B304" s="1" t="e">
        <f>VLOOKUP(D304,epiunits!A$1:C$4000,3,FALSE)</f>
        <v>#N/A</v>
      </c>
      <c r="C304" s="1" t="e">
        <f>VLOOKUP(E304,Inspector!A$1:B$50,2,FALSE)</f>
        <v>#N/A</v>
      </c>
      <c r="I304" s="1" t="e">
        <f>VLOOKUP(D304,epiunits!A$1:J$4000,6,FALSE)</f>
        <v>#N/A</v>
      </c>
      <c r="J304" s="1" t="e">
        <f>VLOOKUP(D304,epiunits!A$1:J$4000,7,FALSE)</f>
        <v>#N/A</v>
      </c>
      <c r="K304" s="1" t="e">
        <f>VLOOKUP(D304,epiunits!A$1:J$4000,8,FALSE)</f>
        <v>#N/A</v>
      </c>
      <c r="L304" s="1" t="e">
        <f>VLOOKUP(D304,epiunits!A$1:J$4000,9,FALSE)</f>
        <v>#N/A</v>
      </c>
      <c r="M304" s="1" t="e">
        <f>VLOOKUP(D304,epiunits!A$1:J$4000,10,FALSE)</f>
        <v>#N/A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</row>
    <row r="305" spans="1:51" x14ac:dyDescent="0.25">
      <c r="A305" s="1" t="e">
        <f>VLOOKUP(D305,epiunits!A$1:C$4000,2,FALSE)</f>
        <v>#N/A</v>
      </c>
      <c r="B305" s="1" t="e">
        <f>VLOOKUP(D305,epiunits!A$1:C$4000,3,FALSE)</f>
        <v>#N/A</v>
      </c>
      <c r="C305" s="1" t="e">
        <f>VLOOKUP(E305,Inspector!A$1:B$50,2,FALSE)</f>
        <v>#N/A</v>
      </c>
      <c r="I305" s="1" t="e">
        <f>VLOOKUP(D305,epiunits!A$1:J$4000,6,FALSE)</f>
        <v>#N/A</v>
      </c>
      <c r="J305" s="1" t="e">
        <f>VLOOKUP(D305,epiunits!A$1:J$4000,7,FALSE)</f>
        <v>#N/A</v>
      </c>
      <c r="K305" s="1" t="e">
        <f>VLOOKUP(D305,epiunits!A$1:J$4000,8,FALSE)</f>
        <v>#N/A</v>
      </c>
      <c r="L305" s="1" t="e">
        <f>VLOOKUP(D305,epiunits!A$1:J$4000,9,FALSE)</f>
        <v>#N/A</v>
      </c>
      <c r="M305" s="1" t="e">
        <f>VLOOKUP(D305,epiunits!A$1:J$4000,10,FALSE)</f>
        <v>#N/A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</row>
    <row r="306" spans="1:51" x14ac:dyDescent="0.25">
      <c r="A306" s="1" t="e">
        <f>VLOOKUP(D306,epiunits!A$1:C$4000,2,FALSE)</f>
        <v>#N/A</v>
      </c>
      <c r="B306" s="1" t="e">
        <f>VLOOKUP(D306,epiunits!A$1:C$4000,3,FALSE)</f>
        <v>#N/A</v>
      </c>
      <c r="C306" s="1" t="e">
        <f>VLOOKUP(E306,Inspector!A$1:B$50,2,FALSE)</f>
        <v>#N/A</v>
      </c>
      <c r="I306" s="1" t="e">
        <f>VLOOKUP(D306,epiunits!A$1:J$4000,6,FALSE)</f>
        <v>#N/A</v>
      </c>
      <c r="J306" s="1" t="e">
        <f>VLOOKUP(D306,epiunits!A$1:J$4000,7,FALSE)</f>
        <v>#N/A</v>
      </c>
      <c r="K306" s="1" t="e">
        <f>VLOOKUP(D306,epiunits!A$1:J$4000,8,FALSE)</f>
        <v>#N/A</v>
      </c>
      <c r="L306" s="1" t="e">
        <f>VLOOKUP(D306,epiunits!A$1:J$4000,9,FALSE)</f>
        <v>#N/A</v>
      </c>
      <c r="M306" s="1" t="e">
        <f>VLOOKUP(D306,epiunits!A$1:J$4000,10,FALSE)</f>
        <v>#N/A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</row>
    <row r="307" spans="1:51" x14ac:dyDescent="0.25">
      <c r="A307" s="1" t="e">
        <f>VLOOKUP(D307,epiunits!A$1:C$4000,2,FALSE)</f>
        <v>#N/A</v>
      </c>
      <c r="B307" s="1" t="e">
        <f>VLOOKUP(D307,epiunits!A$1:C$4000,3,FALSE)</f>
        <v>#N/A</v>
      </c>
      <c r="C307" s="1" t="e">
        <f>VLOOKUP(E307,Inspector!A$1:B$50,2,FALSE)</f>
        <v>#N/A</v>
      </c>
      <c r="I307" s="1" t="e">
        <f>VLOOKUP(D307,epiunits!A$1:J$4000,6,FALSE)</f>
        <v>#N/A</v>
      </c>
      <c r="J307" s="1" t="e">
        <f>VLOOKUP(D307,epiunits!A$1:J$4000,7,FALSE)</f>
        <v>#N/A</v>
      </c>
      <c r="K307" s="1" t="e">
        <f>VLOOKUP(D307,epiunits!A$1:J$4000,8,FALSE)</f>
        <v>#N/A</v>
      </c>
      <c r="L307" s="1" t="e">
        <f>VLOOKUP(D307,epiunits!A$1:J$4000,9,FALSE)</f>
        <v>#N/A</v>
      </c>
      <c r="M307" s="1" t="e">
        <f>VLOOKUP(D307,epiunits!A$1:J$4000,10,FALSE)</f>
        <v>#N/A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</row>
    <row r="308" spans="1:51" x14ac:dyDescent="0.25">
      <c r="A308" s="1" t="e">
        <f>VLOOKUP(D308,epiunits!A$1:C$4000,2,FALSE)</f>
        <v>#N/A</v>
      </c>
      <c r="B308" s="1" t="e">
        <f>VLOOKUP(D308,epiunits!A$1:C$4000,3,FALSE)</f>
        <v>#N/A</v>
      </c>
      <c r="C308" s="1" t="e">
        <f>VLOOKUP(E308,Inspector!A$1:B$50,2,FALSE)</f>
        <v>#N/A</v>
      </c>
      <c r="I308" s="1" t="e">
        <f>VLOOKUP(D308,epiunits!A$1:J$4000,6,FALSE)</f>
        <v>#N/A</v>
      </c>
      <c r="J308" s="1" t="e">
        <f>VLOOKUP(D308,epiunits!A$1:J$4000,7,FALSE)</f>
        <v>#N/A</v>
      </c>
      <c r="K308" s="1" t="e">
        <f>VLOOKUP(D308,epiunits!A$1:J$4000,8,FALSE)</f>
        <v>#N/A</v>
      </c>
      <c r="L308" s="1" t="e">
        <f>VLOOKUP(D308,epiunits!A$1:J$4000,9,FALSE)</f>
        <v>#N/A</v>
      </c>
      <c r="M308" s="1" t="e">
        <f>VLOOKUP(D308,epiunits!A$1:J$4000,10,FALSE)</f>
        <v>#N/A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</row>
    <row r="309" spans="1:51" x14ac:dyDescent="0.25">
      <c r="A309" s="1" t="e">
        <f>VLOOKUP(D309,epiunits!A$1:C$4000,2,FALSE)</f>
        <v>#N/A</v>
      </c>
      <c r="B309" s="1" t="e">
        <f>VLOOKUP(D309,epiunits!A$1:C$4000,3,FALSE)</f>
        <v>#N/A</v>
      </c>
      <c r="C309" s="1" t="e">
        <f>VLOOKUP(E309,Inspector!A$1:B$50,2,FALSE)</f>
        <v>#N/A</v>
      </c>
      <c r="I309" s="1" t="e">
        <f>VLOOKUP(D309,epiunits!A$1:J$4000,6,FALSE)</f>
        <v>#N/A</v>
      </c>
      <c r="J309" s="1" t="e">
        <f>VLOOKUP(D309,epiunits!A$1:J$4000,7,FALSE)</f>
        <v>#N/A</v>
      </c>
      <c r="K309" s="1" t="e">
        <f>VLOOKUP(D309,epiunits!A$1:J$4000,8,FALSE)</f>
        <v>#N/A</v>
      </c>
      <c r="L309" s="1" t="e">
        <f>VLOOKUP(D309,epiunits!A$1:J$4000,9,FALSE)</f>
        <v>#N/A</v>
      </c>
      <c r="M309" s="1" t="e">
        <f>VLOOKUP(D309,epiunits!A$1:J$4000,10,FALSE)</f>
        <v>#N/A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</row>
    <row r="310" spans="1:51" x14ac:dyDescent="0.25">
      <c r="A310" s="1" t="e">
        <f>VLOOKUP(D310,epiunits!A$1:C$4000,2,FALSE)</f>
        <v>#N/A</v>
      </c>
      <c r="B310" s="1" t="e">
        <f>VLOOKUP(D310,epiunits!A$1:C$4000,3,FALSE)</f>
        <v>#N/A</v>
      </c>
      <c r="C310" s="1" t="e">
        <f>VLOOKUP(E310,Inspector!A$1:B$50,2,FALSE)</f>
        <v>#N/A</v>
      </c>
      <c r="I310" s="1" t="e">
        <f>VLOOKUP(D310,epiunits!A$1:J$4000,6,FALSE)</f>
        <v>#N/A</v>
      </c>
      <c r="J310" s="1" t="e">
        <f>VLOOKUP(D310,epiunits!A$1:J$4000,7,FALSE)</f>
        <v>#N/A</v>
      </c>
      <c r="K310" s="1" t="e">
        <f>VLOOKUP(D310,epiunits!A$1:J$4000,8,FALSE)</f>
        <v>#N/A</v>
      </c>
      <c r="L310" s="1" t="e">
        <f>VLOOKUP(D310,epiunits!A$1:J$4000,9,FALSE)</f>
        <v>#N/A</v>
      </c>
      <c r="M310" s="1" t="e">
        <f>VLOOKUP(D310,epiunits!A$1:J$4000,10,FALSE)</f>
        <v>#N/A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</row>
    <row r="311" spans="1:51" x14ac:dyDescent="0.25">
      <c r="A311" s="1" t="e">
        <f>VLOOKUP(D311,epiunits!A$1:C$4000,2,FALSE)</f>
        <v>#N/A</v>
      </c>
      <c r="B311" s="1" t="e">
        <f>VLOOKUP(D311,epiunits!A$1:C$4000,3,FALSE)</f>
        <v>#N/A</v>
      </c>
      <c r="C311" s="1" t="e">
        <f>VLOOKUP(E311,Inspector!A$1:B$50,2,FALSE)</f>
        <v>#N/A</v>
      </c>
      <c r="I311" s="1" t="e">
        <f>VLOOKUP(D311,epiunits!A$1:J$4000,6,FALSE)</f>
        <v>#N/A</v>
      </c>
      <c r="J311" s="1" t="e">
        <f>VLOOKUP(D311,epiunits!A$1:J$4000,7,FALSE)</f>
        <v>#N/A</v>
      </c>
      <c r="K311" s="1" t="e">
        <f>VLOOKUP(D311,epiunits!A$1:J$4000,8,FALSE)</f>
        <v>#N/A</v>
      </c>
      <c r="L311" s="1" t="e">
        <f>VLOOKUP(D311,epiunits!A$1:J$4000,9,FALSE)</f>
        <v>#N/A</v>
      </c>
      <c r="M311" s="1" t="e">
        <f>VLOOKUP(D311,epiunits!A$1:J$4000,10,FALSE)</f>
        <v>#N/A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</row>
    <row r="312" spans="1:51" x14ac:dyDescent="0.25">
      <c r="A312" s="1" t="e">
        <f>VLOOKUP(D312,epiunits!A$1:C$4000,2,FALSE)</f>
        <v>#N/A</v>
      </c>
      <c r="B312" s="1" t="e">
        <f>VLOOKUP(D312,epiunits!A$1:C$4000,3,FALSE)</f>
        <v>#N/A</v>
      </c>
      <c r="C312" s="1" t="e">
        <f>VLOOKUP(E312,Inspector!A$1:B$50,2,FALSE)</f>
        <v>#N/A</v>
      </c>
      <c r="I312" s="1" t="e">
        <f>VLOOKUP(D312,epiunits!A$1:J$4000,6,FALSE)</f>
        <v>#N/A</v>
      </c>
      <c r="J312" s="1" t="e">
        <f>VLOOKUP(D312,epiunits!A$1:J$4000,7,FALSE)</f>
        <v>#N/A</v>
      </c>
      <c r="K312" s="1" t="e">
        <f>VLOOKUP(D312,epiunits!A$1:J$4000,8,FALSE)</f>
        <v>#N/A</v>
      </c>
      <c r="L312" s="1" t="e">
        <f>VLOOKUP(D312,epiunits!A$1:J$4000,9,FALSE)</f>
        <v>#N/A</v>
      </c>
      <c r="M312" s="1" t="e">
        <f>VLOOKUP(D312,epiunits!A$1:J$4000,10,FALSE)</f>
        <v>#N/A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</row>
    <row r="313" spans="1:51" x14ac:dyDescent="0.25">
      <c r="A313" s="1" t="e">
        <f>VLOOKUP(D313,epiunits!A$1:C$4000,2,FALSE)</f>
        <v>#N/A</v>
      </c>
      <c r="B313" s="1" t="e">
        <f>VLOOKUP(D313,epiunits!A$1:C$4000,3,FALSE)</f>
        <v>#N/A</v>
      </c>
      <c r="C313" s="1" t="e">
        <f>VLOOKUP(E313,Inspector!A$1:B$50,2,FALSE)</f>
        <v>#N/A</v>
      </c>
      <c r="I313" s="1" t="e">
        <f>VLOOKUP(D313,epiunits!A$1:J$4000,6,FALSE)</f>
        <v>#N/A</v>
      </c>
      <c r="J313" s="1" t="e">
        <f>VLOOKUP(D313,epiunits!A$1:J$4000,7,FALSE)</f>
        <v>#N/A</v>
      </c>
      <c r="K313" s="1" t="e">
        <f>VLOOKUP(D313,epiunits!A$1:J$4000,8,FALSE)</f>
        <v>#N/A</v>
      </c>
      <c r="L313" s="1" t="e">
        <f>VLOOKUP(D313,epiunits!A$1:J$4000,9,FALSE)</f>
        <v>#N/A</v>
      </c>
      <c r="M313" s="1" t="e">
        <f>VLOOKUP(D313,epiunits!A$1:J$4000,10,FALSE)</f>
        <v>#N/A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</row>
    <row r="314" spans="1:51" x14ac:dyDescent="0.25">
      <c r="A314" s="1" t="e">
        <f>VLOOKUP(D314,epiunits!A$1:C$4000,2,FALSE)</f>
        <v>#N/A</v>
      </c>
      <c r="B314" s="1" t="e">
        <f>VLOOKUP(D314,epiunits!A$1:C$4000,3,FALSE)</f>
        <v>#N/A</v>
      </c>
      <c r="C314" s="1" t="e">
        <f>VLOOKUP(E314,Inspector!A$1:B$50,2,FALSE)</f>
        <v>#N/A</v>
      </c>
      <c r="I314" s="1" t="e">
        <f>VLOOKUP(D314,epiunits!A$1:J$4000,6,FALSE)</f>
        <v>#N/A</v>
      </c>
      <c r="J314" s="1" t="e">
        <f>VLOOKUP(D314,epiunits!A$1:J$4000,7,FALSE)</f>
        <v>#N/A</v>
      </c>
      <c r="K314" s="1" t="e">
        <f>VLOOKUP(D314,epiunits!A$1:J$4000,8,FALSE)</f>
        <v>#N/A</v>
      </c>
      <c r="L314" s="1" t="e">
        <f>VLOOKUP(D314,epiunits!A$1:J$4000,9,FALSE)</f>
        <v>#N/A</v>
      </c>
      <c r="M314" s="1" t="e">
        <f>VLOOKUP(D314,epiunits!A$1:J$4000,10,FALSE)</f>
        <v>#N/A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</row>
    <row r="315" spans="1:51" x14ac:dyDescent="0.25">
      <c r="A315" s="1" t="e">
        <f>VLOOKUP(D315,epiunits!A$1:C$4000,2,FALSE)</f>
        <v>#N/A</v>
      </c>
      <c r="B315" s="1" t="e">
        <f>VLOOKUP(D315,epiunits!A$1:C$4000,3,FALSE)</f>
        <v>#N/A</v>
      </c>
      <c r="C315" s="1" t="e">
        <f>VLOOKUP(E315,Inspector!A$1:B$50,2,FALSE)</f>
        <v>#N/A</v>
      </c>
      <c r="I315" s="1" t="e">
        <f>VLOOKUP(D315,epiunits!A$1:J$4000,6,FALSE)</f>
        <v>#N/A</v>
      </c>
      <c r="J315" s="1" t="e">
        <f>VLOOKUP(D315,epiunits!A$1:J$4000,7,FALSE)</f>
        <v>#N/A</v>
      </c>
      <c r="K315" s="1" t="e">
        <f>VLOOKUP(D315,epiunits!A$1:J$4000,8,FALSE)</f>
        <v>#N/A</v>
      </c>
      <c r="L315" s="1" t="e">
        <f>VLOOKUP(D315,epiunits!A$1:J$4000,9,FALSE)</f>
        <v>#N/A</v>
      </c>
      <c r="M315" s="1" t="e">
        <f>VLOOKUP(D315,epiunits!A$1:J$4000,10,FALSE)</f>
        <v>#N/A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</row>
    <row r="316" spans="1:51" x14ac:dyDescent="0.25">
      <c r="A316" s="1" t="e">
        <f>VLOOKUP(D316,epiunits!A$1:C$4000,2,FALSE)</f>
        <v>#N/A</v>
      </c>
      <c r="B316" s="1" t="e">
        <f>VLOOKUP(D316,epiunits!A$1:C$4000,3,FALSE)</f>
        <v>#N/A</v>
      </c>
      <c r="C316" s="1" t="e">
        <f>VLOOKUP(E316,Inspector!A$1:B$50,2,FALSE)</f>
        <v>#N/A</v>
      </c>
      <c r="I316" s="1" t="e">
        <f>VLOOKUP(D316,epiunits!A$1:J$4000,6,FALSE)</f>
        <v>#N/A</v>
      </c>
      <c r="J316" s="1" t="e">
        <f>VLOOKUP(D316,epiunits!A$1:J$4000,7,FALSE)</f>
        <v>#N/A</v>
      </c>
      <c r="K316" s="1" t="e">
        <f>VLOOKUP(D316,epiunits!A$1:J$4000,8,FALSE)</f>
        <v>#N/A</v>
      </c>
      <c r="L316" s="1" t="e">
        <f>VLOOKUP(D316,epiunits!A$1:J$4000,9,FALSE)</f>
        <v>#N/A</v>
      </c>
      <c r="M316" s="1" t="e">
        <f>VLOOKUP(D316,epiunits!A$1:J$4000,10,FALSE)</f>
        <v>#N/A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</row>
    <row r="317" spans="1:51" x14ac:dyDescent="0.25">
      <c r="A317" s="1" t="e">
        <f>VLOOKUP(D317,epiunits!A$1:C$4000,2,FALSE)</f>
        <v>#N/A</v>
      </c>
      <c r="B317" s="1" t="e">
        <f>VLOOKUP(D317,epiunits!A$1:C$4000,3,FALSE)</f>
        <v>#N/A</v>
      </c>
      <c r="C317" s="1" t="e">
        <f>VLOOKUP(E317,Inspector!A$1:B$50,2,FALSE)</f>
        <v>#N/A</v>
      </c>
      <c r="I317" s="1" t="e">
        <f>VLOOKUP(D317,epiunits!A$1:J$4000,6,FALSE)</f>
        <v>#N/A</v>
      </c>
      <c r="J317" s="1" t="e">
        <f>VLOOKUP(D317,epiunits!A$1:J$4000,7,FALSE)</f>
        <v>#N/A</v>
      </c>
      <c r="K317" s="1" t="e">
        <f>VLOOKUP(D317,epiunits!A$1:J$4000,8,FALSE)</f>
        <v>#N/A</v>
      </c>
      <c r="L317" s="1" t="e">
        <f>VLOOKUP(D317,epiunits!A$1:J$4000,9,FALSE)</f>
        <v>#N/A</v>
      </c>
      <c r="M317" s="1" t="e">
        <f>VLOOKUP(D317,epiunits!A$1:J$4000,10,FALSE)</f>
        <v>#N/A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</row>
    <row r="318" spans="1:51" x14ac:dyDescent="0.25">
      <c r="A318" s="1" t="e">
        <f>VLOOKUP(D318,epiunits!A$1:C$4000,2,FALSE)</f>
        <v>#N/A</v>
      </c>
      <c r="B318" s="1" t="e">
        <f>VLOOKUP(D318,epiunits!A$1:C$4000,3,FALSE)</f>
        <v>#N/A</v>
      </c>
      <c r="C318" s="1" t="e">
        <f>VLOOKUP(E318,Inspector!A$1:B$50,2,FALSE)</f>
        <v>#N/A</v>
      </c>
      <c r="I318" s="1" t="e">
        <f>VLOOKUP(D318,epiunits!A$1:J$4000,6,FALSE)</f>
        <v>#N/A</v>
      </c>
      <c r="J318" s="1" t="e">
        <f>VLOOKUP(D318,epiunits!A$1:J$4000,7,FALSE)</f>
        <v>#N/A</v>
      </c>
      <c r="K318" s="1" t="e">
        <f>VLOOKUP(D318,epiunits!A$1:J$4000,8,FALSE)</f>
        <v>#N/A</v>
      </c>
      <c r="L318" s="1" t="e">
        <f>VLOOKUP(D318,epiunits!A$1:J$4000,9,FALSE)</f>
        <v>#N/A</v>
      </c>
      <c r="M318" s="1" t="e">
        <f>VLOOKUP(D318,epiunits!A$1:J$4000,10,FALSE)</f>
        <v>#N/A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</row>
    <row r="319" spans="1:51" x14ac:dyDescent="0.25">
      <c r="A319" s="1" t="e">
        <f>VLOOKUP(D319,epiunits!A$1:C$4000,2,FALSE)</f>
        <v>#N/A</v>
      </c>
      <c r="B319" s="1" t="e">
        <f>VLOOKUP(D319,epiunits!A$1:C$4000,3,FALSE)</f>
        <v>#N/A</v>
      </c>
      <c r="C319" s="1" t="e">
        <f>VLOOKUP(E319,Inspector!A$1:B$50,2,FALSE)</f>
        <v>#N/A</v>
      </c>
      <c r="I319" s="1" t="e">
        <f>VLOOKUP(D319,epiunits!A$1:J$4000,6,FALSE)</f>
        <v>#N/A</v>
      </c>
      <c r="J319" s="1" t="e">
        <f>VLOOKUP(D319,epiunits!A$1:J$4000,7,FALSE)</f>
        <v>#N/A</v>
      </c>
      <c r="K319" s="1" t="e">
        <f>VLOOKUP(D319,epiunits!A$1:J$4000,8,FALSE)</f>
        <v>#N/A</v>
      </c>
      <c r="L319" s="1" t="e">
        <f>VLOOKUP(D319,epiunits!A$1:J$4000,9,FALSE)</f>
        <v>#N/A</v>
      </c>
      <c r="M319" s="1" t="e">
        <f>VLOOKUP(D319,epiunits!A$1:J$4000,10,FALSE)</f>
        <v>#N/A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</row>
    <row r="320" spans="1:51" x14ac:dyDescent="0.25">
      <c r="A320" s="1" t="e">
        <f>VLOOKUP(D320,epiunits!A$1:C$4000,2,FALSE)</f>
        <v>#N/A</v>
      </c>
      <c r="B320" s="1" t="e">
        <f>VLOOKUP(D320,epiunits!A$1:C$4000,3,FALSE)</f>
        <v>#N/A</v>
      </c>
      <c r="C320" s="1" t="e">
        <f>VLOOKUP(E320,Inspector!A$1:B$50,2,FALSE)</f>
        <v>#N/A</v>
      </c>
      <c r="I320" s="1" t="e">
        <f>VLOOKUP(D320,epiunits!A$1:J$4000,6,FALSE)</f>
        <v>#N/A</v>
      </c>
      <c r="J320" s="1" t="e">
        <f>VLOOKUP(D320,epiunits!A$1:J$4000,7,FALSE)</f>
        <v>#N/A</v>
      </c>
      <c r="K320" s="1" t="e">
        <f>VLOOKUP(D320,epiunits!A$1:J$4000,8,FALSE)</f>
        <v>#N/A</v>
      </c>
      <c r="L320" s="1" t="e">
        <f>VLOOKUP(D320,epiunits!A$1:J$4000,9,FALSE)</f>
        <v>#N/A</v>
      </c>
      <c r="M320" s="1" t="e">
        <f>VLOOKUP(D320,epiunits!A$1:J$4000,10,FALSE)</f>
        <v>#N/A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</row>
    <row r="321" spans="1:51" x14ac:dyDescent="0.25">
      <c r="A321" s="1" t="e">
        <f>VLOOKUP(D321,epiunits!A$1:C$4000,2,FALSE)</f>
        <v>#N/A</v>
      </c>
      <c r="B321" s="1" t="e">
        <f>VLOOKUP(D321,epiunits!A$1:C$4000,3,FALSE)</f>
        <v>#N/A</v>
      </c>
      <c r="C321" s="1" t="e">
        <f>VLOOKUP(E321,Inspector!A$1:B$50,2,FALSE)</f>
        <v>#N/A</v>
      </c>
      <c r="I321" s="1" t="e">
        <f>VLOOKUP(D321,epiunits!A$1:J$4000,6,FALSE)</f>
        <v>#N/A</v>
      </c>
      <c r="J321" s="1" t="e">
        <f>VLOOKUP(D321,epiunits!A$1:J$4000,7,FALSE)</f>
        <v>#N/A</v>
      </c>
      <c r="K321" s="1" t="e">
        <f>VLOOKUP(D321,epiunits!A$1:J$4000,8,FALSE)</f>
        <v>#N/A</v>
      </c>
      <c r="L321" s="1" t="e">
        <f>VLOOKUP(D321,epiunits!A$1:J$4000,9,FALSE)</f>
        <v>#N/A</v>
      </c>
      <c r="M321" s="1" t="e">
        <f>VLOOKUP(D321,epiunits!A$1:J$4000,10,FALSE)</f>
        <v>#N/A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</row>
    <row r="322" spans="1:51" x14ac:dyDescent="0.25">
      <c r="A322" s="1" t="e">
        <f>VLOOKUP(D322,epiunits!A$1:C$4000,2,FALSE)</f>
        <v>#N/A</v>
      </c>
      <c r="B322" s="1" t="e">
        <f>VLOOKUP(D322,epiunits!A$1:C$4000,3,FALSE)</f>
        <v>#N/A</v>
      </c>
      <c r="C322" s="1" t="e">
        <f>VLOOKUP(E322,Inspector!A$1:B$50,2,FALSE)</f>
        <v>#N/A</v>
      </c>
      <c r="I322" s="1" t="e">
        <f>VLOOKUP(D322,epiunits!A$1:J$4000,6,FALSE)</f>
        <v>#N/A</v>
      </c>
      <c r="J322" s="1" t="e">
        <f>VLOOKUP(D322,epiunits!A$1:J$4000,7,FALSE)</f>
        <v>#N/A</v>
      </c>
      <c r="K322" s="1" t="e">
        <f>VLOOKUP(D322,epiunits!A$1:J$4000,8,FALSE)</f>
        <v>#N/A</v>
      </c>
      <c r="L322" s="1" t="e">
        <f>VLOOKUP(D322,epiunits!A$1:J$4000,9,FALSE)</f>
        <v>#N/A</v>
      </c>
      <c r="M322" s="1" t="e">
        <f>VLOOKUP(D322,epiunits!A$1:J$4000,10,FALSE)</f>
        <v>#N/A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</row>
    <row r="323" spans="1:51" x14ac:dyDescent="0.25">
      <c r="A323" s="1" t="e">
        <f>VLOOKUP(D323,epiunits!A$1:C$4000,2,FALSE)</f>
        <v>#N/A</v>
      </c>
      <c r="B323" s="1" t="e">
        <f>VLOOKUP(D323,epiunits!A$1:C$4000,3,FALSE)</f>
        <v>#N/A</v>
      </c>
      <c r="C323" s="1" t="e">
        <f>VLOOKUP(E323,Inspector!A$1:B$50,2,FALSE)</f>
        <v>#N/A</v>
      </c>
      <c r="I323" s="1" t="e">
        <f>VLOOKUP(D323,epiunits!A$1:J$4000,6,FALSE)</f>
        <v>#N/A</v>
      </c>
      <c r="J323" s="1" t="e">
        <f>VLOOKUP(D323,epiunits!A$1:J$4000,7,FALSE)</f>
        <v>#N/A</v>
      </c>
      <c r="K323" s="1" t="e">
        <f>VLOOKUP(D323,epiunits!A$1:J$4000,8,FALSE)</f>
        <v>#N/A</v>
      </c>
      <c r="L323" s="1" t="e">
        <f>VLOOKUP(D323,epiunits!A$1:J$4000,9,FALSE)</f>
        <v>#N/A</v>
      </c>
      <c r="M323" s="1" t="e">
        <f>VLOOKUP(D323,epiunits!A$1:J$4000,10,FALSE)</f>
        <v>#N/A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</row>
    <row r="324" spans="1:51" x14ac:dyDescent="0.25">
      <c r="A324" s="1" t="e">
        <f>VLOOKUP(D324,epiunits!A$1:C$4000,2,FALSE)</f>
        <v>#N/A</v>
      </c>
      <c r="B324" s="1" t="e">
        <f>VLOOKUP(D324,epiunits!A$1:C$4000,3,FALSE)</f>
        <v>#N/A</v>
      </c>
      <c r="C324" s="1" t="e">
        <f>VLOOKUP(E324,Inspector!A$1:B$50,2,FALSE)</f>
        <v>#N/A</v>
      </c>
      <c r="I324" s="1" t="e">
        <f>VLOOKUP(D324,epiunits!A$1:J$4000,6,FALSE)</f>
        <v>#N/A</v>
      </c>
      <c r="J324" s="1" t="e">
        <f>VLOOKUP(D324,epiunits!A$1:J$4000,7,FALSE)</f>
        <v>#N/A</v>
      </c>
      <c r="K324" s="1" t="e">
        <f>VLOOKUP(D324,epiunits!A$1:J$4000,8,FALSE)</f>
        <v>#N/A</v>
      </c>
      <c r="L324" s="1" t="e">
        <f>VLOOKUP(D324,epiunits!A$1:J$4000,9,FALSE)</f>
        <v>#N/A</v>
      </c>
      <c r="M324" s="1" t="e">
        <f>VLOOKUP(D324,epiunits!A$1:J$4000,10,FALSE)</f>
        <v>#N/A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</row>
    <row r="325" spans="1:51" x14ac:dyDescent="0.25">
      <c r="A325" s="1" t="e">
        <f>VLOOKUP(D325,epiunits!A$1:C$4000,2,FALSE)</f>
        <v>#N/A</v>
      </c>
      <c r="B325" s="1" t="e">
        <f>VLOOKUP(D325,epiunits!A$1:C$4000,3,FALSE)</f>
        <v>#N/A</v>
      </c>
      <c r="C325" s="1" t="e">
        <f>VLOOKUP(E325,Inspector!A$1:B$50,2,FALSE)</f>
        <v>#N/A</v>
      </c>
      <c r="I325" s="1" t="e">
        <f>VLOOKUP(D325,epiunits!A$1:J$4000,6,FALSE)</f>
        <v>#N/A</v>
      </c>
      <c r="J325" s="1" t="e">
        <f>VLOOKUP(D325,epiunits!A$1:J$4000,7,FALSE)</f>
        <v>#N/A</v>
      </c>
      <c r="K325" s="1" t="e">
        <f>VLOOKUP(D325,epiunits!A$1:J$4000,8,FALSE)</f>
        <v>#N/A</v>
      </c>
      <c r="L325" s="1" t="e">
        <f>VLOOKUP(D325,epiunits!A$1:J$4000,9,FALSE)</f>
        <v>#N/A</v>
      </c>
      <c r="M325" s="1" t="e">
        <f>VLOOKUP(D325,epiunits!A$1:J$4000,10,FALSE)</f>
        <v>#N/A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</row>
    <row r="326" spans="1:51" x14ac:dyDescent="0.25">
      <c r="A326" s="1" t="e">
        <f>VLOOKUP(D326,epiunits!A$1:C$4000,2,FALSE)</f>
        <v>#N/A</v>
      </c>
      <c r="B326" s="1" t="e">
        <f>VLOOKUP(D326,epiunits!A$1:C$4000,3,FALSE)</f>
        <v>#N/A</v>
      </c>
      <c r="C326" s="1" t="e">
        <f>VLOOKUP(E326,Inspector!A$1:B$50,2,FALSE)</f>
        <v>#N/A</v>
      </c>
      <c r="I326" s="1" t="e">
        <f>VLOOKUP(D326,epiunits!A$1:J$4000,6,FALSE)</f>
        <v>#N/A</v>
      </c>
      <c r="J326" s="1" t="e">
        <f>VLOOKUP(D326,epiunits!A$1:J$4000,7,FALSE)</f>
        <v>#N/A</v>
      </c>
      <c r="K326" s="1" t="e">
        <f>VLOOKUP(D326,epiunits!A$1:J$4000,8,FALSE)</f>
        <v>#N/A</v>
      </c>
      <c r="L326" s="1" t="e">
        <f>VLOOKUP(D326,epiunits!A$1:J$4000,9,FALSE)</f>
        <v>#N/A</v>
      </c>
      <c r="M326" s="1" t="e">
        <f>VLOOKUP(D326,epiunits!A$1:J$4000,10,FALSE)</f>
        <v>#N/A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</row>
    <row r="327" spans="1:51" x14ac:dyDescent="0.25">
      <c r="A327" s="1" t="e">
        <f>VLOOKUP(D327,epiunits!A$1:C$4000,2,FALSE)</f>
        <v>#N/A</v>
      </c>
      <c r="B327" s="1" t="e">
        <f>VLOOKUP(D327,epiunits!A$1:C$4000,3,FALSE)</f>
        <v>#N/A</v>
      </c>
      <c r="C327" s="1" t="e">
        <f>VLOOKUP(E327,Inspector!A$1:B$50,2,FALSE)</f>
        <v>#N/A</v>
      </c>
      <c r="I327" s="1" t="e">
        <f>VLOOKUP(D327,epiunits!A$1:J$4000,6,FALSE)</f>
        <v>#N/A</v>
      </c>
      <c r="J327" s="1" t="e">
        <f>VLOOKUP(D327,epiunits!A$1:J$4000,7,FALSE)</f>
        <v>#N/A</v>
      </c>
      <c r="K327" s="1" t="e">
        <f>VLOOKUP(D327,epiunits!A$1:J$4000,8,FALSE)</f>
        <v>#N/A</v>
      </c>
      <c r="L327" s="1" t="e">
        <f>VLOOKUP(D327,epiunits!A$1:J$4000,9,FALSE)</f>
        <v>#N/A</v>
      </c>
      <c r="M327" s="1" t="e">
        <f>VLOOKUP(D327,epiunits!A$1:J$4000,10,FALSE)</f>
        <v>#N/A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</row>
    <row r="328" spans="1:51" x14ac:dyDescent="0.25">
      <c r="A328" s="1" t="e">
        <f>VLOOKUP(D328,epiunits!A$1:C$4000,2,FALSE)</f>
        <v>#N/A</v>
      </c>
      <c r="B328" s="1" t="e">
        <f>VLOOKUP(D328,epiunits!A$1:C$4000,3,FALSE)</f>
        <v>#N/A</v>
      </c>
      <c r="C328" s="1" t="e">
        <f>VLOOKUP(E328,Inspector!A$1:B$50,2,FALSE)</f>
        <v>#N/A</v>
      </c>
      <c r="I328" s="1" t="e">
        <f>VLOOKUP(D328,epiunits!A$1:J$4000,6,FALSE)</f>
        <v>#N/A</v>
      </c>
      <c r="J328" s="1" t="e">
        <f>VLOOKUP(D328,epiunits!A$1:J$4000,7,FALSE)</f>
        <v>#N/A</v>
      </c>
      <c r="K328" s="1" t="e">
        <f>VLOOKUP(D328,epiunits!A$1:J$4000,8,FALSE)</f>
        <v>#N/A</v>
      </c>
      <c r="L328" s="1" t="e">
        <f>VLOOKUP(D328,epiunits!A$1:J$4000,9,FALSE)</f>
        <v>#N/A</v>
      </c>
      <c r="M328" s="1" t="e">
        <f>VLOOKUP(D328,epiunits!A$1:J$4000,10,FALSE)</f>
        <v>#N/A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</row>
    <row r="329" spans="1:51" x14ac:dyDescent="0.25">
      <c r="A329" s="1" t="e">
        <f>VLOOKUP(D329,epiunits!A$1:C$4000,2,FALSE)</f>
        <v>#N/A</v>
      </c>
      <c r="B329" s="1" t="e">
        <f>VLOOKUP(D329,epiunits!A$1:C$4000,3,FALSE)</f>
        <v>#N/A</v>
      </c>
      <c r="C329" s="1" t="e">
        <f>VLOOKUP(E329,Inspector!A$1:B$50,2,FALSE)</f>
        <v>#N/A</v>
      </c>
      <c r="I329" s="1" t="e">
        <f>VLOOKUP(D329,epiunits!A$1:J$4000,6,FALSE)</f>
        <v>#N/A</v>
      </c>
      <c r="J329" s="1" t="e">
        <f>VLOOKUP(D329,epiunits!A$1:J$4000,7,FALSE)</f>
        <v>#N/A</v>
      </c>
      <c r="K329" s="1" t="e">
        <f>VLOOKUP(D329,epiunits!A$1:J$4000,8,FALSE)</f>
        <v>#N/A</v>
      </c>
      <c r="L329" s="1" t="e">
        <f>VLOOKUP(D329,epiunits!A$1:J$4000,9,FALSE)</f>
        <v>#N/A</v>
      </c>
      <c r="M329" s="1" t="e">
        <f>VLOOKUP(D329,epiunits!A$1:J$4000,10,FALSE)</f>
        <v>#N/A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</row>
    <row r="330" spans="1:51" x14ac:dyDescent="0.25">
      <c r="A330" s="1" t="e">
        <f>VLOOKUP(D330,epiunits!A$1:C$4000,2,FALSE)</f>
        <v>#N/A</v>
      </c>
      <c r="B330" s="1" t="e">
        <f>VLOOKUP(D330,epiunits!A$1:C$4000,3,FALSE)</f>
        <v>#N/A</v>
      </c>
      <c r="C330" s="1" t="e">
        <f>VLOOKUP(E330,Inspector!A$1:B$50,2,FALSE)</f>
        <v>#N/A</v>
      </c>
      <c r="I330" s="1" t="e">
        <f>VLOOKUP(D330,epiunits!A$1:J$4000,6,FALSE)</f>
        <v>#N/A</v>
      </c>
      <c r="J330" s="1" t="e">
        <f>VLOOKUP(D330,epiunits!A$1:J$4000,7,FALSE)</f>
        <v>#N/A</v>
      </c>
      <c r="K330" s="1" t="e">
        <f>VLOOKUP(D330,epiunits!A$1:J$4000,8,FALSE)</f>
        <v>#N/A</v>
      </c>
      <c r="L330" s="1" t="e">
        <f>VLOOKUP(D330,epiunits!A$1:J$4000,9,FALSE)</f>
        <v>#N/A</v>
      </c>
      <c r="M330" s="1" t="e">
        <f>VLOOKUP(D330,epiunits!A$1:J$4000,10,FALSE)</f>
        <v>#N/A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</row>
    <row r="331" spans="1:51" x14ac:dyDescent="0.25">
      <c r="A331" s="1" t="e">
        <f>VLOOKUP(D331,epiunits!A$1:C$4000,2,FALSE)</f>
        <v>#N/A</v>
      </c>
      <c r="B331" s="1" t="e">
        <f>VLOOKUP(D331,epiunits!A$1:C$4000,3,FALSE)</f>
        <v>#N/A</v>
      </c>
      <c r="C331" s="1" t="e">
        <f>VLOOKUP(E331,Inspector!A$1:B$50,2,FALSE)</f>
        <v>#N/A</v>
      </c>
      <c r="I331" s="1" t="e">
        <f>VLOOKUP(D331,epiunits!A$1:J$4000,6,FALSE)</f>
        <v>#N/A</v>
      </c>
      <c r="J331" s="1" t="e">
        <f>VLOOKUP(D331,epiunits!A$1:J$4000,7,FALSE)</f>
        <v>#N/A</v>
      </c>
      <c r="K331" s="1" t="e">
        <f>VLOOKUP(D331,epiunits!A$1:J$4000,8,FALSE)</f>
        <v>#N/A</v>
      </c>
      <c r="L331" s="1" t="e">
        <f>VLOOKUP(D331,epiunits!A$1:J$4000,9,FALSE)</f>
        <v>#N/A</v>
      </c>
      <c r="M331" s="1" t="e">
        <f>VLOOKUP(D331,epiunits!A$1:J$4000,10,FALSE)</f>
        <v>#N/A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</row>
    <row r="332" spans="1:51" x14ac:dyDescent="0.25">
      <c r="A332" s="1" t="e">
        <f>VLOOKUP(D332,epiunits!A$1:C$4000,2,FALSE)</f>
        <v>#N/A</v>
      </c>
      <c r="B332" s="1" t="e">
        <f>VLOOKUP(D332,epiunits!A$1:C$4000,3,FALSE)</f>
        <v>#N/A</v>
      </c>
      <c r="C332" s="1" t="e">
        <f>VLOOKUP(E332,Inspector!A$1:B$50,2,FALSE)</f>
        <v>#N/A</v>
      </c>
      <c r="I332" s="1" t="e">
        <f>VLOOKUP(D332,epiunits!A$1:J$4000,6,FALSE)</f>
        <v>#N/A</v>
      </c>
      <c r="J332" s="1" t="e">
        <f>VLOOKUP(D332,epiunits!A$1:J$4000,7,FALSE)</f>
        <v>#N/A</v>
      </c>
      <c r="K332" s="1" t="e">
        <f>VLOOKUP(D332,epiunits!A$1:J$4000,8,FALSE)</f>
        <v>#N/A</v>
      </c>
      <c r="L332" s="1" t="e">
        <f>VLOOKUP(D332,epiunits!A$1:J$4000,9,FALSE)</f>
        <v>#N/A</v>
      </c>
      <c r="M332" s="1" t="e">
        <f>VLOOKUP(D332,epiunits!A$1:J$4000,10,FALSE)</f>
        <v>#N/A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</row>
    <row r="333" spans="1:51" x14ac:dyDescent="0.25">
      <c r="A333" s="1" t="e">
        <f>VLOOKUP(D333,epiunits!A$1:C$4000,2,FALSE)</f>
        <v>#N/A</v>
      </c>
      <c r="B333" s="1" t="e">
        <f>VLOOKUP(D333,epiunits!A$1:C$4000,3,FALSE)</f>
        <v>#N/A</v>
      </c>
      <c r="C333" s="1" t="e">
        <f>VLOOKUP(E333,Inspector!A$1:B$50,2,FALSE)</f>
        <v>#N/A</v>
      </c>
      <c r="I333" s="1" t="e">
        <f>VLOOKUP(D333,epiunits!A$1:J$4000,6,FALSE)</f>
        <v>#N/A</v>
      </c>
      <c r="J333" s="1" t="e">
        <f>VLOOKUP(D333,epiunits!A$1:J$4000,7,FALSE)</f>
        <v>#N/A</v>
      </c>
      <c r="K333" s="1" t="e">
        <f>VLOOKUP(D333,epiunits!A$1:J$4000,8,FALSE)</f>
        <v>#N/A</v>
      </c>
      <c r="L333" s="1" t="e">
        <f>VLOOKUP(D333,epiunits!A$1:J$4000,9,FALSE)</f>
        <v>#N/A</v>
      </c>
      <c r="M333" s="1" t="e">
        <f>VLOOKUP(D333,epiunits!A$1:J$4000,10,FALSE)</f>
        <v>#N/A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</row>
    <row r="334" spans="1:51" x14ac:dyDescent="0.25">
      <c r="A334" s="1" t="e">
        <f>VLOOKUP(D334,epiunits!A$1:C$4000,2,FALSE)</f>
        <v>#N/A</v>
      </c>
      <c r="B334" s="1" t="e">
        <f>VLOOKUP(D334,epiunits!A$1:C$4000,3,FALSE)</f>
        <v>#N/A</v>
      </c>
      <c r="C334" s="1" t="e">
        <f>VLOOKUP(E334,Inspector!A$1:B$50,2,FALSE)</f>
        <v>#N/A</v>
      </c>
      <c r="I334" s="1" t="e">
        <f>VLOOKUP(D334,epiunits!A$1:J$4000,6,FALSE)</f>
        <v>#N/A</v>
      </c>
      <c r="J334" s="1" t="e">
        <f>VLOOKUP(D334,epiunits!A$1:J$4000,7,FALSE)</f>
        <v>#N/A</v>
      </c>
      <c r="K334" s="1" t="e">
        <f>VLOOKUP(D334,epiunits!A$1:J$4000,8,FALSE)</f>
        <v>#N/A</v>
      </c>
      <c r="L334" s="1" t="e">
        <f>VLOOKUP(D334,epiunits!A$1:J$4000,9,FALSE)</f>
        <v>#N/A</v>
      </c>
      <c r="M334" s="1" t="e">
        <f>VLOOKUP(D334,epiunits!A$1:J$4000,10,FALSE)</f>
        <v>#N/A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</row>
    <row r="335" spans="1:51" x14ac:dyDescent="0.25">
      <c r="A335" s="1" t="e">
        <f>VLOOKUP(D335,epiunits!A$1:C$4000,2,FALSE)</f>
        <v>#N/A</v>
      </c>
      <c r="B335" s="1" t="e">
        <f>VLOOKUP(D335,epiunits!A$1:C$4000,3,FALSE)</f>
        <v>#N/A</v>
      </c>
      <c r="C335" s="1" t="e">
        <f>VLOOKUP(E335,Inspector!A$1:B$50,2,FALSE)</f>
        <v>#N/A</v>
      </c>
      <c r="I335" s="1" t="e">
        <f>VLOOKUP(D335,epiunits!A$1:J$4000,6,FALSE)</f>
        <v>#N/A</v>
      </c>
      <c r="J335" s="1" t="e">
        <f>VLOOKUP(D335,epiunits!A$1:J$4000,7,FALSE)</f>
        <v>#N/A</v>
      </c>
      <c r="K335" s="1" t="e">
        <f>VLOOKUP(D335,epiunits!A$1:J$4000,8,FALSE)</f>
        <v>#N/A</v>
      </c>
      <c r="L335" s="1" t="e">
        <f>VLOOKUP(D335,epiunits!A$1:J$4000,9,FALSE)</f>
        <v>#N/A</v>
      </c>
      <c r="M335" s="1" t="e">
        <f>VLOOKUP(D335,epiunits!A$1:J$4000,10,FALSE)</f>
        <v>#N/A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</row>
    <row r="336" spans="1:51" x14ac:dyDescent="0.25">
      <c r="A336" s="1" t="e">
        <f>VLOOKUP(D336,epiunits!A$1:C$4000,2,FALSE)</f>
        <v>#N/A</v>
      </c>
      <c r="B336" s="1" t="e">
        <f>VLOOKUP(D336,epiunits!A$1:C$4000,3,FALSE)</f>
        <v>#N/A</v>
      </c>
      <c r="C336" s="1" t="e">
        <f>VLOOKUP(E336,Inspector!A$1:B$50,2,FALSE)</f>
        <v>#N/A</v>
      </c>
      <c r="I336" s="1" t="e">
        <f>VLOOKUP(D336,epiunits!A$1:J$4000,6,FALSE)</f>
        <v>#N/A</v>
      </c>
      <c r="J336" s="1" t="e">
        <f>VLOOKUP(D336,epiunits!A$1:J$4000,7,FALSE)</f>
        <v>#N/A</v>
      </c>
      <c r="K336" s="1" t="e">
        <f>VLOOKUP(D336,epiunits!A$1:J$4000,8,FALSE)</f>
        <v>#N/A</v>
      </c>
      <c r="L336" s="1" t="e">
        <f>VLOOKUP(D336,epiunits!A$1:J$4000,9,FALSE)</f>
        <v>#N/A</v>
      </c>
      <c r="M336" s="1" t="e">
        <f>VLOOKUP(D336,epiunits!A$1:J$4000,10,FALSE)</f>
        <v>#N/A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</row>
    <row r="337" spans="1:51" x14ac:dyDescent="0.25">
      <c r="A337" s="1" t="e">
        <f>VLOOKUP(D337,epiunits!A$1:C$4000,2,FALSE)</f>
        <v>#N/A</v>
      </c>
      <c r="B337" s="1" t="e">
        <f>VLOOKUP(D337,epiunits!A$1:C$4000,3,FALSE)</f>
        <v>#N/A</v>
      </c>
      <c r="C337" s="1" t="e">
        <f>VLOOKUP(E337,Inspector!A$1:B$50,2,FALSE)</f>
        <v>#N/A</v>
      </c>
      <c r="I337" s="1" t="e">
        <f>VLOOKUP(D337,epiunits!A$1:J$4000,6,FALSE)</f>
        <v>#N/A</v>
      </c>
      <c r="J337" s="1" t="e">
        <f>VLOOKUP(D337,epiunits!A$1:J$4000,7,FALSE)</f>
        <v>#N/A</v>
      </c>
      <c r="K337" s="1" t="e">
        <f>VLOOKUP(D337,epiunits!A$1:J$4000,8,FALSE)</f>
        <v>#N/A</v>
      </c>
      <c r="L337" s="1" t="e">
        <f>VLOOKUP(D337,epiunits!A$1:J$4000,9,FALSE)</f>
        <v>#N/A</v>
      </c>
      <c r="M337" s="1" t="e">
        <f>VLOOKUP(D337,epiunits!A$1:J$4000,10,FALSE)</f>
        <v>#N/A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</row>
    <row r="338" spans="1:51" x14ac:dyDescent="0.25">
      <c r="A338" s="1" t="e">
        <f>VLOOKUP(D338,epiunits!A$1:C$4000,2,FALSE)</f>
        <v>#N/A</v>
      </c>
      <c r="B338" s="1" t="e">
        <f>VLOOKUP(D338,epiunits!A$1:C$4000,3,FALSE)</f>
        <v>#N/A</v>
      </c>
      <c r="C338" s="1" t="e">
        <f>VLOOKUP(E338,Inspector!A$1:B$50,2,FALSE)</f>
        <v>#N/A</v>
      </c>
      <c r="I338" s="1" t="e">
        <f>VLOOKUP(D338,epiunits!A$1:J$4000,6,FALSE)</f>
        <v>#N/A</v>
      </c>
      <c r="J338" s="1" t="e">
        <f>VLOOKUP(D338,epiunits!A$1:J$4000,7,FALSE)</f>
        <v>#N/A</v>
      </c>
      <c r="K338" s="1" t="e">
        <f>VLOOKUP(D338,epiunits!A$1:J$4000,8,FALSE)</f>
        <v>#N/A</v>
      </c>
      <c r="L338" s="1" t="e">
        <f>VLOOKUP(D338,epiunits!A$1:J$4000,9,FALSE)</f>
        <v>#N/A</v>
      </c>
      <c r="M338" s="1" t="e">
        <f>VLOOKUP(D338,epiunits!A$1:J$4000,10,FALSE)</f>
        <v>#N/A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</row>
    <row r="339" spans="1:51" x14ac:dyDescent="0.25">
      <c r="A339" s="1" t="e">
        <f>VLOOKUP(D339,epiunits!A$1:C$4000,2,FALSE)</f>
        <v>#N/A</v>
      </c>
      <c r="B339" s="1" t="e">
        <f>VLOOKUP(D339,epiunits!A$1:C$4000,3,FALSE)</f>
        <v>#N/A</v>
      </c>
      <c r="C339" s="1" t="e">
        <f>VLOOKUP(E339,Inspector!A$1:B$50,2,FALSE)</f>
        <v>#N/A</v>
      </c>
      <c r="I339" s="1" t="e">
        <f>VLOOKUP(D339,epiunits!A$1:J$4000,6,FALSE)</f>
        <v>#N/A</v>
      </c>
      <c r="J339" s="1" t="e">
        <f>VLOOKUP(D339,epiunits!A$1:J$4000,7,FALSE)</f>
        <v>#N/A</v>
      </c>
      <c r="K339" s="1" t="e">
        <f>VLOOKUP(D339,epiunits!A$1:J$4000,8,FALSE)</f>
        <v>#N/A</v>
      </c>
      <c r="L339" s="1" t="e">
        <f>VLOOKUP(D339,epiunits!A$1:J$4000,9,FALSE)</f>
        <v>#N/A</v>
      </c>
      <c r="M339" s="1" t="e">
        <f>VLOOKUP(D339,epiunits!A$1:J$4000,10,FALSE)</f>
        <v>#N/A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</row>
    <row r="340" spans="1:51" x14ac:dyDescent="0.25">
      <c r="A340" s="1" t="e">
        <f>VLOOKUP(D340,epiunits!A$1:C$4000,2,FALSE)</f>
        <v>#N/A</v>
      </c>
      <c r="B340" s="1" t="e">
        <f>VLOOKUP(D340,epiunits!A$1:C$4000,3,FALSE)</f>
        <v>#N/A</v>
      </c>
      <c r="C340" s="1" t="e">
        <f>VLOOKUP(E340,Inspector!A$1:B$50,2,FALSE)</f>
        <v>#N/A</v>
      </c>
      <c r="I340" s="1" t="e">
        <f>VLOOKUP(D340,epiunits!A$1:J$4000,6,FALSE)</f>
        <v>#N/A</v>
      </c>
      <c r="J340" s="1" t="e">
        <f>VLOOKUP(D340,epiunits!A$1:J$4000,7,FALSE)</f>
        <v>#N/A</v>
      </c>
      <c r="K340" s="1" t="e">
        <f>VLOOKUP(D340,epiunits!A$1:J$4000,8,FALSE)</f>
        <v>#N/A</v>
      </c>
      <c r="L340" s="1" t="e">
        <f>VLOOKUP(D340,epiunits!A$1:J$4000,9,FALSE)</f>
        <v>#N/A</v>
      </c>
      <c r="M340" s="1" t="e">
        <f>VLOOKUP(D340,epiunits!A$1:J$4000,10,FALSE)</f>
        <v>#N/A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</row>
    <row r="341" spans="1:51" x14ac:dyDescent="0.25">
      <c r="A341" s="1" t="e">
        <f>VLOOKUP(D341,epiunits!A$1:C$4000,2,FALSE)</f>
        <v>#N/A</v>
      </c>
      <c r="B341" s="1" t="e">
        <f>VLOOKUP(D341,epiunits!A$1:C$4000,3,FALSE)</f>
        <v>#N/A</v>
      </c>
      <c r="C341" s="1" t="e">
        <f>VLOOKUP(E341,Inspector!A$1:B$50,2,FALSE)</f>
        <v>#N/A</v>
      </c>
      <c r="I341" s="1" t="e">
        <f>VLOOKUP(D341,epiunits!A$1:J$4000,6,FALSE)</f>
        <v>#N/A</v>
      </c>
      <c r="J341" s="1" t="e">
        <f>VLOOKUP(D341,epiunits!A$1:J$4000,7,FALSE)</f>
        <v>#N/A</v>
      </c>
      <c r="K341" s="1" t="e">
        <f>VLOOKUP(D341,epiunits!A$1:J$4000,8,FALSE)</f>
        <v>#N/A</v>
      </c>
      <c r="L341" s="1" t="e">
        <f>VLOOKUP(D341,epiunits!A$1:J$4000,9,FALSE)</f>
        <v>#N/A</v>
      </c>
      <c r="M341" s="1" t="e">
        <f>VLOOKUP(D341,epiunits!A$1:J$4000,10,FALSE)</f>
        <v>#N/A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</row>
    <row r="342" spans="1:51" x14ac:dyDescent="0.25">
      <c r="A342" s="1" t="e">
        <f>VLOOKUP(D342,epiunits!A$1:C$4000,2,FALSE)</f>
        <v>#N/A</v>
      </c>
      <c r="B342" s="1" t="e">
        <f>VLOOKUP(D342,epiunits!A$1:C$4000,3,FALSE)</f>
        <v>#N/A</v>
      </c>
      <c r="C342" s="1" t="e">
        <f>VLOOKUP(E342,Inspector!A$1:B$50,2,FALSE)</f>
        <v>#N/A</v>
      </c>
      <c r="I342" s="1" t="e">
        <f>VLOOKUP(D342,epiunits!A$1:J$4000,6,FALSE)</f>
        <v>#N/A</v>
      </c>
      <c r="J342" s="1" t="e">
        <f>VLOOKUP(D342,epiunits!A$1:J$4000,7,FALSE)</f>
        <v>#N/A</v>
      </c>
      <c r="K342" s="1" t="e">
        <f>VLOOKUP(D342,epiunits!A$1:J$4000,8,FALSE)</f>
        <v>#N/A</v>
      </c>
      <c r="L342" s="1" t="e">
        <f>VLOOKUP(D342,epiunits!A$1:J$4000,9,FALSE)</f>
        <v>#N/A</v>
      </c>
      <c r="M342" s="1" t="e">
        <f>VLOOKUP(D342,epiunits!A$1:J$4000,10,FALSE)</f>
        <v>#N/A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</row>
    <row r="343" spans="1:51" x14ac:dyDescent="0.25">
      <c r="A343" s="1" t="e">
        <f>VLOOKUP(D343,epiunits!A$1:C$4000,2,FALSE)</f>
        <v>#N/A</v>
      </c>
      <c r="B343" s="1" t="e">
        <f>VLOOKUP(D343,epiunits!A$1:C$4000,3,FALSE)</f>
        <v>#N/A</v>
      </c>
      <c r="C343" s="1" t="e">
        <f>VLOOKUP(E343,Inspector!A$1:B$50,2,FALSE)</f>
        <v>#N/A</v>
      </c>
      <c r="I343" s="1" t="e">
        <f>VLOOKUP(D343,epiunits!A$1:J$4000,6,FALSE)</f>
        <v>#N/A</v>
      </c>
      <c r="J343" s="1" t="e">
        <f>VLOOKUP(D343,epiunits!A$1:J$4000,7,FALSE)</f>
        <v>#N/A</v>
      </c>
      <c r="K343" s="1" t="e">
        <f>VLOOKUP(D343,epiunits!A$1:J$4000,8,FALSE)</f>
        <v>#N/A</v>
      </c>
      <c r="L343" s="1" t="e">
        <f>VLOOKUP(D343,epiunits!A$1:J$4000,9,FALSE)</f>
        <v>#N/A</v>
      </c>
      <c r="M343" s="1" t="e">
        <f>VLOOKUP(D343,epiunits!A$1:J$4000,10,FALSE)</f>
        <v>#N/A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</row>
    <row r="344" spans="1:51" x14ac:dyDescent="0.25">
      <c r="A344" s="1" t="e">
        <f>VLOOKUP(D344,epiunits!A$1:C$4000,2,FALSE)</f>
        <v>#N/A</v>
      </c>
      <c r="B344" s="1" t="e">
        <f>VLOOKUP(D344,epiunits!A$1:C$4000,3,FALSE)</f>
        <v>#N/A</v>
      </c>
      <c r="C344" s="1" t="e">
        <f>VLOOKUP(E344,Inspector!A$1:B$50,2,FALSE)</f>
        <v>#N/A</v>
      </c>
      <c r="I344" s="1" t="e">
        <f>VLOOKUP(D344,epiunits!A$1:J$4000,6,FALSE)</f>
        <v>#N/A</v>
      </c>
      <c r="J344" s="1" t="e">
        <f>VLOOKUP(D344,epiunits!A$1:J$4000,7,FALSE)</f>
        <v>#N/A</v>
      </c>
      <c r="K344" s="1" t="e">
        <f>VLOOKUP(D344,epiunits!A$1:J$4000,8,FALSE)</f>
        <v>#N/A</v>
      </c>
      <c r="L344" s="1" t="e">
        <f>VLOOKUP(D344,epiunits!A$1:J$4000,9,FALSE)</f>
        <v>#N/A</v>
      </c>
      <c r="M344" s="1" t="e">
        <f>VLOOKUP(D344,epiunits!A$1:J$4000,10,FALSE)</f>
        <v>#N/A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</row>
    <row r="345" spans="1:51" x14ac:dyDescent="0.25">
      <c r="A345" s="1" t="e">
        <f>VLOOKUP(D345,epiunits!A$1:C$4000,2,FALSE)</f>
        <v>#N/A</v>
      </c>
      <c r="B345" s="1" t="e">
        <f>VLOOKUP(D345,epiunits!A$1:C$4000,3,FALSE)</f>
        <v>#N/A</v>
      </c>
      <c r="C345" s="1" t="e">
        <f>VLOOKUP(E345,Inspector!A$1:B$50,2,FALSE)</f>
        <v>#N/A</v>
      </c>
      <c r="I345" s="1" t="e">
        <f>VLOOKUP(D345,epiunits!A$1:J$4000,6,FALSE)</f>
        <v>#N/A</v>
      </c>
      <c r="J345" s="1" t="e">
        <f>VLOOKUP(D345,epiunits!A$1:J$4000,7,FALSE)</f>
        <v>#N/A</v>
      </c>
      <c r="K345" s="1" t="e">
        <f>VLOOKUP(D345,epiunits!A$1:J$4000,8,FALSE)</f>
        <v>#N/A</v>
      </c>
      <c r="L345" s="1" t="e">
        <f>VLOOKUP(D345,epiunits!A$1:J$4000,9,FALSE)</f>
        <v>#N/A</v>
      </c>
      <c r="M345" s="1" t="e">
        <f>VLOOKUP(D345,epiunits!A$1:J$4000,10,FALSE)</f>
        <v>#N/A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</row>
    <row r="346" spans="1:51" x14ac:dyDescent="0.25">
      <c r="A346" s="1" t="e">
        <f>VLOOKUP(D346,epiunits!A$1:C$4000,2,FALSE)</f>
        <v>#N/A</v>
      </c>
      <c r="B346" s="1" t="e">
        <f>VLOOKUP(D346,epiunits!A$1:C$4000,3,FALSE)</f>
        <v>#N/A</v>
      </c>
      <c r="C346" s="1" t="e">
        <f>VLOOKUP(E346,Inspector!A$1:B$50,2,FALSE)</f>
        <v>#N/A</v>
      </c>
      <c r="I346" s="1" t="e">
        <f>VLOOKUP(D346,epiunits!A$1:J$4000,6,FALSE)</f>
        <v>#N/A</v>
      </c>
      <c r="J346" s="1" t="e">
        <f>VLOOKUP(D346,epiunits!A$1:J$4000,7,FALSE)</f>
        <v>#N/A</v>
      </c>
      <c r="K346" s="1" t="e">
        <f>VLOOKUP(D346,epiunits!A$1:J$4000,8,FALSE)</f>
        <v>#N/A</v>
      </c>
      <c r="L346" s="1" t="e">
        <f>VLOOKUP(D346,epiunits!A$1:J$4000,9,FALSE)</f>
        <v>#N/A</v>
      </c>
      <c r="M346" s="1" t="e">
        <f>VLOOKUP(D346,epiunits!A$1:J$4000,10,FALSE)</f>
        <v>#N/A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</row>
    <row r="347" spans="1:51" x14ac:dyDescent="0.25">
      <c r="A347" s="1" t="e">
        <f>VLOOKUP(D347,epiunits!A$1:C$4000,2,FALSE)</f>
        <v>#N/A</v>
      </c>
      <c r="B347" s="1" t="e">
        <f>VLOOKUP(D347,epiunits!A$1:C$4000,3,FALSE)</f>
        <v>#N/A</v>
      </c>
      <c r="C347" s="1" t="e">
        <f>VLOOKUP(E347,Inspector!A$1:B$50,2,FALSE)</f>
        <v>#N/A</v>
      </c>
      <c r="I347" s="1" t="e">
        <f>VLOOKUP(D347,epiunits!A$1:J$4000,6,FALSE)</f>
        <v>#N/A</v>
      </c>
      <c r="J347" s="1" t="e">
        <f>VLOOKUP(D347,epiunits!A$1:J$4000,7,FALSE)</f>
        <v>#N/A</v>
      </c>
      <c r="K347" s="1" t="e">
        <f>VLOOKUP(D347,epiunits!A$1:J$4000,8,FALSE)</f>
        <v>#N/A</v>
      </c>
      <c r="L347" s="1" t="e">
        <f>VLOOKUP(D347,epiunits!A$1:J$4000,9,FALSE)</f>
        <v>#N/A</v>
      </c>
      <c r="M347" s="1" t="e">
        <f>VLOOKUP(D347,epiunits!A$1:J$4000,10,FALSE)</f>
        <v>#N/A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</row>
    <row r="348" spans="1:51" x14ac:dyDescent="0.25">
      <c r="A348" s="1" t="e">
        <f>VLOOKUP(D348,epiunits!A$1:C$4000,2,FALSE)</f>
        <v>#N/A</v>
      </c>
      <c r="B348" s="1" t="e">
        <f>VLOOKUP(D348,epiunits!A$1:C$4000,3,FALSE)</f>
        <v>#N/A</v>
      </c>
      <c r="C348" s="1" t="e">
        <f>VLOOKUP(E348,Inspector!A$1:B$50,2,FALSE)</f>
        <v>#N/A</v>
      </c>
      <c r="I348" s="1" t="e">
        <f>VLOOKUP(D348,epiunits!A$1:J$4000,6,FALSE)</f>
        <v>#N/A</v>
      </c>
      <c r="J348" s="1" t="e">
        <f>VLOOKUP(D348,epiunits!A$1:J$4000,7,FALSE)</f>
        <v>#N/A</v>
      </c>
      <c r="K348" s="1" t="e">
        <f>VLOOKUP(D348,epiunits!A$1:J$4000,8,FALSE)</f>
        <v>#N/A</v>
      </c>
      <c r="L348" s="1" t="e">
        <f>VLOOKUP(D348,epiunits!A$1:J$4000,9,FALSE)</f>
        <v>#N/A</v>
      </c>
      <c r="M348" s="1" t="e">
        <f>VLOOKUP(D348,epiunits!A$1:J$4000,10,FALSE)</f>
        <v>#N/A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</row>
    <row r="349" spans="1:51" x14ac:dyDescent="0.25">
      <c r="A349" s="1" t="e">
        <f>VLOOKUP(D349,epiunits!A$1:C$4000,2,FALSE)</f>
        <v>#N/A</v>
      </c>
      <c r="B349" s="1" t="e">
        <f>VLOOKUP(D349,epiunits!A$1:C$4000,3,FALSE)</f>
        <v>#N/A</v>
      </c>
      <c r="C349" s="1" t="e">
        <f>VLOOKUP(E349,Inspector!A$1:B$50,2,FALSE)</f>
        <v>#N/A</v>
      </c>
      <c r="I349" s="1" t="e">
        <f>VLOOKUP(D349,epiunits!A$1:J$4000,6,FALSE)</f>
        <v>#N/A</v>
      </c>
      <c r="J349" s="1" t="e">
        <f>VLOOKUP(D349,epiunits!A$1:J$4000,7,FALSE)</f>
        <v>#N/A</v>
      </c>
      <c r="K349" s="1" t="e">
        <f>VLOOKUP(D349,epiunits!A$1:J$4000,8,FALSE)</f>
        <v>#N/A</v>
      </c>
      <c r="L349" s="1" t="e">
        <f>VLOOKUP(D349,epiunits!A$1:J$4000,9,FALSE)</f>
        <v>#N/A</v>
      </c>
      <c r="M349" s="1" t="e">
        <f>VLOOKUP(D349,epiunits!A$1:J$4000,10,FALSE)</f>
        <v>#N/A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</row>
    <row r="350" spans="1:51" x14ac:dyDescent="0.25">
      <c r="A350" s="1" t="e">
        <f>VLOOKUP(D350,epiunits!A$1:C$4000,2,FALSE)</f>
        <v>#N/A</v>
      </c>
      <c r="B350" s="1" t="e">
        <f>VLOOKUP(D350,epiunits!A$1:C$4000,3,FALSE)</f>
        <v>#N/A</v>
      </c>
      <c r="C350" s="1" t="e">
        <f>VLOOKUP(E350,Inspector!A$1:B$50,2,FALSE)</f>
        <v>#N/A</v>
      </c>
      <c r="I350" s="1" t="e">
        <f>VLOOKUP(D350,epiunits!A$1:J$4000,6,FALSE)</f>
        <v>#N/A</v>
      </c>
      <c r="J350" s="1" t="e">
        <f>VLOOKUP(D350,epiunits!A$1:J$4000,7,FALSE)</f>
        <v>#N/A</v>
      </c>
      <c r="K350" s="1" t="e">
        <f>VLOOKUP(D350,epiunits!A$1:J$4000,8,FALSE)</f>
        <v>#N/A</v>
      </c>
      <c r="L350" s="1" t="e">
        <f>VLOOKUP(D350,epiunits!A$1:J$4000,9,FALSE)</f>
        <v>#N/A</v>
      </c>
      <c r="M350" s="1" t="e">
        <f>VLOOKUP(D350,epiunits!A$1:J$4000,10,FALSE)</f>
        <v>#N/A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</row>
    <row r="351" spans="1:51" x14ac:dyDescent="0.25">
      <c r="A351" s="1" t="e">
        <f>VLOOKUP(D351,epiunits!A$1:C$4000,2,FALSE)</f>
        <v>#N/A</v>
      </c>
      <c r="B351" s="1" t="e">
        <f>VLOOKUP(D351,epiunits!A$1:C$4000,3,FALSE)</f>
        <v>#N/A</v>
      </c>
      <c r="C351" s="1" t="e">
        <f>VLOOKUP(E351,Inspector!A$1:B$50,2,FALSE)</f>
        <v>#N/A</v>
      </c>
      <c r="I351" s="1" t="e">
        <f>VLOOKUP(D351,epiunits!A$1:J$4000,6,FALSE)</f>
        <v>#N/A</v>
      </c>
      <c r="J351" s="1" t="e">
        <f>VLOOKUP(D351,epiunits!A$1:J$4000,7,FALSE)</f>
        <v>#N/A</v>
      </c>
      <c r="K351" s="1" t="e">
        <f>VLOOKUP(D351,epiunits!A$1:J$4000,8,FALSE)</f>
        <v>#N/A</v>
      </c>
      <c r="L351" s="1" t="e">
        <f>VLOOKUP(D351,epiunits!A$1:J$4000,9,FALSE)</f>
        <v>#N/A</v>
      </c>
      <c r="M351" s="1" t="e">
        <f>VLOOKUP(D351,epiunits!A$1:J$4000,10,FALSE)</f>
        <v>#N/A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</row>
    <row r="352" spans="1:51" x14ac:dyDescent="0.25">
      <c r="A352" s="1" t="e">
        <f>VLOOKUP(D352,epiunits!A$1:C$4000,2,FALSE)</f>
        <v>#N/A</v>
      </c>
      <c r="B352" s="1" t="e">
        <f>VLOOKUP(D352,epiunits!A$1:C$4000,3,FALSE)</f>
        <v>#N/A</v>
      </c>
      <c r="C352" s="1" t="e">
        <f>VLOOKUP(E352,Inspector!A$1:B$50,2,FALSE)</f>
        <v>#N/A</v>
      </c>
      <c r="I352" s="1" t="e">
        <f>VLOOKUP(D352,epiunits!A$1:J$4000,6,FALSE)</f>
        <v>#N/A</v>
      </c>
      <c r="J352" s="1" t="e">
        <f>VLOOKUP(D352,epiunits!A$1:J$4000,7,FALSE)</f>
        <v>#N/A</v>
      </c>
      <c r="K352" s="1" t="e">
        <f>VLOOKUP(D352,epiunits!A$1:J$4000,8,FALSE)</f>
        <v>#N/A</v>
      </c>
      <c r="L352" s="1" t="e">
        <f>VLOOKUP(D352,epiunits!A$1:J$4000,9,FALSE)</f>
        <v>#N/A</v>
      </c>
      <c r="M352" s="1" t="e">
        <f>VLOOKUP(D352,epiunits!A$1:J$4000,10,FALSE)</f>
        <v>#N/A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</row>
    <row r="353" spans="1:51" x14ac:dyDescent="0.25">
      <c r="A353" s="1" t="e">
        <f>VLOOKUP(D353,epiunits!A$1:C$4000,2,FALSE)</f>
        <v>#N/A</v>
      </c>
      <c r="B353" s="1" t="e">
        <f>VLOOKUP(D353,epiunits!A$1:C$4000,3,FALSE)</f>
        <v>#N/A</v>
      </c>
      <c r="C353" s="1" t="e">
        <f>VLOOKUP(E353,Inspector!A$1:B$50,2,FALSE)</f>
        <v>#N/A</v>
      </c>
      <c r="I353" s="1" t="e">
        <f>VLOOKUP(D353,epiunits!A$1:J$4000,6,FALSE)</f>
        <v>#N/A</v>
      </c>
      <c r="J353" s="1" t="e">
        <f>VLOOKUP(D353,epiunits!A$1:J$4000,7,FALSE)</f>
        <v>#N/A</v>
      </c>
      <c r="K353" s="1" t="e">
        <f>VLOOKUP(D353,epiunits!A$1:J$4000,8,FALSE)</f>
        <v>#N/A</v>
      </c>
      <c r="L353" s="1" t="e">
        <f>VLOOKUP(D353,epiunits!A$1:J$4000,9,FALSE)</f>
        <v>#N/A</v>
      </c>
      <c r="M353" s="1" t="e">
        <f>VLOOKUP(D353,epiunits!A$1:J$4000,10,FALSE)</f>
        <v>#N/A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</row>
    <row r="354" spans="1:51" x14ac:dyDescent="0.25">
      <c r="A354" s="1" t="e">
        <f>VLOOKUP(D354,epiunits!A$1:C$4000,2,FALSE)</f>
        <v>#N/A</v>
      </c>
      <c r="B354" s="1" t="e">
        <f>VLOOKUP(D354,epiunits!A$1:C$4000,3,FALSE)</f>
        <v>#N/A</v>
      </c>
      <c r="C354" s="1" t="e">
        <f>VLOOKUP(E354,Inspector!A$1:B$50,2,FALSE)</f>
        <v>#N/A</v>
      </c>
      <c r="I354" s="1" t="e">
        <f>VLOOKUP(D354,epiunits!A$1:J$4000,6,FALSE)</f>
        <v>#N/A</v>
      </c>
      <c r="J354" s="1" t="e">
        <f>VLOOKUP(D354,epiunits!A$1:J$4000,7,FALSE)</f>
        <v>#N/A</v>
      </c>
      <c r="K354" s="1" t="e">
        <f>VLOOKUP(D354,epiunits!A$1:J$4000,8,FALSE)</f>
        <v>#N/A</v>
      </c>
      <c r="L354" s="1" t="e">
        <f>VLOOKUP(D354,epiunits!A$1:J$4000,9,FALSE)</f>
        <v>#N/A</v>
      </c>
      <c r="M354" s="1" t="e">
        <f>VLOOKUP(D354,epiunits!A$1:J$4000,10,FALSE)</f>
        <v>#N/A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</row>
    <row r="355" spans="1:51" x14ac:dyDescent="0.25">
      <c r="A355" s="1" t="e">
        <f>VLOOKUP(D355,epiunits!A$1:C$4000,2,FALSE)</f>
        <v>#N/A</v>
      </c>
      <c r="B355" s="1" t="e">
        <f>VLOOKUP(D355,epiunits!A$1:C$4000,3,FALSE)</f>
        <v>#N/A</v>
      </c>
      <c r="C355" s="1" t="e">
        <f>VLOOKUP(E355,Inspector!A$1:B$50,2,FALSE)</f>
        <v>#N/A</v>
      </c>
      <c r="I355" s="1" t="e">
        <f>VLOOKUP(D355,epiunits!A$1:J$4000,6,FALSE)</f>
        <v>#N/A</v>
      </c>
      <c r="J355" s="1" t="e">
        <f>VLOOKUP(D355,epiunits!A$1:J$4000,7,FALSE)</f>
        <v>#N/A</v>
      </c>
      <c r="K355" s="1" t="e">
        <f>VLOOKUP(D355,epiunits!A$1:J$4000,8,FALSE)</f>
        <v>#N/A</v>
      </c>
      <c r="L355" s="1" t="e">
        <f>VLOOKUP(D355,epiunits!A$1:J$4000,9,FALSE)</f>
        <v>#N/A</v>
      </c>
      <c r="M355" s="1" t="e">
        <f>VLOOKUP(D355,epiunits!A$1:J$4000,10,FALSE)</f>
        <v>#N/A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</row>
    <row r="356" spans="1:51" x14ac:dyDescent="0.25">
      <c r="A356" s="1" t="e">
        <f>VLOOKUP(D356,epiunits!A$1:C$4000,2,FALSE)</f>
        <v>#N/A</v>
      </c>
      <c r="B356" s="1" t="e">
        <f>VLOOKUP(D356,epiunits!A$1:C$4000,3,FALSE)</f>
        <v>#N/A</v>
      </c>
      <c r="C356" s="1" t="e">
        <f>VLOOKUP(E356,Inspector!A$1:B$50,2,FALSE)</f>
        <v>#N/A</v>
      </c>
      <c r="I356" s="1" t="e">
        <f>VLOOKUP(D356,epiunits!A$1:J$4000,6,FALSE)</f>
        <v>#N/A</v>
      </c>
      <c r="J356" s="1" t="e">
        <f>VLOOKUP(D356,epiunits!A$1:J$4000,7,FALSE)</f>
        <v>#N/A</v>
      </c>
      <c r="K356" s="1" t="e">
        <f>VLOOKUP(D356,epiunits!A$1:J$4000,8,FALSE)</f>
        <v>#N/A</v>
      </c>
      <c r="L356" s="1" t="e">
        <f>VLOOKUP(D356,epiunits!A$1:J$4000,9,FALSE)</f>
        <v>#N/A</v>
      </c>
      <c r="M356" s="1" t="e">
        <f>VLOOKUP(D356,epiunits!A$1:J$4000,10,FALSE)</f>
        <v>#N/A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</row>
    <row r="357" spans="1:51" x14ac:dyDescent="0.25">
      <c r="A357" s="1" t="e">
        <f>VLOOKUP(D357,epiunits!A$1:C$4000,2,FALSE)</f>
        <v>#N/A</v>
      </c>
      <c r="B357" s="1" t="e">
        <f>VLOOKUP(D357,epiunits!A$1:C$4000,3,FALSE)</f>
        <v>#N/A</v>
      </c>
      <c r="C357" s="1" t="e">
        <f>VLOOKUP(E357,Inspector!A$1:B$50,2,FALSE)</f>
        <v>#N/A</v>
      </c>
      <c r="I357" s="1" t="e">
        <f>VLOOKUP(D357,epiunits!A$1:J$4000,6,FALSE)</f>
        <v>#N/A</v>
      </c>
      <c r="J357" s="1" t="e">
        <f>VLOOKUP(D357,epiunits!A$1:J$4000,7,FALSE)</f>
        <v>#N/A</v>
      </c>
      <c r="K357" s="1" t="e">
        <f>VLOOKUP(D357,epiunits!A$1:J$4000,8,FALSE)</f>
        <v>#N/A</v>
      </c>
      <c r="L357" s="1" t="e">
        <f>VLOOKUP(D357,epiunits!A$1:J$4000,9,FALSE)</f>
        <v>#N/A</v>
      </c>
      <c r="M357" s="1" t="e">
        <f>VLOOKUP(D357,epiunits!A$1:J$4000,10,FALSE)</f>
        <v>#N/A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</row>
    <row r="358" spans="1:51" x14ac:dyDescent="0.25">
      <c r="A358" s="1" t="e">
        <f>VLOOKUP(D358,epiunits!A$1:C$4000,2,FALSE)</f>
        <v>#N/A</v>
      </c>
      <c r="B358" s="1" t="e">
        <f>VLOOKUP(D358,epiunits!A$1:C$4000,3,FALSE)</f>
        <v>#N/A</v>
      </c>
      <c r="C358" s="1" t="e">
        <f>VLOOKUP(E358,Inspector!A$1:B$50,2,FALSE)</f>
        <v>#N/A</v>
      </c>
      <c r="I358" s="1" t="e">
        <f>VLOOKUP(D358,epiunits!A$1:J$4000,6,FALSE)</f>
        <v>#N/A</v>
      </c>
      <c r="J358" s="1" t="e">
        <f>VLOOKUP(D358,epiunits!A$1:J$4000,7,FALSE)</f>
        <v>#N/A</v>
      </c>
      <c r="K358" s="1" t="e">
        <f>VLOOKUP(D358,epiunits!A$1:J$4000,8,FALSE)</f>
        <v>#N/A</v>
      </c>
      <c r="L358" s="1" t="e">
        <f>VLOOKUP(D358,epiunits!A$1:J$4000,9,FALSE)</f>
        <v>#N/A</v>
      </c>
      <c r="M358" s="1" t="e">
        <f>VLOOKUP(D358,epiunits!A$1:J$4000,10,FALSE)</f>
        <v>#N/A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</row>
    <row r="359" spans="1:51" x14ac:dyDescent="0.25">
      <c r="A359" s="1" t="e">
        <f>VLOOKUP(D359,epiunits!A$1:C$4000,2,FALSE)</f>
        <v>#N/A</v>
      </c>
      <c r="B359" s="1" t="e">
        <f>VLOOKUP(D359,epiunits!A$1:C$4000,3,FALSE)</f>
        <v>#N/A</v>
      </c>
      <c r="C359" s="1" t="e">
        <f>VLOOKUP(E359,Inspector!A$1:B$50,2,FALSE)</f>
        <v>#N/A</v>
      </c>
      <c r="I359" s="1" t="e">
        <f>VLOOKUP(D359,epiunits!A$1:J$4000,6,FALSE)</f>
        <v>#N/A</v>
      </c>
      <c r="J359" s="1" t="e">
        <f>VLOOKUP(D359,epiunits!A$1:J$4000,7,FALSE)</f>
        <v>#N/A</v>
      </c>
      <c r="K359" s="1" t="e">
        <f>VLOOKUP(D359,epiunits!A$1:J$4000,8,FALSE)</f>
        <v>#N/A</v>
      </c>
      <c r="L359" s="1" t="e">
        <f>VLOOKUP(D359,epiunits!A$1:J$4000,9,FALSE)</f>
        <v>#N/A</v>
      </c>
      <c r="M359" s="1" t="e">
        <f>VLOOKUP(D359,epiunits!A$1:J$4000,10,FALSE)</f>
        <v>#N/A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</row>
    <row r="360" spans="1:51" x14ac:dyDescent="0.25">
      <c r="A360" s="1" t="e">
        <f>VLOOKUP(D360,epiunits!A$1:C$4000,2,FALSE)</f>
        <v>#N/A</v>
      </c>
      <c r="B360" s="1" t="e">
        <f>VLOOKUP(D360,epiunits!A$1:C$4000,3,FALSE)</f>
        <v>#N/A</v>
      </c>
      <c r="C360" s="1" t="e">
        <f>VLOOKUP(E360,Inspector!A$1:B$50,2,FALSE)</f>
        <v>#N/A</v>
      </c>
      <c r="I360" s="1" t="e">
        <f>VLOOKUP(D360,epiunits!A$1:J$4000,6,FALSE)</f>
        <v>#N/A</v>
      </c>
      <c r="J360" s="1" t="e">
        <f>VLOOKUP(D360,epiunits!A$1:J$4000,7,FALSE)</f>
        <v>#N/A</v>
      </c>
      <c r="K360" s="1" t="e">
        <f>VLOOKUP(D360,epiunits!A$1:J$4000,8,FALSE)</f>
        <v>#N/A</v>
      </c>
      <c r="L360" s="1" t="e">
        <f>VLOOKUP(D360,epiunits!A$1:J$4000,9,FALSE)</f>
        <v>#N/A</v>
      </c>
      <c r="M360" s="1" t="e">
        <f>VLOOKUP(D360,epiunits!A$1:J$4000,10,FALSE)</f>
        <v>#N/A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</row>
    <row r="361" spans="1:51" x14ac:dyDescent="0.25">
      <c r="A361" s="1" t="e">
        <f>VLOOKUP(D361,epiunits!A$1:C$4000,2,FALSE)</f>
        <v>#N/A</v>
      </c>
      <c r="B361" s="1" t="e">
        <f>VLOOKUP(D361,epiunits!A$1:C$4000,3,FALSE)</f>
        <v>#N/A</v>
      </c>
      <c r="C361" s="1" t="e">
        <f>VLOOKUP(E361,Inspector!A$1:B$50,2,FALSE)</f>
        <v>#N/A</v>
      </c>
      <c r="I361" s="1" t="e">
        <f>VLOOKUP(D361,epiunits!A$1:J$4000,6,FALSE)</f>
        <v>#N/A</v>
      </c>
      <c r="J361" s="1" t="e">
        <f>VLOOKUP(D361,epiunits!A$1:J$4000,7,FALSE)</f>
        <v>#N/A</v>
      </c>
      <c r="K361" s="1" t="e">
        <f>VLOOKUP(D361,epiunits!A$1:J$4000,8,FALSE)</f>
        <v>#N/A</v>
      </c>
      <c r="L361" s="1" t="e">
        <f>VLOOKUP(D361,epiunits!A$1:J$4000,9,FALSE)</f>
        <v>#N/A</v>
      </c>
      <c r="M361" s="1" t="e">
        <f>VLOOKUP(D361,epiunits!A$1:J$4000,10,FALSE)</f>
        <v>#N/A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</row>
    <row r="362" spans="1:51" x14ac:dyDescent="0.25">
      <c r="A362" s="1" t="e">
        <f>VLOOKUP(D362,epiunits!A$1:C$4000,2,FALSE)</f>
        <v>#N/A</v>
      </c>
      <c r="B362" s="1" t="e">
        <f>VLOOKUP(D362,epiunits!A$1:C$4000,3,FALSE)</f>
        <v>#N/A</v>
      </c>
      <c r="C362" s="1" t="e">
        <f>VLOOKUP(E362,Inspector!A$1:B$50,2,FALSE)</f>
        <v>#N/A</v>
      </c>
      <c r="I362" s="1" t="e">
        <f>VLOOKUP(D362,epiunits!A$1:J$4000,6,FALSE)</f>
        <v>#N/A</v>
      </c>
      <c r="J362" s="1" t="e">
        <f>VLOOKUP(D362,epiunits!A$1:J$4000,7,FALSE)</f>
        <v>#N/A</v>
      </c>
      <c r="K362" s="1" t="e">
        <f>VLOOKUP(D362,epiunits!A$1:J$4000,8,FALSE)</f>
        <v>#N/A</v>
      </c>
      <c r="L362" s="1" t="e">
        <f>VLOOKUP(D362,epiunits!A$1:J$4000,9,FALSE)</f>
        <v>#N/A</v>
      </c>
      <c r="M362" s="1" t="e">
        <f>VLOOKUP(D362,epiunits!A$1:J$4000,10,FALSE)</f>
        <v>#N/A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</row>
    <row r="363" spans="1:51" x14ac:dyDescent="0.25">
      <c r="A363" s="1" t="e">
        <f>VLOOKUP(D363,epiunits!A$1:C$4000,2,FALSE)</f>
        <v>#N/A</v>
      </c>
      <c r="B363" s="1" t="e">
        <f>VLOOKUP(D363,epiunits!A$1:C$4000,3,FALSE)</f>
        <v>#N/A</v>
      </c>
      <c r="C363" s="1" t="e">
        <f>VLOOKUP(E363,Inspector!A$1:B$50,2,FALSE)</f>
        <v>#N/A</v>
      </c>
      <c r="I363" s="1" t="e">
        <f>VLOOKUP(D363,epiunits!A$1:J$4000,6,FALSE)</f>
        <v>#N/A</v>
      </c>
      <c r="J363" s="1" t="e">
        <f>VLOOKUP(D363,epiunits!A$1:J$4000,7,FALSE)</f>
        <v>#N/A</v>
      </c>
      <c r="K363" s="1" t="e">
        <f>VLOOKUP(D363,epiunits!A$1:J$4000,8,FALSE)</f>
        <v>#N/A</v>
      </c>
      <c r="L363" s="1" t="e">
        <f>VLOOKUP(D363,epiunits!A$1:J$4000,9,FALSE)</f>
        <v>#N/A</v>
      </c>
      <c r="M363" s="1" t="e">
        <f>VLOOKUP(D363,epiunits!A$1:J$4000,10,FALSE)</f>
        <v>#N/A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</row>
    <row r="364" spans="1:51" x14ac:dyDescent="0.25">
      <c r="A364" s="1" t="e">
        <f>VLOOKUP(D364,epiunits!A$1:C$4000,2,FALSE)</f>
        <v>#N/A</v>
      </c>
      <c r="B364" s="1" t="e">
        <f>VLOOKUP(D364,epiunits!A$1:C$4000,3,FALSE)</f>
        <v>#N/A</v>
      </c>
      <c r="C364" s="1" t="e">
        <f>VLOOKUP(E364,Inspector!A$1:B$50,2,FALSE)</f>
        <v>#N/A</v>
      </c>
      <c r="I364" s="1" t="e">
        <f>VLOOKUP(D364,epiunits!A$1:J$4000,6,FALSE)</f>
        <v>#N/A</v>
      </c>
      <c r="J364" s="1" t="e">
        <f>VLOOKUP(D364,epiunits!A$1:J$4000,7,FALSE)</f>
        <v>#N/A</v>
      </c>
      <c r="K364" s="1" t="e">
        <f>VLOOKUP(D364,epiunits!A$1:J$4000,8,FALSE)</f>
        <v>#N/A</v>
      </c>
      <c r="L364" s="1" t="e">
        <f>VLOOKUP(D364,epiunits!A$1:J$4000,9,FALSE)</f>
        <v>#N/A</v>
      </c>
      <c r="M364" s="1" t="e">
        <f>VLOOKUP(D364,epiunits!A$1:J$4000,10,FALSE)</f>
        <v>#N/A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</row>
    <row r="365" spans="1:51" x14ac:dyDescent="0.25">
      <c r="A365" s="1" t="e">
        <f>VLOOKUP(D365,epiunits!A$1:C$4000,2,FALSE)</f>
        <v>#N/A</v>
      </c>
      <c r="B365" s="1" t="e">
        <f>VLOOKUP(D365,epiunits!A$1:C$4000,3,FALSE)</f>
        <v>#N/A</v>
      </c>
      <c r="C365" s="1" t="e">
        <f>VLOOKUP(E365,Inspector!A$1:B$50,2,FALSE)</f>
        <v>#N/A</v>
      </c>
      <c r="I365" s="1" t="e">
        <f>VLOOKUP(D365,epiunits!A$1:J$4000,6,FALSE)</f>
        <v>#N/A</v>
      </c>
      <c r="J365" s="1" t="e">
        <f>VLOOKUP(D365,epiunits!A$1:J$4000,7,FALSE)</f>
        <v>#N/A</v>
      </c>
      <c r="K365" s="1" t="e">
        <f>VLOOKUP(D365,epiunits!A$1:J$4000,8,FALSE)</f>
        <v>#N/A</v>
      </c>
      <c r="L365" s="1" t="e">
        <f>VLOOKUP(D365,epiunits!A$1:J$4000,9,FALSE)</f>
        <v>#N/A</v>
      </c>
      <c r="M365" s="1" t="e">
        <f>VLOOKUP(D365,epiunits!A$1:J$4000,10,FALSE)</f>
        <v>#N/A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</row>
    <row r="366" spans="1:51" x14ac:dyDescent="0.25">
      <c r="A366" s="1" t="e">
        <f>VLOOKUP(D366,epiunits!A$1:C$4000,2,FALSE)</f>
        <v>#N/A</v>
      </c>
      <c r="B366" s="1" t="e">
        <f>VLOOKUP(D366,epiunits!A$1:C$4000,3,FALSE)</f>
        <v>#N/A</v>
      </c>
      <c r="C366" s="1" t="e">
        <f>VLOOKUP(E366,Inspector!A$1:B$50,2,FALSE)</f>
        <v>#N/A</v>
      </c>
      <c r="I366" s="1" t="e">
        <f>VLOOKUP(D366,epiunits!A$1:J$4000,6,FALSE)</f>
        <v>#N/A</v>
      </c>
      <c r="J366" s="1" t="e">
        <f>VLOOKUP(D366,epiunits!A$1:J$4000,7,FALSE)</f>
        <v>#N/A</v>
      </c>
      <c r="K366" s="1" t="e">
        <f>VLOOKUP(D366,epiunits!A$1:J$4000,8,FALSE)</f>
        <v>#N/A</v>
      </c>
      <c r="L366" s="1" t="e">
        <f>VLOOKUP(D366,epiunits!A$1:J$4000,9,FALSE)</f>
        <v>#N/A</v>
      </c>
      <c r="M366" s="1" t="e">
        <f>VLOOKUP(D366,epiunits!A$1:J$4000,10,FALSE)</f>
        <v>#N/A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</row>
    <row r="367" spans="1:51" x14ac:dyDescent="0.25">
      <c r="A367" s="1" t="e">
        <f>VLOOKUP(D367,epiunits!A$1:C$4000,2,FALSE)</f>
        <v>#N/A</v>
      </c>
      <c r="B367" s="1" t="e">
        <f>VLOOKUP(D367,epiunits!A$1:C$4000,3,FALSE)</f>
        <v>#N/A</v>
      </c>
      <c r="C367" s="1" t="e">
        <f>VLOOKUP(E367,Inspector!A$1:B$50,2,FALSE)</f>
        <v>#N/A</v>
      </c>
      <c r="I367" s="1" t="e">
        <f>VLOOKUP(D367,epiunits!A$1:J$4000,6,FALSE)</f>
        <v>#N/A</v>
      </c>
      <c r="J367" s="1" t="e">
        <f>VLOOKUP(D367,epiunits!A$1:J$4000,7,FALSE)</f>
        <v>#N/A</v>
      </c>
      <c r="K367" s="1" t="e">
        <f>VLOOKUP(D367,epiunits!A$1:J$4000,8,FALSE)</f>
        <v>#N/A</v>
      </c>
      <c r="L367" s="1" t="e">
        <f>VLOOKUP(D367,epiunits!A$1:J$4000,9,FALSE)</f>
        <v>#N/A</v>
      </c>
      <c r="M367" s="1" t="e">
        <f>VLOOKUP(D367,epiunits!A$1:J$4000,10,FALSE)</f>
        <v>#N/A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</row>
    <row r="368" spans="1:51" x14ac:dyDescent="0.25">
      <c r="A368" s="1" t="e">
        <f>VLOOKUP(D368,epiunits!A$1:C$4000,2,FALSE)</f>
        <v>#N/A</v>
      </c>
      <c r="B368" s="1" t="e">
        <f>VLOOKUP(D368,epiunits!A$1:C$4000,3,FALSE)</f>
        <v>#N/A</v>
      </c>
      <c r="C368" s="1" t="e">
        <f>VLOOKUP(E368,Inspector!A$1:B$50,2,FALSE)</f>
        <v>#N/A</v>
      </c>
      <c r="I368" s="1" t="e">
        <f>VLOOKUP(D368,epiunits!A$1:J$4000,6,FALSE)</f>
        <v>#N/A</v>
      </c>
      <c r="J368" s="1" t="e">
        <f>VLOOKUP(D368,epiunits!A$1:J$4000,7,FALSE)</f>
        <v>#N/A</v>
      </c>
      <c r="K368" s="1" t="e">
        <f>VLOOKUP(D368,epiunits!A$1:J$4000,8,FALSE)</f>
        <v>#N/A</v>
      </c>
      <c r="L368" s="1" t="e">
        <f>VLOOKUP(D368,epiunits!A$1:J$4000,9,FALSE)</f>
        <v>#N/A</v>
      </c>
      <c r="M368" s="1" t="e">
        <f>VLOOKUP(D368,epiunits!A$1:J$4000,10,FALSE)</f>
        <v>#N/A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</row>
    <row r="369" spans="1:51" x14ac:dyDescent="0.25">
      <c r="A369" s="1" t="e">
        <f>VLOOKUP(D369,epiunits!A$1:C$4000,2,FALSE)</f>
        <v>#N/A</v>
      </c>
      <c r="B369" s="1" t="e">
        <f>VLOOKUP(D369,epiunits!A$1:C$4000,3,FALSE)</f>
        <v>#N/A</v>
      </c>
      <c r="C369" s="1" t="e">
        <f>VLOOKUP(E369,Inspector!A$1:B$50,2,FALSE)</f>
        <v>#N/A</v>
      </c>
      <c r="I369" s="1" t="e">
        <f>VLOOKUP(D369,epiunits!A$1:J$4000,6,FALSE)</f>
        <v>#N/A</v>
      </c>
      <c r="J369" s="1" t="e">
        <f>VLOOKUP(D369,epiunits!A$1:J$4000,7,FALSE)</f>
        <v>#N/A</v>
      </c>
      <c r="K369" s="1" t="e">
        <f>VLOOKUP(D369,epiunits!A$1:J$4000,8,FALSE)</f>
        <v>#N/A</v>
      </c>
      <c r="L369" s="1" t="e">
        <f>VLOOKUP(D369,epiunits!A$1:J$4000,9,FALSE)</f>
        <v>#N/A</v>
      </c>
      <c r="M369" s="1" t="e">
        <f>VLOOKUP(D369,epiunits!A$1:J$4000,10,FALSE)</f>
        <v>#N/A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</row>
    <row r="370" spans="1:51" x14ac:dyDescent="0.25">
      <c r="A370" s="1" t="e">
        <f>VLOOKUP(D370,epiunits!A$1:C$4000,2,FALSE)</f>
        <v>#N/A</v>
      </c>
      <c r="B370" s="1" t="e">
        <f>VLOOKUP(D370,epiunits!A$1:C$4000,3,FALSE)</f>
        <v>#N/A</v>
      </c>
      <c r="C370" s="1" t="e">
        <f>VLOOKUP(E370,Inspector!A$1:B$50,2,FALSE)</f>
        <v>#N/A</v>
      </c>
      <c r="I370" s="1" t="e">
        <f>VLOOKUP(D370,epiunits!A$1:J$4000,6,FALSE)</f>
        <v>#N/A</v>
      </c>
      <c r="J370" s="1" t="e">
        <f>VLOOKUP(D370,epiunits!A$1:J$4000,7,FALSE)</f>
        <v>#N/A</v>
      </c>
      <c r="K370" s="1" t="e">
        <f>VLOOKUP(D370,epiunits!A$1:J$4000,8,FALSE)</f>
        <v>#N/A</v>
      </c>
      <c r="L370" s="1" t="e">
        <f>VLOOKUP(D370,epiunits!A$1:J$4000,9,FALSE)</f>
        <v>#N/A</v>
      </c>
      <c r="M370" s="1" t="e">
        <f>VLOOKUP(D370,epiunits!A$1:J$4000,10,FALSE)</f>
        <v>#N/A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</row>
    <row r="371" spans="1:51" x14ac:dyDescent="0.25">
      <c r="A371" s="1" t="e">
        <f>VLOOKUP(D371,epiunits!A$1:C$4000,2,FALSE)</f>
        <v>#N/A</v>
      </c>
      <c r="B371" s="1" t="e">
        <f>VLOOKUP(D371,epiunits!A$1:C$4000,3,FALSE)</f>
        <v>#N/A</v>
      </c>
      <c r="C371" s="1" t="e">
        <f>VLOOKUP(E371,Inspector!A$1:B$50,2,FALSE)</f>
        <v>#N/A</v>
      </c>
      <c r="I371" s="1" t="e">
        <f>VLOOKUP(D371,epiunits!A$1:J$4000,6,FALSE)</f>
        <v>#N/A</v>
      </c>
      <c r="J371" s="1" t="e">
        <f>VLOOKUP(D371,epiunits!A$1:J$4000,7,FALSE)</f>
        <v>#N/A</v>
      </c>
      <c r="K371" s="1" t="e">
        <f>VLOOKUP(D371,epiunits!A$1:J$4000,8,FALSE)</f>
        <v>#N/A</v>
      </c>
      <c r="L371" s="1" t="e">
        <f>VLOOKUP(D371,epiunits!A$1:J$4000,9,FALSE)</f>
        <v>#N/A</v>
      </c>
      <c r="M371" s="1" t="e">
        <f>VLOOKUP(D371,epiunits!A$1:J$4000,10,FALSE)</f>
        <v>#N/A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</row>
    <row r="372" spans="1:51" x14ac:dyDescent="0.25">
      <c r="A372" s="1" t="e">
        <f>VLOOKUP(D372,epiunits!A$1:C$4000,2,FALSE)</f>
        <v>#N/A</v>
      </c>
      <c r="B372" s="1" t="e">
        <f>VLOOKUP(D372,epiunits!A$1:C$4000,3,FALSE)</f>
        <v>#N/A</v>
      </c>
      <c r="C372" s="1" t="e">
        <f>VLOOKUP(E372,Inspector!A$1:B$50,2,FALSE)</f>
        <v>#N/A</v>
      </c>
      <c r="I372" s="1" t="e">
        <f>VLOOKUP(D372,epiunits!A$1:J$4000,6,FALSE)</f>
        <v>#N/A</v>
      </c>
      <c r="J372" s="1" t="e">
        <f>VLOOKUP(D372,epiunits!A$1:J$4000,7,FALSE)</f>
        <v>#N/A</v>
      </c>
      <c r="K372" s="1" t="e">
        <f>VLOOKUP(D372,epiunits!A$1:J$4000,8,FALSE)</f>
        <v>#N/A</v>
      </c>
      <c r="L372" s="1" t="e">
        <f>VLOOKUP(D372,epiunits!A$1:J$4000,9,FALSE)</f>
        <v>#N/A</v>
      </c>
      <c r="M372" s="1" t="e">
        <f>VLOOKUP(D372,epiunits!A$1:J$4000,10,FALSE)</f>
        <v>#N/A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</row>
    <row r="373" spans="1:51" x14ac:dyDescent="0.25">
      <c r="A373" s="1" t="e">
        <f>VLOOKUP(D373,epiunits!A$1:C$4000,2,FALSE)</f>
        <v>#N/A</v>
      </c>
      <c r="B373" s="1" t="e">
        <f>VLOOKUP(D373,epiunits!A$1:C$4000,3,FALSE)</f>
        <v>#N/A</v>
      </c>
      <c r="C373" s="1" t="e">
        <f>VLOOKUP(E373,Inspector!A$1:B$50,2,FALSE)</f>
        <v>#N/A</v>
      </c>
      <c r="I373" s="1" t="e">
        <f>VLOOKUP(D373,epiunits!A$1:J$4000,6,FALSE)</f>
        <v>#N/A</v>
      </c>
      <c r="J373" s="1" t="e">
        <f>VLOOKUP(D373,epiunits!A$1:J$4000,7,FALSE)</f>
        <v>#N/A</v>
      </c>
      <c r="K373" s="1" t="e">
        <f>VLOOKUP(D373,epiunits!A$1:J$4000,8,FALSE)</f>
        <v>#N/A</v>
      </c>
      <c r="L373" s="1" t="e">
        <f>VLOOKUP(D373,epiunits!A$1:J$4000,9,FALSE)</f>
        <v>#N/A</v>
      </c>
      <c r="M373" s="1" t="e">
        <f>VLOOKUP(D373,epiunits!A$1:J$4000,10,FALSE)</f>
        <v>#N/A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</row>
    <row r="374" spans="1:51" x14ac:dyDescent="0.25">
      <c r="A374" s="1" t="e">
        <f>VLOOKUP(D374,epiunits!A$1:C$4000,2,FALSE)</f>
        <v>#N/A</v>
      </c>
      <c r="B374" s="1" t="e">
        <f>VLOOKUP(D374,epiunits!A$1:C$4000,3,FALSE)</f>
        <v>#N/A</v>
      </c>
      <c r="C374" s="1" t="e">
        <f>VLOOKUP(E374,Inspector!A$1:B$50,2,FALSE)</f>
        <v>#N/A</v>
      </c>
      <c r="I374" s="1" t="e">
        <f>VLOOKUP(D374,epiunits!A$1:J$4000,6,FALSE)</f>
        <v>#N/A</v>
      </c>
      <c r="J374" s="1" t="e">
        <f>VLOOKUP(D374,epiunits!A$1:J$4000,7,FALSE)</f>
        <v>#N/A</v>
      </c>
      <c r="K374" s="1" t="e">
        <f>VLOOKUP(D374,epiunits!A$1:J$4000,8,FALSE)</f>
        <v>#N/A</v>
      </c>
      <c r="L374" s="1" t="e">
        <f>VLOOKUP(D374,epiunits!A$1:J$4000,9,FALSE)</f>
        <v>#N/A</v>
      </c>
      <c r="M374" s="1" t="e">
        <f>VLOOKUP(D374,epiunits!A$1:J$4000,10,FALSE)</f>
        <v>#N/A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</row>
    <row r="375" spans="1:51" x14ac:dyDescent="0.25">
      <c r="A375" s="1" t="e">
        <f>VLOOKUP(D375,epiunits!A$1:C$4000,2,FALSE)</f>
        <v>#N/A</v>
      </c>
      <c r="B375" s="1" t="e">
        <f>VLOOKUP(D375,epiunits!A$1:C$4000,3,FALSE)</f>
        <v>#N/A</v>
      </c>
      <c r="C375" s="1" t="e">
        <f>VLOOKUP(E375,Inspector!A$1:B$50,2,FALSE)</f>
        <v>#N/A</v>
      </c>
      <c r="I375" s="1" t="e">
        <f>VLOOKUP(D375,epiunits!A$1:J$4000,6,FALSE)</f>
        <v>#N/A</v>
      </c>
      <c r="J375" s="1" t="e">
        <f>VLOOKUP(D375,epiunits!A$1:J$4000,7,FALSE)</f>
        <v>#N/A</v>
      </c>
      <c r="K375" s="1" t="e">
        <f>VLOOKUP(D375,epiunits!A$1:J$4000,8,FALSE)</f>
        <v>#N/A</v>
      </c>
      <c r="L375" s="1" t="e">
        <f>VLOOKUP(D375,epiunits!A$1:J$4000,9,FALSE)</f>
        <v>#N/A</v>
      </c>
      <c r="M375" s="1" t="e">
        <f>VLOOKUP(D375,epiunits!A$1:J$4000,10,FALSE)</f>
        <v>#N/A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</row>
    <row r="376" spans="1:51" x14ac:dyDescent="0.25">
      <c r="A376" s="1" t="e">
        <f>VLOOKUP(D376,epiunits!A$1:C$4000,2,FALSE)</f>
        <v>#N/A</v>
      </c>
      <c r="B376" s="1" t="e">
        <f>VLOOKUP(D376,epiunits!A$1:C$4000,3,FALSE)</f>
        <v>#N/A</v>
      </c>
      <c r="C376" s="1" t="e">
        <f>VLOOKUP(E376,Inspector!A$1:B$50,2,FALSE)</f>
        <v>#N/A</v>
      </c>
      <c r="I376" s="1" t="e">
        <f>VLOOKUP(D376,epiunits!A$1:J$4000,6,FALSE)</f>
        <v>#N/A</v>
      </c>
      <c r="J376" s="1" t="e">
        <f>VLOOKUP(D376,epiunits!A$1:J$4000,7,FALSE)</f>
        <v>#N/A</v>
      </c>
      <c r="K376" s="1" t="e">
        <f>VLOOKUP(D376,epiunits!A$1:J$4000,8,FALSE)</f>
        <v>#N/A</v>
      </c>
      <c r="L376" s="1" t="e">
        <f>VLOOKUP(D376,epiunits!A$1:J$4000,9,FALSE)</f>
        <v>#N/A</v>
      </c>
      <c r="M376" s="1" t="e">
        <f>VLOOKUP(D376,epiunits!A$1:J$4000,10,FALSE)</f>
        <v>#N/A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</row>
    <row r="377" spans="1:51" x14ac:dyDescent="0.25">
      <c r="A377" s="1" t="e">
        <f>VLOOKUP(D377,epiunits!A$1:C$4000,2,FALSE)</f>
        <v>#N/A</v>
      </c>
      <c r="B377" s="1" t="e">
        <f>VLOOKUP(D377,epiunits!A$1:C$4000,3,FALSE)</f>
        <v>#N/A</v>
      </c>
      <c r="C377" s="1" t="e">
        <f>VLOOKUP(E377,Inspector!A$1:B$50,2,FALSE)</f>
        <v>#N/A</v>
      </c>
      <c r="I377" s="1" t="e">
        <f>VLOOKUP(D377,epiunits!A$1:J$4000,6,FALSE)</f>
        <v>#N/A</v>
      </c>
      <c r="J377" s="1" t="e">
        <f>VLOOKUP(D377,epiunits!A$1:J$4000,7,FALSE)</f>
        <v>#N/A</v>
      </c>
      <c r="K377" s="1" t="e">
        <f>VLOOKUP(D377,epiunits!A$1:J$4000,8,FALSE)</f>
        <v>#N/A</v>
      </c>
      <c r="L377" s="1" t="e">
        <f>VLOOKUP(D377,epiunits!A$1:J$4000,9,FALSE)</f>
        <v>#N/A</v>
      </c>
      <c r="M377" s="1" t="e">
        <f>VLOOKUP(D377,epiunits!A$1:J$4000,10,FALSE)</f>
        <v>#N/A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</row>
    <row r="378" spans="1:51" x14ac:dyDescent="0.25">
      <c r="A378" s="1" t="e">
        <f>VLOOKUP(D378,epiunits!A$1:C$4000,2,FALSE)</f>
        <v>#N/A</v>
      </c>
      <c r="B378" s="1" t="e">
        <f>VLOOKUP(D378,epiunits!A$1:C$4000,3,FALSE)</f>
        <v>#N/A</v>
      </c>
      <c r="C378" s="1" t="e">
        <f>VLOOKUP(E378,Inspector!A$1:B$50,2,FALSE)</f>
        <v>#N/A</v>
      </c>
      <c r="I378" s="1" t="e">
        <f>VLOOKUP(D378,epiunits!A$1:J$4000,6,FALSE)</f>
        <v>#N/A</v>
      </c>
      <c r="J378" s="1" t="e">
        <f>VLOOKUP(D378,epiunits!A$1:J$4000,7,FALSE)</f>
        <v>#N/A</v>
      </c>
      <c r="K378" s="1" t="e">
        <f>VLOOKUP(D378,epiunits!A$1:J$4000,8,FALSE)</f>
        <v>#N/A</v>
      </c>
      <c r="L378" s="1" t="e">
        <f>VLOOKUP(D378,epiunits!A$1:J$4000,9,FALSE)</f>
        <v>#N/A</v>
      </c>
      <c r="M378" s="1" t="e">
        <f>VLOOKUP(D378,epiunits!A$1:J$4000,10,FALSE)</f>
        <v>#N/A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</row>
    <row r="379" spans="1:51" x14ac:dyDescent="0.25">
      <c r="A379" s="1" t="e">
        <f>VLOOKUP(D379,epiunits!A$1:C$4000,2,FALSE)</f>
        <v>#N/A</v>
      </c>
      <c r="B379" s="1" t="e">
        <f>VLOOKUP(D379,epiunits!A$1:C$4000,3,FALSE)</f>
        <v>#N/A</v>
      </c>
      <c r="C379" s="1" t="e">
        <f>VLOOKUP(E379,Inspector!A$1:B$50,2,FALSE)</f>
        <v>#N/A</v>
      </c>
      <c r="I379" s="1" t="e">
        <f>VLOOKUP(D379,epiunits!A$1:J$4000,6,FALSE)</f>
        <v>#N/A</v>
      </c>
      <c r="J379" s="1" t="e">
        <f>VLOOKUP(D379,epiunits!A$1:J$4000,7,FALSE)</f>
        <v>#N/A</v>
      </c>
      <c r="K379" s="1" t="e">
        <f>VLOOKUP(D379,epiunits!A$1:J$4000,8,FALSE)</f>
        <v>#N/A</v>
      </c>
      <c r="L379" s="1" t="e">
        <f>VLOOKUP(D379,epiunits!A$1:J$4000,9,FALSE)</f>
        <v>#N/A</v>
      </c>
      <c r="M379" s="1" t="e">
        <f>VLOOKUP(D379,epiunits!A$1:J$4000,10,FALSE)</f>
        <v>#N/A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</row>
    <row r="380" spans="1:51" x14ac:dyDescent="0.25">
      <c r="A380" s="1" t="e">
        <f>VLOOKUP(D380,epiunits!A$1:C$4000,2,FALSE)</f>
        <v>#N/A</v>
      </c>
      <c r="B380" s="1" t="e">
        <f>VLOOKUP(D380,epiunits!A$1:C$4000,3,FALSE)</f>
        <v>#N/A</v>
      </c>
      <c r="C380" s="1" t="e">
        <f>VLOOKUP(E380,Inspector!A$1:B$50,2,FALSE)</f>
        <v>#N/A</v>
      </c>
      <c r="I380" s="1" t="e">
        <f>VLOOKUP(D380,epiunits!A$1:J$4000,6,FALSE)</f>
        <v>#N/A</v>
      </c>
      <c r="J380" s="1" t="e">
        <f>VLOOKUP(D380,epiunits!A$1:J$4000,7,FALSE)</f>
        <v>#N/A</v>
      </c>
      <c r="K380" s="1" t="e">
        <f>VLOOKUP(D380,epiunits!A$1:J$4000,8,FALSE)</f>
        <v>#N/A</v>
      </c>
      <c r="L380" s="1" t="e">
        <f>VLOOKUP(D380,epiunits!A$1:J$4000,9,FALSE)</f>
        <v>#N/A</v>
      </c>
      <c r="M380" s="1" t="e">
        <f>VLOOKUP(D380,epiunits!A$1:J$4000,10,FALSE)</f>
        <v>#N/A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</row>
    <row r="381" spans="1:51" x14ac:dyDescent="0.25">
      <c r="A381" s="1" t="e">
        <f>VLOOKUP(D381,epiunits!A$1:C$4000,2,FALSE)</f>
        <v>#N/A</v>
      </c>
      <c r="B381" s="1" t="e">
        <f>VLOOKUP(D381,epiunits!A$1:C$4000,3,FALSE)</f>
        <v>#N/A</v>
      </c>
      <c r="C381" s="1" t="e">
        <f>VLOOKUP(E381,Inspector!A$1:B$50,2,FALSE)</f>
        <v>#N/A</v>
      </c>
      <c r="I381" s="1" t="e">
        <f>VLOOKUP(D381,epiunits!A$1:J$4000,6,FALSE)</f>
        <v>#N/A</v>
      </c>
      <c r="J381" s="1" t="e">
        <f>VLOOKUP(D381,epiunits!A$1:J$4000,7,FALSE)</f>
        <v>#N/A</v>
      </c>
      <c r="K381" s="1" t="e">
        <f>VLOOKUP(D381,epiunits!A$1:J$4000,8,FALSE)</f>
        <v>#N/A</v>
      </c>
      <c r="L381" s="1" t="e">
        <f>VLOOKUP(D381,epiunits!A$1:J$4000,9,FALSE)</f>
        <v>#N/A</v>
      </c>
      <c r="M381" s="1" t="e">
        <f>VLOOKUP(D381,epiunits!A$1:J$4000,10,FALSE)</f>
        <v>#N/A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</row>
    <row r="382" spans="1:51" x14ac:dyDescent="0.25">
      <c r="A382" s="1" t="e">
        <f>VLOOKUP(D382,epiunits!A$1:C$4000,2,FALSE)</f>
        <v>#N/A</v>
      </c>
      <c r="B382" s="1" t="e">
        <f>VLOOKUP(D382,epiunits!A$1:C$4000,3,FALSE)</f>
        <v>#N/A</v>
      </c>
      <c r="C382" s="1" t="e">
        <f>VLOOKUP(E382,Inspector!A$1:B$50,2,FALSE)</f>
        <v>#N/A</v>
      </c>
      <c r="I382" s="1" t="e">
        <f>VLOOKUP(D382,epiunits!A$1:J$4000,6,FALSE)</f>
        <v>#N/A</v>
      </c>
      <c r="J382" s="1" t="e">
        <f>VLOOKUP(D382,epiunits!A$1:J$4000,7,FALSE)</f>
        <v>#N/A</v>
      </c>
      <c r="K382" s="1" t="e">
        <f>VLOOKUP(D382,epiunits!A$1:J$4000,8,FALSE)</f>
        <v>#N/A</v>
      </c>
      <c r="L382" s="1" t="e">
        <f>VLOOKUP(D382,epiunits!A$1:J$4000,9,FALSE)</f>
        <v>#N/A</v>
      </c>
      <c r="M382" s="1" t="e">
        <f>VLOOKUP(D382,epiunits!A$1:J$4000,10,FALSE)</f>
        <v>#N/A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</row>
    <row r="383" spans="1:51" x14ac:dyDescent="0.25">
      <c r="A383" s="1" t="e">
        <f>VLOOKUP(D383,epiunits!A$1:C$4000,2,FALSE)</f>
        <v>#N/A</v>
      </c>
      <c r="B383" s="1" t="e">
        <f>VLOOKUP(D383,epiunits!A$1:C$4000,3,FALSE)</f>
        <v>#N/A</v>
      </c>
      <c r="C383" s="1" t="e">
        <f>VLOOKUP(E383,Inspector!A$1:B$50,2,FALSE)</f>
        <v>#N/A</v>
      </c>
      <c r="I383" s="1" t="e">
        <f>VLOOKUP(D383,epiunits!A$1:J$4000,6,FALSE)</f>
        <v>#N/A</v>
      </c>
      <c r="J383" s="1" t="e">
        <f>VLOOKUP(D383,epiunits!A$1:J$4000,7,FALSE)</f>
        <v>#N/A</v>
      </c>
      <c r="K383" s="1" t="e">
        <f>VLOOKUP(D383,epiunits!A$1:J$4000,8,FALSE)</f>
        <v>#N/A</v>
      </c>
      <c r="L383" s="1" t="e">
        <f>VLOOKUP(D383,epiunits!A$1:J$4000,9,FALSE)</f>
        <v>#N/A</v>
      </c>
      <c r="M383" s="1" t="e">
        <f>VLOOKUP(D383,epiunits!A$1:J$4000,10,FALSE)</f>
        <v>#N/A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</row>
    <row r="384" spans="1:51" x14ac:dyDescent="0.25">
      <c r="A384" s="1" t="e">
        <f>VLOOKUP(D384,epiunits!A$1:C$4000,2,FALSE)</f>
        <v>#N/A</v>
      </c>
      <c r="B384" s="1" t="e">
        <f>VLOOKUP(D384,epiunits!A$1:C$4000,3,FALSE)</f>
        <v>#N/A</v>
      </c>
      <c r="C384" s="1" t="e">
        <f>VLOOKUP(E384,Inspector!A$1:B$50,2,FALSE)</f>
        <v>#N/A</v>
      </c>
      <c r="I384" s="1" t="e">
        <f>VLOOKUP(D384,epiunits!A$1:J$4000,6,FALSE)</f>
        <v>#N/A</v>
      </c>
      <c r="J384" s="1" t="e">
        <f>VLOOKUP(D384,epiunits!A$1:J$4000,7,FALSE)</f>
        <v>#N/A</v>
      </c>
      <c r="K384" s="1" t="e">
        <f>VLOOKUP(D384,epiunits!A$1:J$4000,8,FALSE)</f>
        <v>#N/A</v>
      </c>
      <c r="L384" s="1" t="e">
        <f>VLOOKUP(D384,epiunits!A$1:J$4000,9,FALSE)</f>
        <v>#N/A</v>
      </c>
      <c r="M384" s="1" t="e">
        <f>VLOOKUP(D384,epiunits!A$1:J$4000,10,FALSE)</f>
        <v>#N/A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</row>
    <row r="385" spans="1:51" x14ac:dyDescent="0.25">
      <c r="A385" s="1" t="e">
        <f>VLOOKUP(D385,epiunits!A$1:C$4000,2,FALSE)</f>
        <v>#N/A</v>
      </c>
      <c r="B385" s="1" t="e">
        <f>VLOOKUP(D385,epiunits!A$1:C$4000,3,FALSE)</f>
        <v>#N/A</v>
      </c>
      <c r="C385" s="1" t="e">
        <f>VLOOKUP(E385,Inspector!A$1:B$50,2,FALSE)</f>
        <v>#N/A</v>
      </c>
      <c r="I385" s="1" t="e">
        <f>VLOOKUP(D385,epiunits!A$1:J$4000,6,FALSE)</f>
        <v>#N/A</v>
      </c>
      <c r="J385" s="1" t="e">
        <f>VLOOKUP(D385,epiunits!A$1:J$4000,7,FALSE)</f>
        <v>#N/A</v>
      </c>
      <c r="K385" s="1" t="e">
        <f>VLOOKUP(D385,epiunits!A$1:J$4000,8,FALSE)</f>
        <v>#N/A</v>
      </c>
      <c r="L385" s="1" t="e">
        <f>VLOOKUP(D385,epiunits!A$1:J$4000,9,FALSE)</f>
        <v>#N/A</v>
      </c>
      <c r="M385" s="1" t="e">
        <f>VLOOKUP(D385,epiunits!A$1:J$4000,10,FALSE)</f>
        <v>#N/A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</row>
    <row r="386" spans="1:51" x14ac:dyDescent="0.25">
      <c r="A386" s="1" t="e">
        <f>VLOOKUP(D386,epiunits!A$1:C$4000,2,FALSE)</f>
        <v>#N/A</v>
      </c>
      <c r="B386" s="1" t="e">
        <f>VLOOKUP(D386,epiunits!A$1:C$4000,3,FALSE)</f>
        <v>#N/A</v>
      </c>
      <c r="C386" s="1" t="e">
        <f>VLOOKUP(E386,Inspector!A$1:B$50,2,FALSE)</f>
        <v>#N/A</v>
      </c>
      <c r="I386" s="1" t="e">
        <f>VLOOKUP(D386,epiunits!A$1:J$4000,6,FALSE)</f>
        <v>#N/A</v>
      </c>
      <c r="J386" s="1" t="e">
        <f>VLOOKUP(D386,epiunits!A$1:J$4000,7,FALSE)</f>
        <v>#N/A</v>
      </c>
      <c r="K386" s="1" t="e">
        <f>VLOOKUP(D386,epiunits!A$1:J$4000,8,FALSE)</f>
        <v>#N/A</v>
      </c>
      <c r="L386" s="1" t="e">
        <f>VLOOKUP(D386,epiunits!A$1:J$4000,9,FALSE)</f>
        <v>#N/A</v>
      </c>
      <c r="M386" s="1" t="e">
        <f>VLOOKUP(D386,epiunits!A$1:J$4000,10,FALSE)</f>
        <v>#N/A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</row>
    <row r="387" spans="1:51" x14ac:dyDescent="0.25">
      <c r="A387" s="1" t="e">
        <f>VLOOKUP(D387,epiunits!A$1:C$4000,2,FALSE)</f>
        <v>#N/A</v>
      </c>
      <c r="B387" s="1" t="e">
        <f>VLOOKUP(D387,epiunits!A$1:C$4000,3,FALSE)</f>
        <v>#N/A</v>
      </c>
      <c r="C387" s="1" t="e">
        <f>VLOOKUP(E387,Inspector!A$1:B$50,2,FALSE)</f>
        <v>#N/A</v>
      </c>
      <c r="I387" s="1" t="e">
        <f>VLOOKUP(D387,epiunits!A$1:J$4000,6,FALSE)</f>
        <v>#N/A</v>
      </c>
      <c r="J387" s="1" t="e">
        <f>VLOOKUP(D387,epiunits!A$1:J$4000,7,FALSE)</f>
        <v>#N/A</v>
      </c>
      <c r="K387" s="1" t="e">
        <f>VLOOKUP(D387,epiunits!A$1:J$4000,8,FALSE)</f>
        <v>#N/A</v>
      </c>
      <c r="L387" s="1" t="e">
        <f>VLOOKUP(D387,epiunits!A$1:J$4000,9,FALSE)</f>
        <v>#N/A</v>
      </c>
      <c r="M387" s="1" t="e">
        <f>VLOOKUP(D387,epiunits!A$1:J$4000,10,FALSE)</f>
        <v>#N/A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</row>
    <row r="388" spans="1:51" x14ac:dyDescent="0.25">
      <c r="A388" s="1" t="e">
        <f>VLOOKUP(D388,epiunits!A$1:C$4000,2,FALSE)</f>
        <v>#N/A</v>
      </c>
      <c r="B388" s="1" t="e">
        <f>VLOOKUP(D388,epiunits!A$1:C$4000,3,FALSE)</f>
        <v>#N/A</v>
      </c>
      <c r="C388" s="1" t="e">
        <f>VLOOKUP(E388,Inspector!A$1:B$50,2,FALSE)</f>
        <v>#N/A</v>
      </c>
      <c r="I388" s="1" t="e">
        <f>VLOOKUP(D388,epiunits!A$1:J$4000,6,FALSE)</f>
        <v>#N/A</v>
      </c>
      <c r="J388" s="1" t="e">
        <f>VLOOKUP(D388,epiunits!A$1:J$4000,7,FALSE)</f>
        <v>#N/A</v>
      </c>
      <c r="K388" s="1" t="e">
        <f>VLOOKUP(D388,epiunits!A$1:J$4000,8,FALSE)</f>
        <v>#N/A</v>
      </c>
      <c r="L388" s="1" t="e">
        <f>VLOOKUP(D388,epiunits!A$1:J$4000,9,FALSE)</f>
        <v>#N/A</v>
      </c>
      <c r="M388" s="1" t="e">
        <f>VLOOKUP(D388,epiunits!A$1:J$4000,10,FALSE)</f>
        <v>#N/A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 x14ac:dyDescent="0.25">
      <c r="A389" s="1" t="e">
        <f>VLOOKUP(D389,epiunits!A$1:C$4000,2,FALSE)</f>
        <v>#N/A</v>
      </c>
      <c r="B389" s="1" t="e">
        <f>VLOOKUP(D389,epiunits!A$1:C$4000,3,FALSE)</f>
        <v>#N/A</v>
      </c>
      <c r="C389" s="1" t="e">
        <f>VLOOKUP(E389,Inspector!A$1:B$50,2,FALSE)</f>
        <v>#N/A</v>
      </c>
      <c r="I389" s="1" t="e">
        <f>VLOOKUP(D389,epiunits!A$1:J$4000,6,FALSE)</f>
        <v>#N/A</v>
      </c>
      <c r="J389" s="1" t="e">
        <f>VLOOKUP(D389,epiunits!A$1:J$4000,7,FALSE)</f>
        <v>#N/A</v>
      </c>
      <c r="K389" s="1" t="e">
        <f>VLOOKUP(D389,epiunits!A$1:J$4000,8,FALSE)</f>
        <v>#N/A</v>
      </c>
      <c r="L389" s="1" t="e">
        <f>VLOOKUP(D389,epiunits!A$1:J$4000,9,FALSE)</f>
        <v>#N/A</v>
      </c>
      <c r="M389" s="1" t="e">
        <f>VLOOKUP(D389,epiunits!A$1:J$4000,10,FALSE)</f>
        <v>#N/A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</row>
    <row r="390" spans="1:51" x14ac:dyDescent="0.25">
      <c r="A390" s="1" t="e">
        <f>VLOOKUP(D390,epiunits!A$1:C$4000,2,FALSE)</f>
        <v>#N/A</v>
      </c>
      <c r="B390" s="1" t="e">
        <f>VLOOKUP(D390,epiunits!A$1:C$4000,3,FALSE)</f>
        <v>#N/A</v>
      </c>
      <c r="C390" s="1" t="e">
        <f>VLOOKUP(E390,Inspector!A$1:B$50,2,FALSE)</f>
        <v>#N/A</v>
      </c>
      <c r="I390" s="1" t="e">
        <f>VLOOKUP(D390,epiunits!A$1:J$4000,6,FALSE)</f>
        <v>#N/A</v>
      </c>
      <c r="J390" s="1" t="e">
        <f>VLOOKUP(D390,epiunits!A$1:J$4000,7,FALSE)</f>
        <v>#N/A</v>
      </c>
      <c r="K390" s="1" t="e">
        <f>VLOOKUP(D390,epiunits!A$1:J$4000,8,FALSE)</f>
        <v>#N/A</v>
      </c>
      <c r="L390" s="1" t="e">
        <f>VLOOKUP(D390,epiunits!A$1:J$4000,9,FALSE)</f>
        <v>#N/A</v>
      </c>
      <c r="M390" s="1" t="e">
        <f>VLOOKUP(D390,epiunits!A$1:J$4000,10,FALSE)</f>
        <v>#N/A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</row>
    <row r="391" spans="1:51" x14ac:dyDescent="0.25">
      <c r="A391" s="1" t="e">
        <f>VLOOKUP(D391,epiunits!A$1:C$4000,2,FALSE)</f>
        <v>#N/A</v>
      </c>
      <c r="B391" s="1" t="e">
        <f>VLOOKUP(D391,epiunits!A$1:C$4000,3,FALSE)</f>
        <v>#N/A</v>
      </c>
      <c r="C391" s="1" t="e">
        <f>VLOOKUP(E391,Inspector!A$1:B$50,2,FALSE)</f>
        <v>#N/A</v>
      </c>
      <c r="I391" s="1" t="e">
        <f>VLOOKUP(D391,epiunits!A$1:J$4000,6,FALSE)</f>
        <v>#N/A</v>
      </c>
      <c r="J391" s="1" t="e">
        <f>VLOOKUP(D391,epiunits!A$1:J$4000,7,FALSE)</f>
        <v>#N/A</v>
      </c>
      <c r="K391" s="1" t="e">
        <f>VLOOKUP(D391,epiunits!A$1:J$4000,8,FALSE)</f>
        <v>#N/A</v>
      </c>
      <c r="L391" s="1" t="e">
        <f>VLOOKUP(D391,epiunits!A$1:J$4000,9,FALSE)</f>
        <v>#N/A</v>
      </c>
      <c r="M391" s="1" t="e">
        <f>VLOOKUP(D391,epiunits!A$1:J$4000,10,FALSE)</f>
        <v>#N/A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</row>
    <row r="392" spans="1:51" x14ac:dyDescent="0.25">
      <c r="A392" s="1" t="e">
        <f>VLOOKUP(D392,epiunits!A$1:C$4000,2,FALSE)</f>
        <v>#N/A</v>
      </c>
      <c r="B392" s="1" t="e">
        <f>VLOOKUP(D392,epiunits!A$1:C$4000,3,FALSE)</f>
        <v>#N/A</v>
      </c>
      <c r="C392" s="1" t="e">
        <f>VLOOKUP(E392,Inspector!A$1:B$50,2,FALSE)</f>
        <v>#N/A</v>
      </c>
      <c r="I392" s="1" t="e">
        <f>VLOOKUP(D392,epiunits!A$1:J$4000,6,FALSE)</f>
        <v>#N/A</v>
      </c>
      <c r="J392" s="1" t="e">
        <f>VLOOKUP(D392,epiunits!A$1:J$4000,7,FALSE)</f>
        <v>#N/A</v>
      </c>
      <c r="K392" s="1" t="e">
        <f>VLOOKUP(D392,epiunits!A$1:J$4000,8,FALSE)</f>
        <v>#N/A</v>
      </c>
      <c r="L392" s="1" t="e">
        <f>VLOOKUP(D392,epiunits!A$1:J$4000,9,FALSE)</f>
        <v>#N/A</v>
      </c>
      <c r="M392" s="1" t="e">
        <f>VLOOKUP(D392,epiunits!A$1:J$4000,10,FALSE)</f>
        <v>#N/A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</row>
    <row r="393" spans="1:51" x14ac:dyDescent="0.25">
      <c r="A393" s="1" t="e">
        <f>VLOOKUP(D393,epiunits!A$1:C$4000,2,FALSE)</f>
        <v>#N/A</v>
      </c>
      <c r="B393" s="1" t="e">
        <f>VLOOKUP(D393,epiunits!A$1:C$4000,3,FALSE)</f>
        <v>#N/A</v>
      </c>
      <c r="C393" s="1" t="e">
        <f>VLOOKUP(E393,Inspector!A$1:B$50,2,FALSE)</f>
        <v>#N/A</v>
      </c>
      <c r="I393" s="1" t="e">
        <f>VLOOKUP(D393,epiunits!A$1:J$4000,6,FALSE)</f>
        <v>#N/A</v>
      </c>
      <c r="J393" s="1" t="e">
        <f>VLOOKUP(D393,epiunits!A$1:J$4000,7,FALSE)</f>
        <v>#N/A</v>
      </c>
      <c r="K393" s="1" t="e">
        <f>VLOOKUP(D393,epiunits!A$1:J$4000,8,FALSE)</f>
        <v>#N/A</v>
      </c>
      <c r="L393" s="1" t="e">
        <f>VLOOKUP(D393,epiunits!A$1:J$4000,9,FALSE)</f>
        <v>#N/A</v>
      </c>
      <c r="M393" s="1" t="e">
        <f>VLOOKUP(D393,epiunits!A$1:J$4000,10,FALSE)</f>
        <v>#N/A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</row>
    <row r="394" spans="1:51" x14ac:dyDescent="0.25">
      <c r="A394" s="1" t="e">
        <f>VLOOKUP(D394,epiunits!A$1:C$4000,2,FALSE)</f>
        <v>#N/A</v>
      </c>
      <c r="B394" s="1" t="e">
        <f>VLOOKUP(D394,epiunits!A$1:C$4000,3,FALSE)</f>
        <v>#N/A</v>
      </c>
      <c r="C394" s="1" t="e">
        <f>VLOOKUP(E394,Inspector!A$1:B$50,2,FALSE)</f>
        <v>#N/A</v>
      </c>
      <c r="I394" s="1" t="e">
        <f>VLOOKUP(D394,epiunits!A$1:J$4000,6,FALSE)</f>
        <v>#N/A</v>
      </c>
      <c r="J394" s="1" t="e">
        <f>VLOOKUP(D394,epiunits!A$1:J$4000,7,FALSE)</f>
        <v>#N/A</v>
      </c>
      <c r="K394" s="1" t="e">
        <f>VLOOKUP(D394,epiunits!A$1:J$4000,8,FALSE)</f>
        <v>#N/A</v>
      </c>
      <c r="L394" s="1" t="e">
        <f>VLOOKUP(D394,epiunits!A$1:J$4000,9,FALSE)</f>
        <v>#N/A</v>
      </c>
      <c r="M394" s="1" t="e">
        <f>VLOOKUP(D394,epiunits!A$1:J$4000,10,FALSE)</f>
        <v>#N/A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</row>
    <row r="395" spans="1:51" x14ac:dyDescent="0.25">
      <c r="A395" s="1" t="e">
        <f>VLOOKUP(D395,epiunits!A$1:C$4000,2,FALSE)</f>
        <v>#N/A</v>
      </c>
      <c r="B395" s="1" t="e">
        <f>VLOOKUP(D395,epiunits!A$1:C$4000,3,FALSE)</f>
        <v>#N/A</v>
      </c>
      <c r="C395" s="1" t="e">
        <f>VLOOKUP(E395,Inspector!A$1:B$50,2,FALSE)</f>
        <v>#N/A</v>
      </c>
      <c r="I395" s="1" t="e">
        <f>VLOOKUP(D395,epiunits!A$1:J$4000,6,FALSE)</f>
        <v>#N/A</v>
      </c>
      <c r="J395" s="1" t="e">
        <f>VLOOKUP(D395,epiunits!A$1:J$4000,7,FALSE)</f>
        <v>#N/A</v>
      </c>
      <c r="K395" s="1" t="e">
        <f>VLOOKUP(D395,epiunits!A$1:J$4000,8,FALSE)</f>
        <v>#N/A</v>
      </c>
      <c r="L395" s="1" t="e">
        <f>VLOOKUP(D395,epiunits!A$1:J$4000,9,FALSE)</f>
        <v>#N/A</v>
      </c>
      <c r="M395" s="1" t="e">
        <f>VLOOKUP(D395,epiunits!A$1:J$4000,10,FALSE)</f>
        <v>#N/A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</row>
    <row r="396" spans="1:51" x14ac:dyDescent="0.25">
      <c r="A396" s="1" t="e">
        <f>VLOOKUP(D396,epiunits!A$1:C$4000,2,FALSE)</f>
        <v>#N/A</v>
      </c>
      <c r="B396" s="1" t="e">
        <f>VLOOKUP(D396,epiunits!A$1:C$4000,3,FALSE)</f>
        <v>#N/A</v>
      </c>
      <c r="C396" s="1" t="e">
        <f>VLOOKUP(E396,Inspector!A$1:B$50,2,FALSE)</f>
        <v>#N/A</v>
      </c>
      <c r="I396" s="1" t="e">
        <f>VLOOKUP(D396,epiunits!A$1:J$4000,6,FALSE)</f>
        <v>#N/A</v>
      </c>
      <c r="J396" s="1" t="e">
        <f>VLOOKUP(D396,epiunits!A$1:J$4000,7,FALSE)</f>
        <v>#N/A</v>
      </c>
      <c r="K396" s="1" t="e">
        <f>VLOOKUP(D396,epiunits!A$1:J$4000,8,FALSE)</f>
        <v>#N/A</v>
      </c>
      <c r="L396" s="1" t="e">
        <f>VLOOKUP(D396,epiunits!A$1:J$4000,9,FALSE)</f>
        <v>#N/A</v>
      </c>
      <c r="M396" s="1" t="e">
        <f>VLOOKUP(D396,epiunits!A$1:J$4000,10,FALSE)</f>
        <v>#N/A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</row>
    <row r="397" spans="1:51" x14ac:dyDescent="0.25">
      <c r="A397" s="1" t="e">
        <f>VLOOKUP(D397,epiunits!A$1:C$4000,2,FALSE)</f>
        <v>#N/A</v>
      </c>
      <c r="B397" s="1" t="e">
        <f>VLOOKUP(D397,epiunits!A$1:C$4000,3,FALSE)</f>
        <v>#N/A</v>
      </c>
      <c r="C397" s="1" t="e">
        <f>VLOOKUP(E397,Inspector!A$1:B$50,2,FALSE)</f>
        <v>#N/A</v>
      </c>
      <c r="I397" s="1" t="e">
        <f>VLOOKUP(D397,epiunits!A$1:J$4000,6,FALSE)</f>
        <v>#N/A</v>
      </c>
      <c r="J397" s="1" t="e">
        <f>VLOOKUP(D397,epiunits!A$1:J$4000,7,FALSE)</f>
        <v>#N/A</v>
      </c>
      <c r="K397" s="1" t="e">
        <f>VLOOKUP(D397,epiunits!A$1:J$4000,8,FALSE)</f>
        <v>#N/A</v>
      </c>
      <c r="L397" s="1" t="e">
        <f>VLOOKUP(D397,epiunits!A$1:J$4000,9,FALSE)</f>
        <v>#N/A</v>
      </c>
      <c r="M397" s="1" t="e">
        <f>VLOOKUP(D397,epiunits!A$1:J$4000,10,FALSE)</f>
        <v>#N/A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</row>
    <row r="398" spans="1:51" x14ac:dyDescent="0.25">
      <c r="A398" s="1" t="e">
        <f>VLOOKUP(D398,epiunits!A$1:C$4000,2,FALSE)</f>
        <v>#N/A</v>
      </c>
      <c r="B398" s="1" t="e">
        <f>VLOOKUP(D398,epiunits!A$1:C$4000,3,FALSE)</f>
        <v>#N/A</v>
      </c>
      <c r="C398" s="1" t="e">
        <f>VLOOKUP(E398,Inspector!A$1:B$50,2,FALSE)</f>
        <v>#N/A</v>
      </c>
      <c r="I398" s="1" t="e">
        <f>VLOOKUP(D398,epiunits!A$1:J$4000,6,FALSE)</f>
        <v>#N/A</v>
      </c>
      <c r="J398" s="1" t="e">
        <f>VLOOKUP(D398,epiunits!A$1:J$4000,7,FALSE)</f>
        <v>#N/A</v>
      </c>
      <c r="K398" s="1" t="e">
        <f>VLOOKUP(D398,epiunits!A$1:J$4000,8,FALSE)</f>
        <v>#N/A</v>
      </c>
      <c r="L398" s="1" t="e">
        <f>VLOOKUP(D398,epiunits!A$1:J$4000,9,FALSE)</f>
        <v>#N/A</v>
      </c>
      <c r="M398" s="1" t="e">
        <f>VLOOKUP(D398,epiunits!A$1:J$4000,10,FALSE)</f>
        <v>#N/A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</row>
    <row r="399" spans="1:51" x14ac:dyDescent="0.25">
      <c r="A399" s="1" t="e">
        <f>VLOOKUP(D399,epiunits!A$1:C$4000,2,FALSE)</f>
        <v>#N/A</v>
      </c>
      <c r="B399" s="1" t="e">
        <f>VLOOKUP(D399,epiunits!A$1:C$4000,3,FALSE)</f>
        <v>#N/A</v>
      </c>
      <c r="C399" s="1" t="e">
        <f>VLOOKUP(E399,Inspector!A$1:B$50,2,FALSE)</f>
        <v>#N/A</v>
      </c>
      <c r="I399" s="1" t="e">
        <f>VLOOKUP(D399,epiunits!A$1:J$4000,6,FALSE)</f>
        <v>#N/A</v>
      </c>
      <c r="J399" s="1" t="e">
        <f>VLOOKUP(D399,epiunits!A$1:J$4000,7,FALSE)</f>
        <v>#N/A</v>
      </c>
      <c r="K399" s="1" t="e">
        <f>VLOOKUP(D399,epiunits!A$1:J$4000,8,FALSE)</f>
        <v>#N/A</v>
      </c>
      <c r="L399" s="1" t="e">
        <f>VLOOKUP(D399,epiunits!A$1:J$4000,9,FALSE)</f>
        <v>#N/A</v>
      </c>
      <c r="M399" s="1" t="e">
        <f>VLOOKUP(D399,epiunits!A$1:J$4000,10,FALSE)</f>
        <v>#N/A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</row>
    <row r="400" spans="1:51" x14ac:dyDescent="0.25">
      <c r="A400" s="1" t="e">
        <f>VLOOKUP(D400,epiunits!A$1:C$4000,2,FALSE)</f>
        <v>#N/A</v>
      </c>
      <c r="B400" s="1" t="e">
        <f>VLOOKUP(D400,epiunits!A$1:C$4000,3,FALSE)</f>
        <v>#N/A</v>
      </c>
      <c r="C400" s="1" t="e">
        <f>VLOOKUP(E400,Inspector!A$1:B$50,2,FALSE)</f>
        <v>#N/A</v>
      </c>
      <c r="I400" s="1" t="e">
        <f>VLOOKUP(D400,epiunits!A$1:J$4000,6,FALSE)</f>
        <v>#N/A</v>
      </c>
      <c r="J400" s="1" t="e">
        <f>VLOOKUP(D400,epiunits!A$1:J$4000,7,FALSE)</f>
        <v>#N/A</v>
      </c>
      <c r="K400" s="1" t="e">
        <f>VLOOKUP(D400,epiunits!A$1:J$4000,8,FALSE)</f>
        <v>#N/A</v>
      </c>
      <c r="L400" s="1" t="e">
        <f>VLOOKUP(D400,epiunits!A$1:J$4000,9,FALSE)</f>
        <v>#N/A</v>
      </c>
      <c r="M400" s="1" t="e">
        <f>VLOOKUP(D400,epiunits!A$1:J$4000,10,FALSE)</f>
        <v>#N/A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7"/>
  <sheetViews>
    <sheetView workbookViewId="0"/>
  </sheetViews>
  <sheetFormatPr defaultRowHeight="15" x14ac:dyDescent="0.25"/>
  <sheetData>
    <row r="1" spans="1:10" x14ac:dyDescent="0.25">
      <c r="B1">
        <v>2174</v>
      </c>
      <c r="C1" t="s">
        <v>44</v>
      </c>
      <c r="D1">
        <v>300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25">
      <c r="A2">
        <v>7100006</v>
      </c>
      <c r="B2">
        <v>1061</v>
      </c>
      <c r="C2" t="s">
        <v>45</v>
      </c>
      <c r="D2">
        <v>300</v>
      </c>
      <c r="E2">
        <v>1</v>
      </c>
      <c r="F2">
        <v>15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7100008</v>
      </c>
      <c r="B3">
        <v>1062</v>
      </c>
      <c r="C3" t="s">
        <v>46</v>
      </c>
      <c r="D3">
        <v>300</v>
      </c>
      <c r="E3">
        <v>1</v>
      </c>
      <c r="F3">
        <v>8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710001</v>
      </c>
      <c r="B4">
        <v>214</v>
      </c>
      <c r="C4" t="s">
        <v>47</v>
      </c>
      <c r="D4">
        <v>300</v>
      </c>
      <c r="E4">
        <v>1</v>
      </c>
      <c r="F4">
        <v>0</v>
      </c>
      <c r="G4">
        <v>0</v>
      </c>
      <c r="H4">
        <v>0</v>
      </c>
      <c r="I4">
        <v>1922</v>
      </c>
      <c r="J4">
        <v>0</v>
      </c>
    </row>
    <row r="5" spans="1:10" x14ac:dyDescent="0.25">
      <c r="A5">
        <v>7100011</v>
      </c>
      <c r="B5">
        <v>101</v>
      </c>
      <c r="C5" t="s">
        <v>48</v>
      </c>
      <c r="D5">
        <v>300</v>
      </c>
      <c r="E5">
        <v>1</v>
      </c>
      <c r="F5">
        <v>3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7100014</v>
      </c>
      <c r="B6">
        <v>102</v>
      </c>
      <c r="C6" t="s">
        <v>48</v>
      </c>
      <c r="D6">
        <v>300</v>
      </c>
      <c r="E6">
        <v>1</v>
      </c>
      <c r="F6">
        <v>10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7100016</v>
      </c>
      <c r="B7">
        <v>170</v>
      </c>
      <c r="C7" t="s">
        <v>49</v>
      </c>
      <c r="D7">
        <v>300</v>
      </c>
      <c r="E7">
        <v>1</v>
      </c>
      <c r="F7">
        <v>120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7100018</v>
      </c>
      <c r="B8">
        <v>795</v>
      </c>
      <c r="C8" t="s">
        <v>50</v>
      </c>
      <c r="D8">
        <v>300</v>
      </c>
      <c r="E8">
        <v>1</v>
      </c>
      <c r="F8">
        <v>25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7100020</v>
      </c>
      <c r="B9">
        <v>1063</v>
      </c>
      <c r="C9" t="s">
        <v>51</v>
      </c>
      <c r="D9">
        <v>300</v>
      </c>
      <c r="E9">
        <v>1</v>
      </c>
      <c r="F9">
        <v>130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7100022</v>
      </c>
      <c r="B10">
        <v>140</v>
      </c>
      <c r="C10" t="s">
        <v>52</v>
      </c>
      <c r="D10">
        <v>300</v>
      </c>
      <c r="E10">
        <v>1</v>
      </c>
      <c r="F10">
        <v>45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7100026</v>
      </c>
      <c r="B11">
        <v>141</v>
      </c>
      <c r="C11" t="s">
        <v>52</v>
      </c>
      <c r="D11">
        <v>300</v>
      </c>
      <c r="E11">
        <v>1</v>
      </c>
      <c r="F11">
        <v>31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7100027</v>
      </c>
      <c r="B12">
        <v>79</v>
      </c>
      <c r="C12" t="s">
        <v>53</v>
      </c>
      <c r="D12">
        <v>300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710003</v>
      </c>
      <c r="B13">
        <v>215</v>
      </c>
      <c r="C13" t="s">
        <v>47</v>
      </c>
      <c r="D13">
        <v>300</v>
      </c>
      <c r="E13">
        <v>1</v>
      </c>
      <c r="F13">
        <v>0</v>
      </c>
      <c r="G13">
        <v>0</v>
      </c>
      <c r="H13">
        <v>0</v>
      </c>
      <c r="I13">
        <v>50</v>
      </c>
      <c r="J13">
        <v>0</v>
      </c>
    </row>
    <row r="14" spans="1:10" x14ac:dyDescent="0.25">
      <c r="A14">
        <v>7100030</v>
      </c>
      <c r="B14">
        <v>6</v>
      </c>
      <c r="C14" t="s">
        <v>54</v>
      </c>
      <c r="D14">
        <v>300</v>
      </c>
      <c r="E14">
        <v>1</v>
      </c>
      <c r="F14">
        <v>60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7100034</v>
      </c>
      <c r="B15">
        <v>103</v>
      </c>
      <c r="C15" t="s">
        <v>48</v>
      </c>
      <c r="D15">
        <v>300</v>
      </c>
      <c r="E15">
        <v>1</v>
      </c>
      <c r="F15">
        <v>15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7100039</v>
      </c>
      <c r="B16">
        <v>104</v>
      </c>
      <c r="C16" t="s">
        <v>48</v>
      </c>
      <c r="D16">
        <v>300</v>
      </c>
      <c r="E16">
        <v>1</v>
      </c>
      <c r="F16">
        <v>2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7100041</v>
      </c>
      <c r="B17">
        <v>1064</v>
      </c>
      <c r="C17" t="s">
        <v>55</v>
      </c>
      <c r="D17">
        <v>300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7100044</v>
      </c>
      <c r="B18">
        <v>142</v>
      </c>
      <c r="C18" t="s">
        <v>52</v>
      </c>
      <c r="D18">
        <v>300</v>
      </c>
      <c r="E18">
        <v>1</v>
      </c>
      <c r="F18">
        <v>6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7100051</v>
      </c>
      <c r="B19">
        <v>37</v>
      </c>
      <c r="C19" t="s">
        <v>56</v>
      </c>
      <c r="D19">
        <v>300</v>
      </c>
      <c r="E19">
        <v>1</v>
      </c>
      <c r="F19">
        <v>9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7100053</v>
      </c>
      <c r="B20">
        <v>132</v>
      </c>
      <c r="C20" t="s">
        <v>45</v>
      </c>
      <c r="D20">
        <v>300</v>
      </c>
      <c r="E20">
        <v>1</v>
      </c>
      <c r="F20">
        <v>54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7100055</v>
      </c>
      <c r="B21">
        <v>105</v>
      </c>
      <c r="C21" t="s">
        <v>48</v>
      </c>
      <c r="D21">
        <v>300</v>
      </c>
      <c r="E21">
        <v>1</v>
      </c>
      <c r="F21">
        <v>2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7100056</v>
      </c>
      <c r="B22">
        <v>143</v>
      </c>
      <c r="C22" t="s">
        <v>52</v>
      </c>
      <c r="D22">
        <v>300</v>
      </c>
      <c r="E22">
        <v>1</v>
      </c>
      <c r="F22">
        <v>80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7100062</v>
      </c>
      <c r="B23">
        <v>1065</v>
      </c>
      <c r="C23" t="s">
        <v>55</v>
      </c>
      <c r="D23">
        <v>300</v>
      </c>
      <c r="E23">
        <v>1</v>
      </c>
      <c r="F23">
        <v>10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7100063</v>
      </c>
      <c r="B24">
        <v>80</v>
      </c>
      <c r="C24" t="s">
        <v>53</v>
      </c>
      <c r="D24">
        <v>300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7100068</v>
      </c>
      <c r="B25">
        <v>57</v>
      </c>
      <c r="C25" t="s">
        <v>55</v>
      </c>
      <c r="D25">
        <v>300</v>
      </c>
      <c r="E25">
        <v>1</v>
      </c>
      <c r="F25">
        <v>5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7100075</v>
      </c>
      <c r="B26">
        <v>133</v>
      </c>
      <c r="C26" t="s">
        <v>45</v>
      </c>
      <c r="D26">
        <v>300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7100076</v>
      </c>
      <c r="B27">
        <v>106</v>
      </c>
      <c r="C27" t="s">
        <v>48</v>
      </c>
      <c r="D27">
        <v>300</v>
      </c>
      <c r="E27">
        <v>1</v>
      </c>
      <c r="F27">
        <v>15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7100082</v>
      </c>
      <c r="B28">
        <v>17</v>
      </c>
      <c r="C28" t="s">
        <v>57</v>
      </c>
      <c r="D28">
        <v>300</v>
      </c>
      <c r="E28">
        <v>1</v>
      </c>
      <c r="F28">
        <v>15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7100092</v>
      </c>
      <c r="B29">
        <v>1066</v>
      </c>
      <c r="C29" t="s">
        <v>51</v>
      </c>
      <c r="D29">
        <v>300</v>
      </c>
      <c r="E29">
        <v>1</v>
      </c>
      <c r="F29">
        <v>4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7100096</v>
      </c>
      <c r="B30">
        <v>144</v>
      </c>
      <c r="C30" t="s">
        <v>52</v>
      </c>
      <c r="D30">
        <v>300</v>
      </c>
      <c r="E30">
        <v>1</v>
      </c>
      <c r="F30">
        <v>80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7100098</v>
      </c>
      <c r="B31">
        <v>145</v>
      </c>
      <c r="C31" t="s">
        <v>52</v>
      </c>
      <c r="D31">
        <v>300</v>
      </c>
      <c r="E31">
        <v>1</v>
      </c>
      <c r="F31">
        <v>15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7100103</v>
      </c>
      <c r="B32">
        <v>30</v>
      </c>
      <c r="C32" t="s">
        <v>58</v>
      </c>
      <c r="D32">
        <v>300</v>
      </c>
      <c r="E32">
        <v>1</v>
      </c>
      <c r="F32">
        <v>35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7100104</v>
      </c>
      <c r="B33">
        <v>146</v>
      </c>
      <c r="C33" t="s">
        <v>52</v>
      </c>
      <c r="D33">
        <v>300</v>
      </c>
      <c r="E33">
        <v>1</v>
      </c>
      <c r="F33">
        <v>27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7100105</v>
      </c>
      <c r="B34">
        <v>71</v>
      </c>
      <c r="C34" t="s">
        <v>59</v>
      </c>
      <c r="D34">
        <v>300</v>
      </c>
      <c r="E34">
        <v>1</v>
      </c>
      <c r="F34">
        <v>8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7100107</v>
      </c>
      <c r="B35">
        <v>147</v>
      </c>
      <c r="C35" t="s">
        <v>52</v>
      </c>
      <c r="D35">
        <v>300</v>
      </c>
      <c r="E35">
        <v>1</v>
      </c>
      <c r="F35">
        <v>35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7100111</v>
      </c>
      <c r="B36">
        <v>148</v>
      </c>
      <c r="C36" t="s">
        <v>52</v>
      </c>
      <c r="D36">
        <v>300</v>
      </c>
      <c r="E36">
        <v>1</v>
      </c>
      <c r="F36">
        <v>40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7100113</v>
      </c>
      <c r="B37">
        <v>166</v>
      </c>
      <c r="C37" t="s">
        <v>60</v>
      </c>
      <c r="D37">
        <v>300</v>
      </c>
      <c r="E37">
        <v>1</v>
      </c>
      <c r="F37">
        <v>5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7100114</v>
      </c>
      <c r="B38">
        <v>149</v>
      </c>
      <c r="C38" t="s">
        <v>52</v>
      </c>
      <c r="D38">
        <v>300</v>
      </c>
      <c r="E38">
        <v>1</v>
      </c>
      <c r="F38">
        <v>38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7100118</v>
      </c>
      <c r="B39">
        <v>157</v>
      </c>
      <c r="C39" t="s">
        <v>61</v>
      </c>
      <c r="D39">
        <v>300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7100124</v>
      </c>
      <c r="B40">
        <v>562</v>
      </c>
      <c r="C40" t="s">
        <v>62</v>
      </c>
      <c r="D40">
        <v>300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7100140</v>
      </c>
      <c r="B41">
        <v>513</v>
      </c>
      <c r="C41" t="s">
        <v>63</v>
      </c>
      <c r="D41">
        <v>300</v>
      </c>
      <c r="E41">
        <v>1</v>
      </c>
      <c r="F41">
        <v>30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7100142</v>
      </c>
      <c r="B42">
        <v>380</v>
      </c>
      <c r="C42" t="s">
        <v>64</v>
      </c>
      <c r="D42">
        <v>300</v>
      </c>
      <c r="E42">
        <v>1</v>
      </c>
      <c r="F42">
        <v>65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7100146</v>
      </c>
      <c r="B43">
        <v>381</v>
      </c>
      <c r="C43" t="s">
        <v>64</v>
      </c>
      <c r="D43">
        <v>300</v>
      </c>
      <c r="E43">
        <v>1</v>
      </c>
      <c r="F43">
        <v>105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7100148</v>
      </c>
      <c r="B44">
        <v>382</v>
      </c>
      <c r="C44" t="s">
        <v>64</v>
      </c>
      <c r="D44">
        <v>300</v>
      </c>
      <c r="E44">
        <v>1</v>
      </c>
      <c r="F44">
        <v>75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7100149</v>
      </c>
      <c r="B45">
        <v>383</v>
      </c>
      <c r="C45" t="s">
        <v>64</v>
      </c>
      <c r="D45">
        <v>300</v>
      </c>
      <c r="E45">
        <v>1</v>
      </c>
      <c r="F45">
        <v>39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7100150</v>
      </c>
      <c r="B46">
        <v>384</v>
      </c>
      <c r="C46" t="s">
        <v>64</v>
      </c>
      <c r="D46">
        <v>300</v>
      </c>
      <c r="E46">
        <v>1</v>
      </c>
      <c r="F46">
        <v>100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7100151</v>
      </c>
      <c r="B47">
        <v>385</v>
      </c>
      <c r="C47" t="s">
        <v>64</v>
      </c>
      <c r="D47">
        <v>300</v>
      </c>
      <c r="E47">
        <v>1</v>
      </c>
      <c r="F47">
        <v>84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7100152</v>
      </c>
      <c r="B48">
        <v>386</v>
      </c>
      <c r="C48" t="s">
        <v>64</v>
      </c>
      <c r="D48">
        <v>300</v>
      </c>
      <c r="E48">
        <v>1</v>
      </c>
      <c r="F48">
        <v>24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7100156</v>
      </c>
      <c r="B49">
        <v>501</v>
      </c>
      <c r="C49" t="s">
        <v>65</v>
      </c>
      <c r="D49">
        <v>300</v>
      </c>
      <c r="E49">
        <v>1</v>
      </c>
      <c r="F49">
        <v>206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7100162</v>
      </c>
      <c r="B50">
        <v>387</v>
      </c>
      <c r="C50" t="s">
        <v>64</v>
      </c>
      <c r="D50">
        <v>300</v>
      </c>
      <c r="E50">
        <v>1</v>
      </c>
      <c r="F50">
        <v>30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7100168</v>
      </c>
      <c r="B51">
        <v>388</v>
      </c>
      <c r="C51" t="s">
        <v>64</v>
      </c>
      <c r="D51">
        <v>300</v>
      </c>
      <c r="E51">
        <v>1</v>
      </c>
      <c r="F51">
        <v>115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7100171</v>
      </c>
      <c r="B52">
        <v>389</v>
      </c>
      <c r="C52" t="s">
        <v>64</v>
      </c>
      <c r="D52">
        <v>300</v>
      </c>
      <c r="E52">
        <v>1</v>
      </c>
      <c r="F52">
        <v>95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7100175</v>
      </c>
      <c r="B53">
        <v>390</v>
      </c>
      <c r="C53" t="s">
        <v>64</v>
      </c>
      <c r="D53">
        <v>300</v>
      </c>
      <c r="E53">
        <v>1</v>
      </c>
      <c r="F53">
        <v>110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7100179</v>
      </c>
      <c r="B54">
        <v>391</v>
      </c>
      <c r="C54" t="s">
        <v>64</v>
      </c>
      <c r="D54">
        <v>300</v>
      </c>
      <c r="E54">
        <v>1</v>
      </c>
      <c r="F54">
        <v>81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7100183</v>
      </c>
      <c r="B55">
        <v>392</v>
      </c>
      <c r="C55" t="s">
        <v>64</v>
      </c>
      <c r="D55">
        <v>300</v>
      </c>
      <c r="E55">
        <v>1</v>
      </c>
      <c r="F55">
        <v>85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7100189</v>
      </c>
      <c r="B56">
        <v>393</v>
      </c>
      <c r="C56" t="s">
        <v>64</v>
      </c>
      <c r="D56">
        <v>300</v>
      </c>
      <c r="E56">
        <v>1</v>
      </c>
      <c r="F56">
        <v>221</v>
      </c>
      <c r="G56">
        <v>0</v>
      </c>
      <c r="H56">
        <v>0</v>
      </c>
      <c r="I56">
        <v>10</v>
      </c>
      <c r="J56">
        <v>0</v>
      </c>
    </row>
    <row r="57" spans="1:10" x14ac:dyDescent="0.25">
      <c r="A57">
        <v>7100195</v>
      </c>
      <c r="B57">
        <v>394</v>
      </c>
      <c r="C57" t="s">
        <v>64</v>
      </c>
      <c r="D57">
        <v>300</v>
      </c>
      <c r="E57">
        <v>1</v>
      </c>
      <c r="F57">
        <v>115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7100200</v>
      </c>
      <c r="B58">
        <v>395</v>
      </c>
      <c r="C58" t="s">
        <v>64</v>
      </c>
      <c r="D58">
        <v>300</v>
      </c>
      <c r="E58">
        <v>1</v>
      </c>
      <c r="F58">
        <v>28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7100202</v>
      </c>
      <c r="B59">
        <v>369</v>
      </c>
      <c r="C59" t="s">
        <v>66</v>
      </c>
      <c r="D59">
        <v>300</v>
      </c>
      <c r="E59">
        <v>1</v>
      </c>
      <c r="F59">
        <v>210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7100205</v>
      </c>
      <c r="B60">
        <v>396</v>
      </c>
      <c r="C60" t="s">
        <v>64</v>
      </c>
      <c r="D60">
        <v>300</v>
      </c>
      <c r="E60">
        <v>1</v>
      </c>
      <c r="F60">
        <v>55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7100211</v>
      </c>
      <c r="B61">
        <v>397</v>
      </c>
      <c r="C61" t="s">
        <v>64</v>
      </c>
      <c r="D61">
        <v>300</v>
      </c>
      <c r="E61">
        <v>1</v>
      </c>
      <c r="F61">
        <v>21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7100213</v>
      </c>
      <c r="B62">
        <v>525</v>
      </c>
      <c r="C62" t="s">
        <v>67</v>
      </c>
      <c r="D62">
        <v>300</v>
      </c>
      <c r="E62">
        <v>1</v>
      </c>
      <c r="F62">
        <v>31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7100216</v>
      </c>
      <c r="B63">
        <v>398</v>
      </c>
      <c r="C63" t="s">
        <v>64</v>
      </c>
      <c r="D63">
        <v>300</v>
      </c>
      <c r="E63">
        <v>1</v>
      </c>
      <c r="F63">
        <v>125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7100217</v>
      </c>
      <c r="B64">
        <v>399</v>
      </c>
      <c r="C64" t="s">
        <v>64</v>
      </c>
      <c r="D64">
        <v>300</v>
      </c>
      <c r="E64">
        <v>1</v>
      </c>
      <c r="F64">
        <v>133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7100220</v>
      </c>
      <c r="B65">
        <v>400</v>
      </c>
      <c r="C65" t="s">
        <v>64</v>
      </c>
      <c r="D65">
        <v>300</v>
      </c>
      <c r="E65">
        <v>1</v>
      </c>
      <c r="F65">
        <v>100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7100236</v>
      </c>
      <c r="B66">
        <v>401</v>
      </c>
      <c r="C66" t="s">
        <v>64</v>
      </c>
      <c r="D66">
        <v>300</v>
      </c>
      <c r="E66">
        <v>1</v>
      </c>
      <c r="F66">
        <v>8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7100245</v>
      </c>
      <c r="B67">
        <v>1146</v>
      </c>
      <c r="C67" t="s">
        <v>68</v>
      </c>
      <c r="D67">
        <v>300</v>
      </c>
      <c r="E67">
        <v>1</v>
      </c>
      <c r="F67">
        <v>5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7100349</v>
      </c>
      <c r="B68">
        <v>963</v>
      </c>
      <c r="C68" t="s">
        <v>69</v>
      </c>
      <c r="D68">
        <v>300</v>
      </c>
      <c r="E68">
        <v>1</v>
      </c>
      <c r="F68">
        <v>6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7100373</v>
      </c>
      <c r="B69">
        <v>845</v>
      </c>
      <c r="C69" t="s">
        <v>70</v>
      </c>
      <c r="D69">
        <v>300</v>
      </c>
      <c r="E69">
        <v>1</v>
      </c>
      <c r="F69">
        <v>5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710038</v>
      </c>
      <c r="B70">
        <v>216</v>
      </c>
      <c r="C70" t="s">
        <v>47</v>
      </c>
      <c r="D70">
        <v>300</v>
      </c>
      <c r="E70">
        <v>1</v>
      </c>
      <c r="F70">
        <v>0</v>
      </c>
      <c r="G70">
        <v>0</v>
      </c>
      <c r="H70">
        <v>0</v>
      </c>
      <c r="I70">
        <v>121</v>
      </c>
      <c r="J70">
        <v>0</v>
      </c>
    </row>
    <row r="71" spans="1:10" x14ac:dyDescent="0.25">
      <c r="A71">
        <v>7100386</v>
      </c>
      <c r="B71">
        <v>768</v>
      </c>
      <c r="C71" t="s">
        <v>71</v>
      </c>
      <c r="D71">
        <v>300</v>
      </c>
      <c r="E71">
        <v>1</v>
      </c>
      <c r="F71">
        <v>100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7100388</v>
      </c>
      <c r="B72">
        <v>1191</v>
      </c>
      <c r="C72" t="s">
        <v>71</v>
      </c>
      <c r="D72">
        <v>300</v>
      </c>
      <c r="E72">
        <v>1</v>
      </c>
      <c r="F72">
        <v>80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710039</v>
      </c>
      <c r="B73">
        <v>100</v>
      </c>
      <c r="C73" t="s">
        <v>48</v>
      </c>
      <c r="D73">
        <v>300</v>
      </c>
      <c r="E73">
        <v>1</v>
      </c>
      <c r="F73">
        <v>2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7100411</v>
      </c>
      <c r="B74">
        <v>839</v>
      </c>
      <c r="C74" t="s">
        <v>72</v>
      </c>
      <c r="D74">
        <v>300</v>
      </c>
      <c r="E74">
        <v>1</v>
      </c>
      <c r="F74">
        <v>15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7100428</v>
      </c>
      <c r="B75">
        <v>978</v>
      </c>
      <c r="C75" t="s">
        <v>73</v>
      </c>
      <c r="D75">
        <v>300</v>
      </c>
      <c r="E75">
        <v>1</v>
      </c>
      <c r="F75">
        <v>7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7100442</v>
      </c>
      <c r="B76">
        <v>943</v>
      </c>
      <c r="C76" t="s">
        <v>74</v>
      </c>
      <c r="D76">
        <v>300</v>
      </c>
      <c r="E76">
        <v>1</v>
      </c>
      <c r="F76">
        <v>15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7100451</v>
      </c>
      <c r="B77">
        <v>862</v>
      </c>
      <c r="C77" t="s">
        <v>75</v>
      </c>
      <c r="D77">
        <v>300</v>
      </c>
      <c r="E77">
        <v>1</v>
      </c>
      <c r="F77">
        <v>12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7100459</v>
      </c>
      <c r="B78">
        <v>1060</v>
      </c>
      <c r="D78">
        <v>300</v>
      </c>
      <c r="E78">
        <v>1</v>
      </c>
      <c r="F78">
        <v>11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7100470</v>
      </c>
      <c r="B79">
        <v>1192</v>
      </c>
      <c r="C79" t="s">
        <v>76</v>
      </c>
      <c r="D79">
        <v>300</v>
      </c>
      <c r="E79">
        <v>1</v>
      </c>
      <c r="F79">
        <v>18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7100483</v>
      </c>
      <c r="B80">
        <v>745</v>
      </c>
      <c r="C80" t="s">
        <v>77</v>
      </c>
      <c r="D80">
        <v>300</v>
      </c>
      <c r="E80">
        <v>1</v>
      </c>
      <c r="F80">
        <v>43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7100495</v>
      </c>
      <c r="B81">
        <v>863</v>
      </c>
      <c r="C81" t="s">
        <v>75</v>
      </c>
      <c r="D81">
        <v>300</v>
      </c>
      <c r="E81">
        <v>1</v>
      </c>
      <c r="F81">
        <v>2</v>
      </c>
      <c r="G81">
        <v>150</v>
      </c>
      <c r="H81">
        <v>0</v>
      </c>
      <c r="I81">
        <v>0</v>
      </c>
      <c r="J81">
        <v>0</v>
      </c>
    </row>
    <row r="82" spans="1:10" x14ac:dyDescent="0.25">
      <c r="A82">
        <v>7100515</v>
      </c>
      <c r="B82">
        <v>979</v>
      </c>
      <c r="C82" t="s">
        <v>73</v>
      </c>
      <c r="D82">
        <v>300</v>
      </c>
      <c r="E82">
        <v>1</v>
      </c>
      <c r="F82">
        <v>5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7100546</v>
      </c>
      <c r="B83">
        <v>864</v>
      </c>
      <c r="C83" t="s">
        <v>75</v>
      </c>
      <c r="D83">
        <v>300</v>
      </c>
      <c r="E83">
        <v>1</v>
      </c>
      <c r="F83">
        <v>2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7100552</v>
      </c>
      <c r="B84">
        <v>944</v>
      </c>
      <c r="C84" t="s">
        <v>74</v>
      </c>
      <c r="D84">
        <v>300</v>
      </c>
      <c r="E84">
        <v>1</v>
      </c>
      <c r="F84">
        <v>120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7100569</v>
      </c>
      <c r="B85">
        <v>1193</v>
      </c>
      <c r="C85" t="s">
        <v>76</v>
      </c>
      <c r="D85">
        <v>300</v>
      </c>
      <c r="E85">
        <v>1</v>
      </c>
      <c r="F85">
        <v>32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7100573</v>
      </c>
      <c r="B86">
        <v>758</v>
      </c>
      <c r="C86" t="s">
        <v>78</v>
      </c>
      <c r="D86">
        <v>300</v>
      </c>
      <c r="E86">
        <v>1</v>
      </c>
      <c r="F86">
        <v>7</v>
      </c>
      <c r="G86">
        <v>140</v>
      </c>
      <c r="H86">
        <v>0</v>
      </c>
      <c r="I86">
        <v>0</v>
      </c>
      <c r="J86">
        <v>0</v>
      </c>
    </row>
    <row r="87" spans="1:10" x14ac:dyDescent="0.25">
      <c r="A87">
        <v>7100583</v>
      </c>
      <c r="B87">
        <v>818</v>
      </c>
      <c r="C87" t="s">
        <v>79</v>
      </c>
      <c r="D87">
        <v>300</v>
      </c>
      <c r="E87">
        <v>1</v>
      </c>
      <c r="F87">
        <v>22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7100589</v>
      </c>
      <c r="B88">
        <v>980</v>
      </c>
      <c r="C88" t="s">
        <v>73</v>
      </c>
      <c r="D88">
        <v>300</v>
      </c>
      <c r="E88">
        <v>1</v>
      </c>
      <c r="F88">
        <v>10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7100595</v>
      </c>
      <c r="B89">
        <v>746</v>
      </c>
      <c r="C89" t="s">
        <v>77</v>
      </c>
      <c r="D89">
        <v>300</v>
      </c>
      <c r="E89">
        <v>1</v>
      </c>
      <c r="F89">
        <v>22</v>
      </c>
      <c r="G89">
        <v>262</v>
      </c>
      <c r="H89">
        <v>0</v>
      </c>
      <c r="I89">
        <v>0</v>
      </c>
      <c r="J89">
        <v>0</v>
      </c>
    </row>
    <row r="90" spans="1:10" x14ac:dyDescent="0.25">
      <c r="A90">
        <v>7100596</v>
      </c>
      <c r="B90">
        <v>895</v>
      </c>
      <c r="C90" t="s">
        <v>80</v>
      </c>
      <c r="D90">
        <v>300</v>
      </c>
      <c r="E90">
        <v>1</v>
      </c>
      <c r="F90">
        <v>15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7100597</v>
      </c>
      <c r="B91">
        <v>1059</v>
      </c>
      <c r="C91" t="s">
        <v>81</v>
      </c>
      <c r="D91">
        <v>300</v>
      </c>
      <c r="E91">
        <v>1</v>
      </c>
      <c r="F91">
        <v>140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7100600</v>
      </c>
      <c r="B92">
        <v>981</v>
      </c>
      <c r="C92" t="s">
        <v>73</v>
      </c>
      <c r="D92">
        <v>300</v>
      </c>
      <c r="E92">
        <v>1</v>
      </c>
      <c r="F92">
        <v>10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7100608</v>
      </c>
      <c r="B93">
        <v>796</v>
      </c>
      <c r="C93" t="s">
        <v>50</v>
      </c>
      <c r="D93">
        <v>300</v>
      </c>
      <c r="E93">
        <v>1</v>
      </c>
      <c r="F93">
        <v>65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7100628</v>
      </c>
      <c r="B94">
        <v>907</v>
      </c>
      <c r="C94" t="s">
        <v>82</v>
      </c>
      <c r="D94">
        <v>300</v>
      </c>
      <c r="E94">
        <v>1</v>
      </c>
      <c r="F94">
        <v>15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7100630</v>
      </c>
      <c r="B95">
        <v>982</v>
      </c>
      <c r="C95" t="s">
        <v>73</v>
      </c>
      <c r="D95">
        <v>300</v>
      </c>
      <c r="E95">
        <v>1</v>
      </c>
      <c r="F95">
        <v>4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7100633</v>
      </c>
      <c r="B96">
        <v>1194</v>
      </c>
      <c r="C96" t="s">
        <v>82</v>
      </c>
      <c r="D96">
        <v>300</v>
      </c>
      <c r="E96">
        <v>1</v>
      </c>
      <c r="F96">
        <v>2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7100639</v>
      </c>
      <c r="B97">
        <v>908</v>
      </c>
      <c r="C97" t="s">
        <v>82</v>
      </c>
      <c r="D97">
        <v>300</v>
      </c>
      <c r="E97">
        <v>1</v>
      </c>
      <c r="F97">
        <v>14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7100640</v>
      </c>
      <c r="B98">
        <v>983</v>
      </c>
      <c r="C98" t="s">
        <v>73</v>
      </c>
      <c r="D98">
        <v>300</v>
      </c>
      <c r="E98">
        <v>1</v>
      </c>
      <c r="F98">
        <v>15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7100642</v>
      </c>
      <c r="B99">
        <v>984</v>
      </c>
      <c r="C99" t="s">
        <v>73</v>
      </c>
      <c r="D99">
        <v>300</v>
      </c>
      <c r="E99">
        <v>1</v>
      </c>
      <c r="F99">
        <v>9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7100647</v>
      </c>
      <c r="B100">
        <v>985</v>
      </c>
      <c r="C100" t="s">
        <v>73</v>
      </c>
      <c r="D100">
        <v>300</v>
      </c>
      <c r="E100">
        <v>1</v>
      </c>
      <c r="F100">
        <v>7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7100650</v>
      </c>
      <c r="B101">
        <v>909</v>
      </c>
      <c r="C101" t="s">
        <v>82</v>
      </c>
      <c r="D101">
        <v>300</v>
      </c>
      <c r="E101">
        <v>1</v>
      </c>
      <c r="F101">
        <v>40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7100652</v>
      </c>
      <c r="B102">
        <v>986</v>
      </c>
      <c r="C102" t="s">
        <v>73</v>
      </c>
      <c r="D102">
        <v>300</v>
      </c>
      <c r="E102">
        <v>1</v>
      </c>
      <c r="F102">
        <v>17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7100658</v>
      </c>
      <c r="B103">
        <v>910</v>
      </c>
      <c r="C103" t="s">
        <v>82</v>
      </c>
      <c r="D103">
        <v>300</v>
      </c>
      <c r="E103">
        <v>1</v>
      </c>
      <c r="F103">
        <v>4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7100661</v>
      </c>
      <c r="B104">
        <v>987</v>
      </c>
      <c r="C104" t="s">
        <v>73</v>
      </c>
      <c r="D104">
        <v>300</v>
      </c>
      <c r="E104">
        <v>1</v>
      </c>
      <c r="F104">
        <v>7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7100666</v>
      </c>
      <c r="B105">
        <v>840</v>
      </c>
      <c r="C105" t="s">
        <v>72</v>
      </c>
      <c r="D105">
        <v>300</v>
      </c>
      <c r="E105">
        <v>1</v>
      </c>
      <c r="F105">
        <v>150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7100667</v>
      </c>
      <c r="B106">
        <v>988</v>
      </c>
      <c r="C106" t="s">
        <v>73</v>
      </c>
      <c r="D106">
        <v>300</v>
      </c>
      <c r="E106">
        <v>1</v>
      </c>
      <c r="F106">
        <v>9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7100668</v>
      </c>
      <c r="B107">
        <v>1195</v>
      </c>
      <c r="C107" t="s">
        <v>76</v>
      </c>
      <c r="D107">
        <v>300</v>
      </c>
      <c r="E107">
        <v>1</v>
      </c>
      <c r="F107">
        <v>29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7100671</v>
      </c>
      <c r="B108">
        <v>989</v>
      </c>
      <c r="C108" t="s">
        <v>73</v>
      </c>
      <c r="D108">
        <v>300</v>
      </c>
      <c r="E108">
        <v>1</v>
      </c>
      <c r="F108">
        <v>11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7100672</v>
      </c>
      <c r="B109">
        <v>990</v>
      </c>
      <c r="C109" t="s">
        <v>73</v>
      </c>
      <c r="D109">
        <v>300</v>
      </c>
      <c r="E109">
        <v>1</v>
      </c>
      <c r="F109">
        <v>17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7100673</v>
      </c>
      <c r="B110">
        <v>991</v>
      </c>
      <c r="C110" t="s">
        <v>73</v>
      </c>
      <c r="D110">
        <v>300</v>
      </c>
      <c r="E110">
        <v>1</v>
      </c>
      <c r="F110">
        <v>6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7100674</v>
      </c>
      <c r="B111">
        <v>992</v>
      </c>
      <c r="C111" t="s">
        <v>73</v>
      </c>
      <c r="D111">
        <v>300</v>
      </c>
      <c r="E111">
        <v>1</v>
      </c>
      <c r="F111">
        <v>12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7100675</v>
      </c>
      <c r="B112">
        <v>993</v>
      </c>
      <c r="C112" t="s">
        <v>73</v>
      </c>
      <c r="D112">
        <v>300</v>
      </c>
      <c r="E112">
        <v>1</v>
      </c>
      <c r="F112">
        <v>4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7100677</v>
      </c>
      <c r="B113">
        <v>911</v>
      </c>
      <c r="C113" t="s">
        <v>82</v>
      </c>
      <c r="D113">
        <v>300</v>
      </c>
      <c r="E113">
        <v>1</v>
      </c>
      <c r="F113">
        <v>20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7100679</v>
      </c>
      <c r="B114">
        <v>912</v>
      </c>
      <c r="C114" t="s">
        <v>82</v>
      </c>
      <c r="D114">
        <v>300</v>
      </c>
      <c r="E114">
        <v>1</v>
      </c>
      <c r="F114">
        <v>39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7100682</v>
      </c>
      <c r="B115">
        <v>994</v>
      </c>
      <c r="C115" t="s">
        <v>73</v>
      </c>
      <c r="D115">
        <v>300</v>
      </c>
      <c r="E115">
        <v>1</v>
      </c>
      <c r="F115">
        <v>3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7100683</v>
      </c>
      <c r="B116">
        <v>995</v>
      </c>
      <c r="C116" t="s">
        <v>73</v>
      </c>
      <c r="D116">
        <v>300</v>
      </c>
      <c r="E116">
        <v>1</v>
      </c>
      <c r="F116">
        <v>8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7100696</v>
      </c>
      <c r="B117">
        <v>762</v>
      </c>
      <c r="C117" t="s">
        <v>83</v>
      </c>
      <c r="D117">
        <v>300</v>
      </c>
      <c r="E117">
        <v>1</v>
      </c>
      <c r="F117">
        <v>4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7100700</v>
      </c>
      <c r="B118">
        <v>996</v>
      </c>
      <c r="C118" t="s">
        <v>73</v>
      </c>
      <c r="D118">
        <v>300</v>
      </c>
      <c r="E118">
        <v>1</v>
      </c>
      <c r="F118">
        <v>19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7100701</v>
      </c>
      <c r="B119">
        <v>997</v>
      </c>
      <c r="C119" t="s">
        <v>73</v>
      </c>
      <c r="D119">
        <v>300</v>
      </c>
      <c r="E119">
        <v>1</v>
      </c>
      <c r="F119">
        <v>36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7100702</v>
      </c>
      <c r="B120">
        <v>1196</v>
      </c>
      <c r="C120" t="s">
        <v>76</v>
      </c>
      <c r="D120">
        <v>300</v>
      </c>
      <c r="E120">
        <v>1</v>
      </c>
      <c r="F120">
        <v>37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7100703</v>
      </c>
      <c r="B121">
        <v>913</v>
      </c>
      <c r="C121" t="s">
        <v>82</v>
      </c>
      <c r="D121">
        <v>300</v>
      </c>
      <c r="E121">
        <v>1</v>
      </c>
      <c r="F121">
        <v>7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7100704</v>
      </c>
      <c r="B122">
        <v>790</v>
      </c>
      <c r="C122" t="s">
        <v>84</v>
      </c>
      <c r="D122">
        <v>300</v>
      </c>
      <c r="E122">
        <v>1</v>
      </c>
      <c r="F122">
        <v>12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7100712</v>
      </c>
      <c r="B123">
        <v>998</v>
      </c>
      <c r="C123" t="s">
        <v>73</v>
      </c>
      <c r="D123">
        <v>300</v>
      </c>
      <c r="E123">
        <v>1</v>
      </c>
      <c r="F123">
        <v>11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7100716</v>
      </c>
      <c r="B124">
        <v>797</v>
      </c>
      <c r="C124" t="s">
        <v>50</v>
      </c>
      <c r="D124">
        <v>300</v>
      </c>
      <c r="E124">
        <v>1</v>
      </c>
      <c r="F124">
        <v>20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7100720</v>
      </c>
      <c r="B125">
        <v>791</v>
      </c>
      <c r="C125" t="s">
        <v>84</v>
      </c>
      <c r="D125">
        <v>300</v>
      </c>
      <c r="E125">
        <v>1</v>
      </c>
      <c r="F125">
        <v>5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7100727</v>
      </c>
      <c r="B126">
        <v>999</v>
      </c>
      <c r="C126" t="s">
        <v>73</v>
      </c>
      <c r="D126">
        <v>300</v>
      </c>
      <c r="E126">
        <v>1</v>
      </c>
      <c r="F126">
        <v>22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7100738</v>
      </c>
      <c r="B127">
        <v>180</v>
      </c>
      <c r="C127" t="s">
        <v>85</v>
      </c>
      <c r="D127">
        <v>300</v>
      </c>
      <c r="E127">
        <v>1</v>
      </c>
      <c r="F127">
        <v>40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7100742</v>
      </c>
      <c r="B128">
        <v>217</v>
      </c>
      <c r="C128" t="s">
        <v>47</v>
      </c>
      <c r="D128">
        <v>300</v>
      </c>
      <c r="E128">
        <v>1</v>
      </c>
      <c r="F128">
        <v>70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7100752</v>
      </c>
      <c r="B129">
        <v>181</v>
      </c>
      <c r="C129" t="s">
        <v>85</v>
      </c>
      <c r="D129">
        <v>300</v>
      </c>
      <c r="E129">
        <v>1</v>
      </c>
      <c r="F129">
        <v>6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7100809</v>
      </c>
      <c r="B130">
        <v>277</v>
      </c>
      <c r="C130" t="s">
        <v>86</v>
      </c>
      <c r="D130">
        <v>300</v>
      </c>
      <c r="E130">
        <v>1</v>
      </c>
      <c r="F130">
        <v>90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7100821</v>
      </c>
      <c r="B131">
        <v>322</v>
      </c>
      <c r="C131" t="s">
        <v>87</v>
      </c>
      <c r="D131">
        <v>300</v>
      </c>
      <c r="E131">
        <v>1</v>
      </c>
      <c r="F131">
        <v>7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7100891</v>
      </c>
      <c r="B132">
        <v>1116</v>
      </c>
      <c r="C132" t="s">
        <v>88</v>
      </c>
      <c r="D132">
        <v>300</v>
      </c>
      <c r="E132">
        <v>1</v>
      </c>
      <c r="F132">
        <v>300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7100924</v>
      </c>
      <c r="B133">
        <v>250</v>
      </c>
      <c r="C133" t="s">
        <v>89</v>
      </c>
      <c r="D133">
        <v>300</v>
      </c>
      <c r="E133">
        <v>1</v>
      </c>
      <c r="F133">
        <v>35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7100941</v>
      </c>
      <c r="B134">
        <v>182</v>
      </c>
      <c r="C134" t="s">
        <v>85</v>
      </c>
      <c r="D134">
        <v>300</v>
      </c>
      <c r="E134">
        <v>1</v>
      </c>
      <c r="F134">
        <v>180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7100942</v>
      </c>
      <c r="B135">
        <v>251</v>
      </c>
      <c r="C135" t="s">
        <v>89</v>
      </c>
      <c r="D135">
        <v>300</v>
      </c>
      <c r="E135">
        <v>1</v>
      </c>
      <c r="F135">
        <v>35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7100944</v>
      </c>
      <c r="B136">
        <v>252</v>
      </c>
      <c r="C136" t="s">
        <v>89</v>
      </c>
      <c r="D136">
        <v>300</v>
      </c>
      <c r="E136">
        <v>1</v>
      </c>
      <c r="F136">
        <v>35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7100970</v>
      </c>
      <c r="B137">
        <v>1117</v>
      </c>
      <c r="C137" t="s">
        <v>47</v>
      </c>
      <c r="D137">
        <v>300</v>
      </c>
      <c r="E137">
        <v>1</v>
      </c>
      <c r="F137">
        <v>13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7100980</v>
      </c>
      <c r="B138">
        <v>1118</v>
      </c>
      <c r="C138" t="s">
        <v>47</v>
      </c>
      <c r="D138">
        <v>300</v>
      </c>
      <c r="E138">
        <v>1</v>
      </c>
      <c r="F138">
        <v>20</v>
      </c>
      <c r="G138">
        <v>0</v>
      </c>
      <c r="H138">
        <v>5</v>
      </c>
      <c r="I138">
        <v>164</v>
      </c>
      <c r="J138">
        <v>0</v>
      </c>
    </row>
    <row r="139" spans="1:10" x14ac:dyDescent="0.25">
      <c r="A139">
        <v>7100985</v>
      </c>
      <c r="B139">
        <v>1119</v>
      </c>
      <c r="C139" t="s">
        <v>90</v>
      </c>
      <c r="D139">
        <v>300</v>
      </c>
      <c r="E139">
        <v>1</v>
      </c>
      <c r="F139">
        <v>185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7100990</v>
      </c>
      <c r="B140">
        <v>238</v>
      </c>
      <c r="C140" t="s">
        <v>88</v>
      </c>
      <c r="D140">
        <v>300</v>
      </c>
      <c r="E140">
        <v>1</v>
      </c>
      <c r="F140">
        <v>5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7101003</v>
      </c>
      <c r="B141">
        <v>1120</v>
      </c>
      <c r="C141" t="s">
        <v>88</v>
      </c>
      <c r="D141">
        <v>300</v>
      </c>
      <c r="E141">
        <v>1</v>
      </c>
      <c r="F141">
        <v>230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7101054</v>
      </c>
      <c r="B142">
        <v>194</v>
      </c>
      <c r="C142" t="s">
        <v>91</v>
      </c>
      <c r="D142">
        <v>300</v>
      </c>
      <c r="E142">
        <v>1</v>
      </c>
      <c r="F142">
        <v>10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7101075</v>
      </c>
      <c r="B143">
        <v>195</v>
      </c>
      <c r="C143" t="s">
        <v>91</v>
      </c>
      <c r="D143">
        <v>300</v>
      </c>
      <c r="E143">
        <v>1</v>
      </c>
      <c r="F143">
        <v>27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7101095</v>
      </c>
      <c r="B144">
        <v>196</v>
      </c>
      <c r="C144" t="s">
        <v>91</v>
      </c>
      <c r="D144">
        <v>300</v>
      </c>
      <c r="E144">
        <v>1</v>
      </c>
      <c r="F144">
        <v>3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7101101</v>
      </c>
      <c r="B145">
        <v>197</v>
      </c>
      <c r="C145" t="s">
        <v>91</v>
      </c>
      <c r="D145">
        <v>300</v>
      </c>
      <c r="E145">
        <v>1</v>
      </c>
      <c r="F145">
        <v>30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7101121</v>
      </c>
      <c r="B146">
        <v>620</v>
      </c>
      <c r="C146" t="s">
        <v>92</v>
      </c>
      <c r="D146">
        <v>300</v>
      </c>
      <c r="E146">
        <v>1</v>
      </c>
      <c r="F146">
        <v>5</v>
      </c>
      <c r="G146">
        <v>0</v>
      </c>
      <c r="H146">
        <v>11</v>
      </c>
      <c r="I146">
        <v>0</v>
      </c>
      <c r="J146">
        <v>0</v>
      </c>
    </row>
    <row r="147" spans="1:10" x14ac:dyDescent="0.25">
      <c r="A147">
        <v>7101176</v>
      </c>
      <c r="B147">
        <v>629</v>
      </c>
      <c r="C147" t="s">
        <v>93</v>
      </c>
      <c r="D147">
        <v>300</v>
      </c>
      <c r="E147">
        <v>1</v>
      </c>
      <c r="F147">
        <v>35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7101191</v>
      </c>
      <c r="B148">
        <v>737</v>
      </c>
      <c r="C148" t="s">
        <v>94</v>
      </c>
      <c r="D148">
        <v>300</v>
      </c>
      <c r="E148">
        <v>1</v>
      </c>
      <c r="F148">
        <v>3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7101194</v>
      </c>
      <c r="B149">
        <v>1167</v>
      </c>
      <c r="C149" t="s">
        <v>95</v>
      </c>
      <c r="D149">
        <v>300</v>
      </c>
      <c r="E149">
        <v>1</v>
      </c>
      <c r="F149">
        <v>8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7101201</v>
      </c>
      <c r="B150">
        <v>648</v>
      </c>
      <c r="C150" t="s">
        <v>96</v>
      </c>
      <c r="D150">
        <v>300</v>
      </c>
      <c r="E150">
        <v>1</v>
      </c>
      <c r="F150">
        <v>5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7101203</v>
      </c>
      <c r="B151">
        <v>649</v>
      </c>
      <c r="C151" t="s">
        <v>96</v>
      </c>
      <c r="D151">
        <v>300</v>
      </c>
      <c r="E151">
        <v>1</v>
      </c>
      <c r="F151">
        <v>20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7101210</v>
      </c>
      <c r="B152">
        <v>598</v>
      </c>
      <c r="C152" t="s">
        <v>95</v>
      </c>
      <c r="D152">
        <v>300</v>
      </c>
      <c r="E152">
        <v>1</v>
      </c>
      <c r="F152">
        <v>30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7101213</v>
      </c>
      <c r="B153">
        <v>703</v>
      </c>
      <c r="C153" t="s">
        <v>97</v>
      </c>
      <c r="D153">
        <v>300</v>
      </c>
      <c r="E153">
        <v>1</v>
      </c>
      <c r="F153">
        <v>150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7101223</v>
      </c>
      <c r="B154">
        <v>695</v>
      </c>
      <c r="C154" t="s">
        <v>98</v>
      </c>
      <c r="D154">
        <v>300</v>
      </c>
      <c r="E154">
        <v>1</v>
      </c>
      <c r="F154">
        <v>7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7101240</v>
      </c>
      <c r="B155">
        <v>589</v>
      </c>
      <c r="C155" t="s">
        <v>99</v>
      </c>
      <c r="D155">
        <v>300</v>
      </c>
      <c r="E155">
        <v>1</v>
      </c>
      <c r="F155">
        <v>6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7101253</v>
      </c>
      <c r="B156">
        <v>657</v>
      </c>
      <c r="C156" t="s">
        <v>100</v>
      </c>
      <c r="D156">
        <v>300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7101275</v>
      </c>
      <c r="B157">
        <v>710</v>
      </c>
      <c r="C157" t="s">
        <v>101</v>
      </c>
      <c r="D157">
        <v>300</v>
      </c>
      <c r="E157">
        <v>1</v>
      </c>
      <c r="F157">
        <v>58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7101279</v>
      </c>
      <c r="B158">
        <v>1168</v>
      </c>
      <c r="C158" t="s">
        <v>102</v>
      </c>
      <c r="D158">
        <v>300</v>
      </c>
      <c r="E158">
        <v>1</v>
      </c>
      <c r="F158">
        <v>82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7101288</v>
      </c>
      <c r="B159">
        <v>650</v>
      </c>
      <c r="C159" t="s">
        <v>96</v>
      </c>
      <c r="D159">
        <v>300</v>
      </c>
      <c r="E159">
        <v>1</v>
      </c>
      <c r="F159">
        <v>15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7101297</v>
      </c>
      <c r="B160">
        <v>599</v>
      </c>
      <c r="C160" t="s">
        <v>95</v>
      </c>
      <c r="D160">
        <v>300</v>
      </c>
      <c r="E160">
        <v>1</v>
      </c>
      <c r="F160">
        <v>18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7101313</v>
      </c>
      <c r="B161">
        <v>611</v>
      </c>
      <c r="C161" t="s">
        <v>103</v>
      </c>
      <c r="D161">
        <v>300</v>
      </c>
      <c r="E161">
        <v>1</v>
      </c>
      <c r="F161">
        <v>160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7101352</v>
      </c>
      <c r="B162">
        <v>724</v>
      </c>
      <c r="C162" t="s">
        <v>104</v>
      </c>
      <c r="D162">
        <v>300</v>
      </c>
      <c r="E162">
        <v>1</v>
      </c>
      <c r="F162">
        <v>2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7101355</v>
      </c>
      <c r="B163">
        <v>600</v>
      </c>
      <c r="C163" t="s">
        <v>95</v>
      </c>
      <c r="D163">
        <v>300</v>
      </c>
      <c r="E163">
        <v>1</v>
      </c>
      <c r="F163">
        <v>13</v>
      </c>
      <c r="G163">
        <v>8</v>
      </c>
      <c r="H163">
        <v>30</v>
      </c>
      <c r="I163">
        <v>0</v>
      </c>
      <c r="J163">
        <v>0</v>
      </c>
    </row>
    <row r="164" spans="1:10" x14ac:dyDescent="0.25">
      <c r="A164">
        <v>7101362</v>
      </c>
      <c r="B164">
        <v>651</v>
      </c>
      <c r="C164" t="s">
        <v>96</v>
      </c>
      <c r="D164">
        <v>300</v>
      </c>
      <c r="E164">
        <v>1</v>
      </c>
      <c r="F164">
        <v>40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7101363</v>
      </c>
      <c r="B165">
        <v>590</v>
      </c>
      <c r="C165" t="s">
        <v>99</v>
      </c>
      <c r="D165">
        <v>300</v>
      </c>
      <c r="E165">
        <v>1</v>
      </c>
      <c r="F165">
        <v>9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7101364</v>
      </c>
      <c r="B166">
        <v>1169</v>
      </c>
      <c r="C166" t="s">
        <v>105</v>
      </c>
      <c r="D166">
        <v>300</v>
      </c>
      <c r="E166">
        <v>1</v>
      </c>
      <c r="F166">
        <v>15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7101377</v>
      </c>
      <c r="B167">
        <v>654</v>
      </c>
      <c r="C167" t="s">
        <v>102</v>
      </c>
      <c r="D167">
        <v>300</v>
      </c>
      <c r="E167">
        <v>1</v>
      </c>
      <c r="F167">
        <v>40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7101392</v>
      </c>
      <c r="B168">
        <v>601</v>
      </c>
      <c r="C168" t="s">
        <v>95</v>
      </c>
      <c r="D168">
        <v>300</v>
      </c>
      <c r="E168">
        <v>1</v>
      </c>
      <c r="F168">
        <v>70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7101393</v>
      </c>
      <c r="B169">
        <v>602</v>
      </c>
      <c r="C169" t="s">
        <v>95</v>
      </c>
      <c r="D169">
        <v>300</v>
      </c>
      <c r="E169">
        <v>1</v>
      </c>
      <c r="F169">
        <v>75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7101397</v>
      </c>
      <c r="B170">
        <v>733</v>
      </c>
      <c r="C170" t="s">
        <v>106</v>
      </c>
      <c r="D170">
        <v>300</v>
      </c>
      <c r="E170">
        <v>1</v>
      </c>
      <c r="F170">
        <v>11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7101403</v>
      </c>
      <c r="B171">
        <v>738</v>
      </c>
      <c r="C171" t="s">
        <v>94</v>
      </c>
      <c r="D171">
        <v>300</v>
      </c>
      <c r="E171">
        <v>1</v>
      </c>
      <c r="F171">
        <v>6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7101404</v>
      </c>
      <c r="B172">
        <v>725</v>
      </c>
      <c r="C172" t="s">
        <v>104</v>
      </c>
      <c r="D172">
        <v>300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7101411</v>
      </c>
      <c r="B173">
        <v>658</v>
      </c>
      <c r="C173" t="s">
        <v>100</v>
      </c>
      <c r="D173">
        <v>300</v>
      </c>
      <c r="E173">
        <v>1</v>
      </c>
      <c r="F173">
        <v>8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7101419</v>
      </c>
      <c r="B174">
        <v>711</v>
      </c>
      <c r="C174" t="s">
        <v>101</v>
      </c>
      <c r="D174">
        <v>300</v>
      </c>
      <c r="E174">
        <v>1</v>
      </c>
      <c r="F174">
        <v>40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7101421</v>
      </c>
      <c r="B175">
        <v>568</v>
      </c>
      <c r="C175" t="s">
        <v>107</v>
      </c>
      <c r="D175">
        <v>300</v>
      </c>
      <c r="E175">
        <v>1</v>
      </c>
      <c r="F175">
        <v>4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7101428</v>
      </c>
      <c r="B176">
        <v>581</v>
      </c>
      <c r="C176" t="s">
        <v>108</v>
      </c>
      <c r="D176">
        <v>300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7101429</v>
      </c>
      <c r="B177">
        <v>697</v>
      </c>
      <c r="C177" t="s">
        <v>109</v>
      </c>
      <c r="D177">
        <v>300</v>
      </c>
      <c r="E177">
        <v>1</v>
      </c>
      <c r="F177">
        <v>12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7101458</v>
      </c>
      <c r="B178">
        <v>183</v>
      </c>
      <c r="C178" t="s">
        <v>85</v>
      </c>
      <c r="D178">
        <v>300</v>
      </c>
      <c r="E178">
        <v>1</v>
      </c>
      <c r="F178">
        <v>33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7101467</v>
      </c>
      <c r="B179">
        <v>327</v>
      </c>
      <c r="C179" t="s">
        <v>110</v>
      </c>
      <c r="D179">
        <v>300</v>
      </c>
      <c r="E179">
        <v>1</v>
      </c>
      <c r="F179">
        <v>90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7101469</v>
      </c>
      <c r="B180">
        <v>239</v>
      </c>
      <c r="C180" t="s">
        <v>88</v>
      </c>
      <c r="D180">
        <v>300</v>
      </c>
      <c r="E180">
        <v>1</v>
      </c>
      <c r="F180">
        <v>330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7101480</v>
      </c>
      <c r="B181">
        <v>335</v>
      </c>
      <c r="C181" t="s">
        <v>90</v>
      </c>
      <c r="D181">
        <v>300</v>
      </c>
      <c r="E181">
        <v>1</v>
      </c>
      <c r="F181">
        <v>175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7101481</v>
      </c>
      <c r="B182">
        <v>218</v>
      </c>
      <c r="C182" t="s">
        <v>47</v>
      </c>
      <c r="D182">
        <v>300</v>
      </c>
      <c r="E182">
        <v>1</v>
      </c>
      <c r="F182">
        <v>95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>
        <v>7101482</v>
      </c>
      <c r="B183">
        <v>219</v>
      </c>
      <c r="C183" t="s">
        <v>47</v>
      </c>
      <c r="D183">
        <v>300</v>
      </c>
      <c r="E183">
        <v>1</v>
      </c>
      <c r="F183">
        <v>95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>
        <v>7101494</v>
      </c>
      <c r="B184">
        <v>220</v>
      </c>
      <c r="C184" t="s">
        <v>47</v>
      </c>
      <c r="D184">
        <v>300</v>
      </c>
      <c r="E184">
        <v>1</v>
      </c>
      <c r="F184">
        <v>95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7101496</v>
      </c>
      <c r="B185">
        <v>240</v>
      </c>
      <c r="C185" t="s">
        <v>88</v>
      </c>
      <c r="D185">
        <v>300</v>
      </c>
      <c r="E185">
        <v>1</v>
      </c>
      <c r="F185">
        <v>3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>
        <v>7101497</v>
      </c>
      <c r="B186">
        <v>1121</v>
      </c>
      <c r="C186" t="s">
        <v>85</v>
      </c>
      <c r="D186">
        <v>300</v>
      </c>
      <c r="E186">
        <v>1</v>
      </c>
      <c r="F186">
        <v>89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>
        <v>7101498</v>
      </c>
      <c r="B187">
        <v>184</v>
      </c>
      <c r="C187" t="s">
        <v>85</v>
      </c>
      <c r="D187">
        <v>300</v>
      </c>
      <c r="E187">
        <v>1</v>
      </c>
      <c r="F187">
        <v>14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7101500</v>
      </c>
      <c r="B188">
        <v>185</v>
      </c>
      <c r="C188" t="s">
        <v>85</v>
      </c>
      <c r="D188">
        <v>300</v>
      </c>
      <c r="E188">
        <v>1</v>
      </c>
      <c r="F188">
        <v>11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7101508</v>
      </c>
      <c r="B189">
        <v>290</v>
      </c>
      <c r="C189" t="s">
        <v>111</v>
      </c>
      <c r="D189">
        <v>300</v>
      </c>
      <c r="E189">
        <v>1</v>
      </c>
      <c r="F189">
        <v>7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7101512</v>
      </c>
      <c r="B190">
        <v>299</v>
      </c>
      <c r="C190" t="s">
        <v>112</v>
      </c>
      <c r="D190">
        <v>300</v>
      </c>
      <c r="E190">
        <v>1</v>
      </c>
      <c r="F190">
        <v>84</v>
      </c>
      <c r="G190">
        <v>87</v>
      </c>
      <c r="H190">
        <v>0</v>
      </c>
      <c r="I190">
        <v>6</v>
      </c>
      <c r="J190">
        <v>0</v>
      </c>
    </row>
    <row r="191" spans="1:10" x14ac:dyDescent="0.25">
      <c r="A191">
        <v>7101514</v>
      </c>
      <c r="B191">
        <v>253</v>
      </c>
      <c r="C191" t="s">
        <v>89</v>
      </c>
      <c r="D191">
        <v>300</v>
      </c>
      <c r="E191">
        <v>1</v>
      </c>
      <c r="F191">
        <v>15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7101519</v>
      </c>
      <c r="B192">
        <v>278</v>
      </c>
      <c r="C192" t="s">
        <v>86</v>
      </c>
      <c r="D192">
        <v>300</v>
      </c>
      <c r="E192">
        <v>1</v>
      </c>
      <c r="F192">
        <v>15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7101529</v>
      </c>
      <c r="B193">
        <v>284</v>
      </c>
      <c r="C193" t="s">
        <v>113</v>
      </c>
      <c r="D193">
        <v>300</v>
      </c>
      <c r="E193">
        <v>1</v>
      </c>
      <c r="F193">
        <v>95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7101537</v>
      </c>
      <c r="B194">
        <v>336</v>
      </c>
      <c r="C194" t="s">
        <v>90</v>
      </c>
      <c r="D194">
        <v>300</v>
      </c>
      <c r="E194">
        <v>1</v>
      </c>
      <c r="F194">
        <v>20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7101538</v>
      </c>
      <c r="B195">
        <v>213</v>
      </c>
      <c r="C195" t="s">
        <v>114</v>
      </c>
      <c r="D195">
        <v>300</v>
      </c>
      <c r="E195">
        <v>1</v>
      </c>
      <c r="F195">
        <v>2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7101541</v>
      </c>
      <c r="B196">
        <v>186</v>
      </c>
      <c r="C196" t="s">
        <v>85</v>
      </c>
      <c r="D196">
        <v>300</v>
      </c>
      <c r="E196">
        <v>1</v>
      </c>
      <c r="F196">
        <v>160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7101543</v>
      </c>
      <c r="B197">
        <v>228</v>
      </c>
      <c r="C197" t="s">
        <v>115</v>
      </c>
      <c r="D197">
        <v>300</v>
      </c>
      <c r="E197">
        <v>1</v>
      </c>
      <c r="F197">
        <v>85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7101545</v>
      </c>
      <c r="B198">
        <v>187</v>
      </c>
      <c r="C198" t="s">
        <v>85</v>
      </c>
      <c r="D198">
        <v>300</v>
      </c>
      <c r="E198">
        <v>1</v>
      </c>
      <c r="F198">
        <v>70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7101549</v>
      </c>
      <c r="B199">
        <v>315</v>
      </c>
      <c r="C199" t="s">
        <v>116</v>
      </c>
      <c r="D199">
        <v>300</v>
      </c>
      <c r="E199">
        <v>1</v>
      </c>
      <c r="F199">
        <v>10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7101551</v>
      </c>
      <c r="B200">
        <v>254</v>
      </c>
      <c r="C200" t="s">
        <v>89</v>
      </c>
      <c r="D200">
        <v>300</v>
      </c>
      <c r="E200">
        <v>1</v>
      </c>
      <c r="F200">
        <v>20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7101553</v>
      </c>
      <c r="B201">
        <v>188</v>
      </c>
      <c r="C201" t="s">
        <v>85</v>
      </c>
      <c r="D201">
        <v>300</v>
      </c>
      <c r="E201">
        <v>1</v>
      </c>
      <c r="F201">
        <v>23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7101554</v>
      </c>
      <c r="B202">
        <v>178</v>
      </c>
      <c r="C202" t="s">
        <v>117</v>
      </c>
      <c r="D202">
        <v>300</v>
      </c>
      <c r="E202">
        <v>1</v>
      </c>
      <c r="F202">
        <v>20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7101597</v>
      </c>
      <c r="B203">
        <v>603</v>
      </c>
      <c r="C203" t="s">
        <v>95</v>
      </c>
      <c r="D203">
        <v>300</v>
      </c>
      <c r="E203">
        <v>1</v>
      </c>
      <c r="F203">
        <v>27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>
        <v>7102004</v>
      </c>
      <c r="B204">
        <v>712</v>
      </c>
      <c r="C204" t="s">
        <v>101</v>
      </c>
      <c r="D204">
        <v>300</v>
      </c>
      <c r="E204">
        <v>1</v>
      </c>
      <c r="F204">
        <v>13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>
        <v>7102007</v>
      </c>
      <c r="B205">
        <v>1170</v>
      </c>
      <c r="C205" t="s">
        <v>96</v>
      </c>
      <c r="D205">
        <v>300</v>
      </c>
      <c r="E205">
        <v>1</v>
      </c>
      <c r="F205">
        <v>80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7102009</v>
      </c>
      <c r="B206">
        <v>612</v>
      </c>
      <c r="C206" t="s">
        <v>103</v>
      </c>
      <c r="D206">
        <v>300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>
        <v>7102011</v>
      </c>
      <c r="B207">
        <v>564</v>
      </c>
      <c r="C207" t="s">
        <v>118</v>
      </c>
      <c r="D207">
        <v>300</v>
      </c>
      <c r="E207">
        <v>1</v>
      </c>
      <c r="F207">
        <v>63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7102015</v>
      </c>
      <c r="B208">
        <v>565</v>
      </c>
      <c r="C208" t="s">
        <v>118</v>
      </c>
      <c r="D208">
        <v>300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7102031</v>
      </c>
      <c r="B209">
        <v>713</v>
      </c>
      <c r="C209" t="s">
        <v>101</v>
      </c>
      <c r="D209">
        <v>300</v>
      </c>
      <c r="E209">
        <v>1</v>
      </c>
      <c r="F209">
        <v>4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7102034</v>
      </c>
      <c r="B210">
        <v>591</v>
      </c>
      <c r="C210" t="s">
        <v>99</v>
      </c>
      <c r="D210">
        <v>300</v>
      </c>
      <c r="E210">
        <v>1</v>
      </c>
      <c r="F210">
        <v>8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7102037</v>
      </c>
      <c r="B211">
        <v>652</v>
      </c>
      <c r="C211" t="s">
        <v>96</v>
      </c>
      <c r="D211">
        <v>300</v>
      </c>
      <c r="E211">
        <v>1</v>
      </c>
      <c r="F211">
        <v>2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7102064</v>
      </c>
      <c r="B212">
        <v>704</v>
      </c>
      <c r="C212" t="s">
        <v>97</v>
      </c>
      <c r="D212">
        <v>300</v>
      </c>
      <c r="E212">
        <v>1</v>
      </c>
      <c r="F212">
        <v>10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7102072</v>
      </c>
      <c r="B213">
        <v>653</v>
      </c>
      <c r="C213" t="s">
        <v>96</v>
      </c>
      <c r="D213">
        <v>300</v>
      </c>
      <c r="E213">
        <v>1</v>
      </c>
      <c r="F213">
        <v>70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7102073</v>
      </c>
      <c r="B214">
        <v>659</v>
      </c>
      <c r="C214" t="s">
        <v>100</v>
      </c>
      <c r="D214">
        <v>300</v>
      </c>
      <c r="E214">
        <v>1</v>
      </c>
      <c r="F214">
        <v>2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7102080</v>
      </c>
      <c r="B215">
        <v>714</v>
      </c>
      <c r="C215" t="s">
        <v>101</v>
      </c>
      <c r="D215">
        <v>300</v>
      </c>
      <c r="E215">
        <v>1</v>
      </c>
      <c r="F215">
        <v>5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7102083</v>
      </c>
      <c r="B216">
        <v>630</v>
      </c>
      <c r="C216" t="s">
        <v>93</v>
      </c>
      <c r="D216">
        <v>300</v>
      </c>
      <c r="E216">
        <v>1</v>
      </c>
      <c r="F216">
        <v>6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7102084</v>
      </c>
      <c r="B217">
        <v>660</v>
      </c>
      <c r="C217" t="s">
        <v>100</v>
      </c>
      <c r="D217">
        <v>300</v>
      </c>
      <c r="E217">
        <v>1</v>
      </c>
      <c r="F217">
        <v>150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7102095</v>
      </c>
      <c r="B218">
        <v>726</v>
      </c>
      <c r="C218" t="s">
        <v>104</v>
      </c>
      <c r="D218">
        <v>300</v>
      </c>
      <c r="E218">
        <v>1</v>
      </c>
      <c r="F218">
        <v>20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7102098</v>
      </c>
      <c r="B219">
        <v>2171</v>
      </c>
      <c r="C219" t="s">
        <v>97</v>
      </c>
      <c r="D219">
        <v>300</v>
      </c>
      <c r="E219">
        <v>1</v>
      </c>
      <c r="F219">
        <v>15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7102099</v>
      </c>
      <c r="B220">
        <v>1171</v>
      </c>
      <c r="C220" t="s">
        <v>97</v>
      </c>
      <c r="D220">
        <v>300</v>
      </c>
      <c r="E220">
        <v>1</v>
      </c>
      <c r="F220">
        <v>15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7102104</v>
      </c>
      <c r="B221">
        <v>734</v>
      </c>
      <c r="C221" t="s">
        <v>106</v>
      </c>
      <c r="D221">
        <v>300</v>
      </c>
      <c r="E221">
        <v>1</v>
      </c>
      <c r="F221">
        <v>18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7102108</v>
      </c>
      <c r="B222">
        <v>705</v>
      </c>
      <c r="C222" t="s">
        <v>97</v>
      </c>
      <c r="D222">
        <v>300</v>
      </c>
      <c r="E222">
        <v>1</v>
      </c>
      <c r="F222">
        <v>7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7102110</v>
      </c>
      <c r="B223">
        <v>1172</v>
      </c>
      <c r="C223" t="s">
        <v>95</v>
      </c>
      <c r="D223">
        <v>300</v>
      </c>
      <c r="E223">
        <v>1</v>
      </c>
      <c r="F223">
        <v>30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7102113</v>
      </c>
      <c r="B224">
        <v>727</v>
      </c>
      <c r="C224" t="s">
        <v>104</v>
      </c>
      <c r="D224">
        <v>300</v>
      </c>
      <c r="E224">
        <v>1</v>
      </c>
      <c r="F224">
        <v>47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7102114</v>
      </c>
      <c r="B225">
        <v>739</v>
      </c>
      <c r="C225" t="s">
        <v>94</v>
      </c>
      <c r="D225">
        <v>300</v>
      </c>
      <c r="E225">
        <v>1</v>
      </c>
      <c r="F225">
        <v>2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7102115</v>
      </c>
      <c r="B226">
        <v>696</v>
      </c>
      <c r="C226" t="s">
        <v>98</v>
      </c>
      <c r="D226">
        <v>300</v>
      </c>
      <c r="E226">
        <v>1</v>
      </c>
      <c r="F226">
        <v>16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7102116</v>
      </c>
      <c r="B227">
        <v>566</v>
      </c>
      <c r="C227" t="s">
        <v>118</v>
      </c>
      <c r="D227">
        <v>300</v>
      </c>
      <c r="E227">
        <v>1</v>
      </c>
      <c r="F227">
        <v>7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7102117</v>
      </c>
      <c r="B228">
        <v>728</v>
      </c>
      <c r="C228" t="s">
        <v>104</v>
      </c>
      <c r="D228">
        <v>300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>
        <v>7102118</v>
      </c>
      <c r="B229">
        <v>604</v>
      </c>
      <c r="C229" t="s">
        <v>95</v>
      </c>
      <c r="D229">
        <v>300</v>
      </c>
      <c r="E229">
        <v>1</v>
      </c>
      <c r="F229">
        <v>15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7102119</v>
      </c>
      <c r="B230">
        <v>1173</v>
      </c>
      <c r="C230" t="s">
        <v>95</v>
      </c>
      <c r="D230">
        <v>300</v>
      </c>
      <c r="E230">
        <v>1</v>
      </c>
      <c r="F230">
        <v>15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7102502</v>
      </c>
      <c r="B231">
        <v>285</v>
      </c>
      <c r="C231" t="s">
        <v>113</v>
      </c>
      <c r="D231">
        <v>300</v>
      </c>
      <c r="E231">
        <v>1</v>
      </c>
      <c r="F231">
        <v>6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7102513</v>
      </c>
      <c r="B232">
        <v>198</v>
      </c>
      <c r="C232" t="s">
        <v>91</v>
      </c>
      <c r="D232">
        <v>300</v>
      </c>
      <c r="E232">
        <v>1</v>
      </c>
      <c r="F232">
        <v>55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7103012</v>
      </c>
      <c r="B233">
        <v>583</v>
      </c>
      <c r="C233" t="s">
        <v>119</v>
      </c>
      <c r="D233">
        <v>300</v>
      </c>
      <c r="E233">
        <v>1</v>
      </c>
      <c r="F233">
        <v>15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7103014</v>
      </c>
      <c r="B234">
        <v>613</v>
      </c>
      <c r="C234" t="s">
        <v>120</v>
      </c>
      <c r="D234">
        <v>300</v>
      </c>
      <c r="E234">
        <v>1</v>
      </c>
      <c r="F234">
        <v>10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>
        <v>7103516</v>
      </c>
      <c r="B235">
        <v>582</v>
      </c>
      <c r="C235" t="s">
        <v>108</v>
      </c>
      <c r="D235">
        <v>300</v>
      </c>
      <c r="E235">
        <v>1</v>
      </c>
      <c r="F235">
        <v>5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7103571</v>
      </c>
      <c r="B236">
        <v>526</v>
      </c>
      <c r="C236" t="s">
        <v>67</v>
      </c>
      <c r="D236">
        <v>300</v>
      </c>
      <c r="E236">
        <v>1</v>
      </c>
      <c r="F236">
        <v>0</v>
      </c>
      <c r="G236">
        <v>0</v>
      </c>
      <c r="H236">
        <v>230</v>
      </c>
      <c r="I236">
        <v>0</v>
      </c>
      <c r="J236">
        <v>0</v>
      </c>
    </row>
    <row r="237" spans="1:10" x14ac:dyDescent="0.25">
      <c r="A237">
        <v>7103575</v>
      </c>
      <c r="B237">
        <v>527</v>
      </c>
      <c r="C237" t="s">
        <v>67</v>
      </c>
      <c r="D237">
        <v>300</v>
      </c>
      <c r="E237">
        <v>1</v>
      </c>
      <c r="F237">
        <v>0</v>
      </c>
      <c r="G237">
        <v>0</v>
      </c>
      <c r="H237">
        <v>200</v>
      </c>
      <c r="I237">
        <v>0</v>
      </c>
      <c r="J237">
        <v>0</v>
      </c>
    </row>
    <row r="238" spans="1:10" x14ac:dyDescent="0.25">
      <c r="A238">
        <v>7103775</v>
      </c>
      <c r="B238">
        <v>528</v>
      </c>
      <c r="C238" t="s">
        <v>67</v>
      </c>
      <c r="D238">
        <v>300</v>
      </c>
      <c r="E238">
        <v>1</v>
      </c>
      <c r="F238">
        <v>0</v>
      </c>
      <c r="G238">
        <v>180</v>
      </c>
      <c r="H238">
        <v>0</v>
      </c>
      <c r="I238">
        <v>0</v>
      </c>
      <c r="J238">
        <v>0</v>
      </c>
    </row>
    <row r="239" spans="1:10" x14ac:dyDescent="0.25">
      <c r="A239">
        <v>7104004</v>
      </c>
      <c r="B239">
        <v>1197</v>
      </c>
      <c r="C239" t="s">
        <v>83</v>
      </c>
      <c r="D239">
        <v>300</v>
      </c>
      <c r="E239">
        <v>1</v>
      </c>
      <c r="F239">
        <v>11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7104007</v>
      </c>
      <c r="B240">
        <v>914</v>
      </c>
      <c r="C240" t="s">
        <v>82</v>
      </c>
      <c r="D240">
        <v>300</v>
      </c>
      <c r="E240">
        <v>1</v>
      </c>
      <c r="F240">
        <v>8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7104008</v>
      </c>
      <c r="B241">
        <v>915</v>
      </c>
      <c r="C241" t="s">
        <v>82</v>
      </c>
      <c r="D241">
        <v>300</v>
      </c>
      <c r="E241">
        <v>1</v>
      </c>
      <c r="F241">
        <v>9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7104015</v>
      </c>
      <c r="B242">
        <v>819</v>
      </c>
      <c r="C242" t="s">
        <v>79</v>
      </c>
      <c r="D242">
        <v>300</v>
      </c>
      <c r="E242">
        <v>1</v>
      </c>
      <c r="F242">
        <v>16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7104017</v>
      </c>
      <c r="B243">
        <v>798</v>
      </c>
      <c r="C243" t="s">
        <v>50</v>
      </c>
      <c r="D243">
        <v>300</v>
      </c>
      <c r="E243">
        <v>1</v>
      </c>
      <c r="F243">
        <v>18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7104023</v>
      </c>
      <c r="B244">
        <v>865</v>
      </c>
      <c r="C244" t="s">
        <v>75</v>
      </c>
      <c r="D244">
        <v>300</v>
      </c>
      <c r="E244">
        <v>1</v>
      </c>
      <c r="F244">
        <v>2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7104024</v>
      </c>
      <c r="B245">
        <v>1000</v>
      </c>
      <c r="C245" t="s">
        <v>73</v>
      </c>
      <c r="D245">
        <v>300</v>
      </c>
      <c r="E245">
        <v>1</v>
      </c>
      <c r="F245">
        <v>3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7104026</v>
      </c>
      <c r="B246">
        <v>916</v>
      </c>
      <c r="C246" t="s">
        <v>82</v>
      </c>
      <c r="D246">
        <v>300</v>
      </c>
      <c r="E246">
        <v>1</v>
      </c>
      <c r="F246">
        <v>5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7104055</v>
      </c>
      <c r="B247">
        <v>896</v>
      </c>
      <c r="C247" t="s">
        <v>80</v>
      </c>
      <c r="D247">
        <v>300</v>
      </c>
      <c r="E247">
        <v>1</v>
      </c>
      <c r="F247">
        <v>15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7104059</v>
      </c>
      <c r="B248">
        <v>841</v>
      </c>
      <c r="C248" t="s">
        <v>72</v>
      </c>
      <c r="D248">
        <v>300</v>
      </c>
      <c r="E248">
        <v>1</v>
      </c>
      <c r="F248">
        <v>25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7104066</v>
      </c>
      <c r="B249">
        <v>964</v>
      </c>
      <c r="C249" t="s">
        <v>69</v>
      </c>
      <c r="D249">
        <v>300</v>
      </c>
      <c r="E249">
        <v>1</v>
      </c>
      <c r="F249">
        <v>2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7104074</v>
      </c>
      <c r="B250">
        <v>1001</v>
      </c>
      <c r="C250" t="s">
        <v>73</v>
      </c>
      <c r="D250">
        <v>300</v>
      </c>
      <c r="E250">
        <v>1</v>
      </c>
      <c r="F250">
        <v>12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7104081</v>
      </c>
      <c r="B251">
        <v>965</v>
      </c>
      <c r="C251" t="s">
        <v>69</v>
      </c>
      <c r="D251">
        <v>300</v>
      </c>
      <c r="E251">
        <v>1</v>
      </c>
      <c r="F251">
        <v>7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7104089</v>
      </c>
      <c r="B252">
        <v>1023</v>
      </c>
      <c r="C252" t="s">
        <v>121</v>
      </c>
      <c r="D252">
        <v>300</v>
      </c>
      <c r="E252">
        <v>1</v>
      </c>
      <c r="F252">
        <v>35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7104090</v>
      </c>
      <c r="B253">
        <v>1002</v>
      </c>
      <c r="C253" t="s">
        <v>73</v>
      </c>
      <c r="D253">
        <v>300</v>
      </c>
      <c r="E253">
        <v>1</v>
      </c>
      <c r="F253">
        <v>16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7104093</v>
      </c>
      <c r="B254">
        <v>1003</v>
      </c>
      <c r="C254" t="s">
        <v>73</v>
      </c>
      <c r="D254">
        <v>300</v>
      </c>
      <c r="E254">
        <v>1</v>
      </c>
      <c r="F254">
        <v>8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7104102</v>
      </c>
      <c r="B255">
        <v>866</v>
      </c>
      <c r="C255" t="s">
        <v>75</v>
      </c>
      <c r="D255">
        <v>300</v>
      </c>
      <c r="E255">
        <v>1</v>
      </c>
      <c r="F255">
        <v>4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7104108</v>
      </c>
      <c r="B256">
        <v>1004</v>
      </c>
      <c r="C256" t="s">
        <v>73</v>
      </c>
      <c r="D256">
        <v>300</v>
      </c>
      <c r="E256">
        <v>1</v>
      </c>
      <c r="F256">
        <v>4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7104113</v>
      </c>
      <c r="B257">
        <v>1024</v>
      </c>
      <c r="C257" t="s">
        <v>121</v>
      </c>
      <c r="D257">
        <v>300</v>
      </c>
      <c r="E257">
        <v>1</v>
      </c>
      <c r="F257">
        <v>65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>
        <v>7104115</v>
      </c>
      <c r="B258">
        <v>917</v>
      </c>
      <c r="C258" t="s">
        <v>82</v>
      </c>
      <c r="D258">
        <v>300</v>
      </c>
      <c r="E258">
        <v>1</v>
      </c>
      <c r="F258">
        <v>10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7104116</v>
      </c>
      <c r="B259">
        <v>918</v>
      </c>
      <c r="C259" t="s">
        <v>82</v>
      </c>
      <c r="D259">
        <v>300</v>
      </c>
      <c r="E259">
        <v>1</v>
      </c>
      <c r="F259">
        <v>65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7104117</v>
      </c>
      <c r="B260">
        <v>1198</v>
      </c>
      <c r="C260" t="s">
        <v>76</v>
      </c>
      <c r="D260">
        <v>300</v>
      </c>
      <c r="E260">
        <v>1</v>
      </c>
      <c r="F260">
        <v>17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7104118</v>
      </c>
      <c r="B261">
        <v>867</v>
      </c>
      <c r="C261" t="s">
        <v>75</v>
      </c>
      <c r="D261">
        <v>300</v>
      </c>
      <c r="E261">
        <v>1</v>
      </c>
      <c r="F261">
        <v>45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7104125</v>
      </c>
      <c r="B262">
        <v>763</v>
      </c>
      <c r="C262" t="s">
        <v>83</v>
      </c>
      <c r="D262">
        <v>300</v>
      </c>
      <c r="E262">
        <v>1</v>
      </c>
      <c r="F262">
        <v>10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7104126</v>
      </c>
      <c r="B263">
        <v>1005</v>
      </c>
      <c r="C263" t="s">
        <v>73</v>
      </c>
      <c r="D263">
        <v>300</v>
      </c>
      <c r="E263">
        <v>1</v>
      </c>
      <c r="F263">
        <v>19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7104129</v>
      </c>
      <c r="B264">
        <v>1006</v>
      </c>
      <c r="C264" t="s">
        <v>73</v>
      </c>
      <c r="D264">
        <v>300</v>
      </c>
      <c r="E264">
        <v>1</v>
      </c>
      <c r="F264">
        <v>5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7104132</v>
      </c>
      <c r="B265">
        <v>919</v>
      </c>
      <c r="C265" t="s">
        <v>82</v>
      </c>
      <c r="D265">
        <v>300</v>
      </c>
      <c r="E265">
        <v>1</v>
      </c>
      <c r="F265">
        <v>55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7104133</v>
      </c>
      <c r="B266">
        <v>1007</v>
      </c>
      <c r="C266" t="s">
        <v>73</v>
      </c>
      <c r="D266">
        <v>300</v>
      </c>
      <c r="E266">
        <v>1</v>
      </c>
      <c r="F266">
        <v>5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7104139</v>
      </c>
      <c r="B267">
        <v>920</v>
      </c>
      <c r="C267" t="s">
        <v>82</v>
      </c>
      <c r="D267">
        <v>300</v>
      </c>
      <c r="E267">
        <v>1</v>
      </c>
      <c r="F267">
        <v>55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7104140</v>
      </c>
      <c r="B268">
        <v>823</v>
      </c>
      <c r="C268" t="s">
        <v>122</v>
      </c>
      <c r="D268">
        <v>300</v>
      </c>
      <c r="E268">
        <v>1</v>
      </c>
      <c r="F268">
        <v>25</v>
      </c>
      <c r="G268">
        <v>53</v>
      </c>
      <c r="H268">
        <v>50</v>
      </c>
      <c r="I268">
        <v>0</v>
      </c>
      <c r="J268">
        <v>0</v>
      </c>
    </row>
    <row r="269" spans="1:10" x14ac:dyDescent="0.25">
      <c r="A269">
        <v>7104142</v>
      </c>
      <c r="B269">
        <v>1008</v>
      </c>
      <c r="C269" t="s">
        <v>73</v>
      </c>
      <c r="D269">
        <v>300</v>
      </c>
      <c r="E269">
        <v>1</v>
      </c>
      <c r="F269">
        <v>4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7104146</v>
      </c>
      <c r="B270">
        <v>1009</v>
      </c>
      <c r="C270" t="s">
        <v>73</v>
      </c>
      <c r="D270">
        <v>300</v>
      </c>
      <c r="E270">
        <v>1</v>
      </c>
      <c r="F270">
        <v>8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7104147</v>
      </c>
      <c r="B271">
        <v>1010</v>
      </c>
      <c r="C271" t="s">
        <v>73</v>
      </c>
      <c r="D271">
        <v>300</v>
      </c>
      <c r="E271">
        <v>1</v>
      </c>
      <c r="F271">
        <v>6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7104150</v>
      </c>
      <c r="B272">
        <v>1011</v>
      </c>
      <c r="C272" t="s">
        <v>73</v>
      </c>
      <c r="D272">
        <v>300</v>
      </c>
      <c r="E272">
        <v>1</v>
      </c>
      <c r="F272">
        <v>18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7104151</v>
      </c>
      <c r="B273">
        <v>825</v>
      </c>
      <c r="C273" t="s">
        <v>123</v>
      </c>
      <c r="D273">
        <v>300</v>
      </c>
      <c r="E273">
        <v>1</v>
      </c>
      <c r="F273">
        <v>3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7104153</v>
      </c>
      <c r="B274">
        <v>799</v>
      </c>
      <c r="C274" t="s">
        <v>50</v>
      </c>
      <c r="D274">
        <v>300</v>
      </c>
      <c r="E274">
        <v>1</v>
      </c>
      <c r="F274">
        <v>30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7104160</v>
      </c>
      <c r="B275">
        <v>921</v>
      </c>
      <c r="C275" t="s">
        <v>82</v>
      </c>
      <c r="D275">
        <v>300</v>
      </c>
      <c r="E275">
        <v>1</v>
      </c>
      <c r="F275">
        <v>29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7104161</v>
      </c>
      <c r="B276">
        <v>922</v>
      </c>
      <c r="C276" t="s">
        <v>82</v>
      </c>
      <c r="D276">
        <v>300</v>
      </c>
      <c r="E276">
        <v>1</v>
      </c>
      <c r="F276">
        <v>27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7104162</v>
      </c>
      <c r="B277">
        <v>800</v>
      </c>
      <c r="C277" t="s">
        <v>50</v>
      </c>
      <c r="D277">
        <v>300</v>
      </c>
      <c r="E277">
        <v>1</v>
      </c>
      <c r="F277">
        <v>22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7104163</v>
      </c>
      <c r="B278">
        <v>1199</v>
      </c>
      <c r="C278" t="s">
        <v>73</v>
      </c>
      <c r="D278">
        <v>300</v>
      </c>
      <c r="E278">
        <v>1</v>
      </c>
      <c r="F278">
        <v>15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7104164</v>
      </c>
      <c r="B279">
        <v>1012</v>
      </c>
      <c r="C279" t="s">
        <v>73</v>
      </c>
      <c r="D279">
        <v>300</v>
      </c>
      <c r="E279">
        <v>1</v>
      </c>
      <c r="F279">
        <v>13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7104166</v>
      </c>
      <c r="B280">
        <v>868</v>
      </c>
      <c r="C280" t="s">
        <v>75</v>
      </c>
      <c r="D280">
        <v>300</v>
      </c>
      <c r="E280">
        <v>1</v>
      </c>
      <c r="F280">
        <v>11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>
        <v>7104167</v>
      </c>
      <c r="B281">
        <v>966</v>
      </c>
      <c r="C281" t="s">
        <v>69</v>
      </c>
      <c r="D281">
        <v>300</v>
      </c>
      <c r="E281">
        <v>1</v>
      </c>
      <c r="F281">
        <v>12</v>
      </c>
      <c r="G281">
        <v>32</v>
      </c>
      <c r="H281">
        <v>0</v>
      </c>
      <c r="I281">
        <v>0</v>
      </c>
      <c r="J281">
        <v>0</v>
      </c>
    </row>
    <row r="282" spans="1:10" x14ac:dyDescent="0.25">
      <c r="A282">
        <v>7104168</v>
      </c>
      <c r="B282">
        <v>1200</v>
      </c>
      <c r="C282" t="s">
        <v>76</v>
      </c>
      <c r="D282">
        <v>300</v>
      </c>
      <c r="E282">
        <v>1</v>
      </c>
      <c r="F282">
        <v>49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7104171</v>
      </c>
      <c r="B283">
        <v>1201</v>
      </c>
      <c r="C283" t="s">
        <v>73</v>
      </c>
      <c r="D283">
        <v>300</v>
      </c>
      <c r="E283">
        <v>1</v>
      </c>
      <c r="F283">
        <v>40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7104174</v>
      </c>
      <c r="B284">
        <v>923</v>
      </c>
      <c r="C284" t="s">
        <v>82</v>
      </c>
      <c r="D284">
        <v>300</v>
      </c>
      <c r="E284">
        <v>1</v>
      </c>
      <c r="F284">
        <v>8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7104175</v>
      </c>
      <c r="B285">
        <v>924</v>
      </c>
      <c r="C285" t="s">
        <v>82</v>
      </c>
      <c r="D285">
        <v>300</v>
      </c>
      <c r="E285">
        <v>1</v>
      </c>
      <c r="F285">
        <v>7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7104176</v>
      </c>
      <c r="B286">
        <v>1013</v>
      </c>
      <c r="C286" t="s">
        <v>73</v>
      </c>
      <c r="D286">
        <v>300</v>
      </c>
      <c r="E286">
        <v>1</v>
      </c>
      <c r="F286">
        <v>2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7104177</v>
      </c>
      <c r="B287">
        <v>925</v>
      </c>
      <c r="C287" t="s">
        <v>82</v>
      </c>
      <c r="D287">
        <v>300</v>
      </c>
      <c r="E287">
        <v>1</v>
      </c>
      <c r="F287">
        <v>18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7104181</v>
      </c>
      <c r="B288">
        <v>759</v>
      </c>
      <c r="C288" t="s">
        <v>78</v>
      </c>
      <c r="D288">
        <v>300</v>
      </c>
      <c r="E288">
        <v>1</v>
      </c>
      <c r="F288">
        <v>6</v>
      </c>
      <c r="G288">
        <v>0</v>
      </c>
      <c r="H288">
        <v>83</v>
      </c>
      <c r="I288">
        <v>0</v>
      </c>
      <c r="J288">
        <v>0</v>
      </c>
    </row>
    <row r="289" spans="1:10" x14ac:dyDescent="0.25">
      <c r="A289">
        <v>7104185</v>
      </c>
      <c r="B289">
        <v>850</v>
      </c>
      <c r="C289" t="s">
        <v>124</v>
      </c>
      <c r="D289">
        <v>300</v>
      </c>
      <c r="E289">
        <v>1</v>
      </c>
      <c r="F289">
        <v>15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7104189</v>
      </c>
      <c r="B290">
        <v>1202</v>
      </c>
      <c r="C290" t="s">
        <v>76</v>
      </c>
      <c r="D290">
        <v>300</v>
      </c>
      <c r="E290">
        <v>1</v>
      </c>
      <c r="F290">
        <v>30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7104190</v>
      </c>
      <c r="B291">
        <v>869</v>
      </c>
      <c r="C291" t="s">
        <v>75</v>
      </c>
      <c r="D291">
        <v>300</v>
      </c>
      <c r="E291">
        <v>1</v>
      </c>
      <c r="F291">
        <v>23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7104194</v>
      </c>
      <c r="B292">
        <v>926</v>
      </c>
      <c r="C292" t="s">
        <v>82</v>
      </c>
      <c r="D292">
        <v>300</v>
      </c>
      <c r="E292">
        <v>1</v>
      </c>
      <c r="F292">
        <v>15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7104208</v>
      </c>
      <c r="B293">
        <v>1014</v>
      </c>
      <c r="C293" t="s">
        <v>73</v>
      </c>
      <c r="D293">
        <v>300</v>
      </c>
      <c r="E293">
        <v>1</v>
      </c>
      <c r="F293">
        <v>5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7104209</v>
      </c>
      <c r="B294">
        <v>927</v>
      </c>
      <c r="C294" t="s">
        <v>82</v>
      </c>
      <c r="D294">
        <v>300</v>
      </c>
      <c r="E294">
        <v>1</v>
      </c>
      <c r="F294">
        <v>15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7104211</v>
      </c>
      <c r="B295">
        <v>760</v>
      </c>
      <c r="C295" t="s">
        <v>78</v>
      </c>
      <c r="D295">
        <v>300</v>
      </c>
      <c r="E295">
        <v>1</v>
      </c>
      <c r="F295">
        <v>2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7104217</v>
      </c>
      <c r="B296">
        <v>826</v>
      </c>
      <c r="C296" t="s">
        <v>123</v>
      </c>
      <c r="D296">
        <v>300</v>
      </c>
      <c r="E296">
        <v>1</v>
      </c>
      <c r="F296">
        <v>4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7104222</v>
      </c>
      <c r="B297">
        <v>1015</v>
      </c>
      <c r="C297" t="s">
        <v>73</v>
      </c>
      <c r="D297">
        <v>300</v>
      </c>
      <c r="E297">
        <v>1</v>
      </c>
      <c r="F297">
        <v>5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7104224</v>
      </c>
      <c r="B298">
        <v>1025</v>
      </c>
      <c r="C298" t="s">
        <v>121</v>
      </c>
      <c r="D298">
        <v>300</v>
      </c>
      <c r="E298">
        <v>1</v>
      </c>
      <c r="F298">
        <v>57</v>
      </c>
      <c r="G298">
        <v>89</v>
      </c>
      <c r="H298">
        <v>0</v>
      </c>
      <c r="I298">
        <v>0</v>
      </c>
      <c r="J298">
        <v>0</v>
      </c>
    </row>
    <row r="299" spans="1:10" x14ac:dyDescent="0.25">
      <c r="A299">
        <v>7104225</v>
      </c>
      <c r="B299">
        <v>1203</v>
      </c>
      <c r="C299" t="s">
        <v>72</v>
      </c>
      <c r="D299">
        <v>300</v>
      </c>
      <c r="E299">
        <v>1</v>
      </c>
      <c r="F299">
        <v>55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7104226</v>
      </c>
      <c r="B300">
        <v>792</v>
      </c>
      <c r="C300" t="s">
        <v>84</v>
      </c>
      <c r="D300">
        <v>300</v>
      </c>
      <c r="E300">
        <v>1</v>
      </c>
      <c r="F300">
        <v>14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7104228</v>
      </c>
      <c r="B301">
        <v>1026</v>
      </c>
      <c r="C301" t="s">
        <v>121</v>
      </c>
      <c r="D301">
        <v>300</v>
      </c>
      <c r="E301">
        <v>1</v>
      </c>
      <c r="F301">
        <v>145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7104229</v>
      </c>
      <c r="B302">
        <v>851</v>
      </c>
      <c r="C302" t="s">
        <v>124</v>
      </c>
      <c r="D302">
        <v>300</v>
      </c>
      <c r="E302">
        <v>1</v>
      </c>
      <c r="F302">
        <v>8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7104230</v>
      </c>
      <c r="B303">
        <v>1027</v>
      </c>
      <c r="C303" t="s">
        <v>121</v>
      </c>
      <c r="D303">
        <v>300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7104232</v>
      </c>
      <c r="B304">
        <v>793</v>
      </c>
      <c r="C304" t="s">
        <v>84</v>
      </c>
      <c r="D304">
        <v>300</v>
      </c>
      <c r="E304">
        <v>1</v>
      </c>
      <c r="F304">
        <v>12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7104236</v>
      </c>
      <c r="B305">
        <v>898</v>
      </c>
      <c r="C305" t="s">
        <v>125</v>
      </c>
      <c r="D305">
        <v>300</v>
      </c>
      <c r="E305">
        <v>1</v>
      </c>
      <c r="F305">
        <v>2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>
        <v>7104240</v>
      </c>
      <c r="B306">
        <v>1016</v>
      </c>
      <c r="C306" t="s">
        <v>73</v>
      </c>
      <c r="D306">
        <v>300</v>
      </c>
      <c r="E306">
        <v>1</v>
      </c>
      <c r="F306">
        <v>14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7104247</v>
      </c>
      <c r="B307">
        <v>899</v>
      </c>
      <c r="C307" t="s">
        <v>125</v>
      </c>
      <c r="D307">
        <v>300</v>
      </c>
      <c r="E307">
        <v>1</v>
      </c>
      <c r="F307">
        <v>8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7104248</v>
      </c>
      <c r="B308">
        <v>870</v>
      </c>
      <c r="C308" t="s">
        <v>75</v>
      </c>
      <c r="D308">
        <v>300</v>
      </c>
      <c r="E308">
        <v>1</v>
      </c>
      <c r="F308">
        <v>2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7104250</v>
      </c>
      <c r="B309">
        <v>1046</v>
      </c>
      <c r="C309" t="s">
        <v>126</v>
      </c>
      <c r="D309">
        <v>300</v>
      </c>
      <c r="E309">
        <v>1</v>
      </c>
      <c r="F309">
        <v>8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7104251</v>
      </c>
      <c r="B310">
        <v>1047</v>
      </c>
      <c r="C310" t="s">
        <v>126</v>
      </c>
      <c r="D310">
        <v>300</v>
      </c>
      <c r="E310">
        <v>1</v>
      </c>
      <c r="F310">
        <v>15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7104253</v>
      </c>
      <c r="B311">
        <v>1048</v>
      </c>
      <c r="C311" t="s">
        <v>126</v>
      </c>
      <c r="D311">
        <v>300</v>
      </c>
      <c r="E311">
        <v>1</v>
      </c>
      <c r="F311">
        <v>24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7104254</v>
      </c>
      <c r="B312">
        <v>785</v>
      </c>
      <c r="C312" t="s">
        <v>127</v>
      </c>
      <c r="D312">
        <v>300</v>
      </c>
      <c r="E312">
        <v>1</v>
      </c>
      <c r="F312">
        <v>2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7104263</v>
      </c>
      <c r="B313">
        <v>1049</v>
      </c>
      <c r="C313" t="s">
        <v>126</v>
      </c>
      <c r="D313">
        <v>300</v>
      </c>
      <c r="E313">
        <v>1</v>
      </c>
      <c r="F313">
        <v>8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7104265</v>
      </c>
      <c r="B314">
        <v>764</v>
      </c>
      <c r="C314" t="s">
        <v>83</v>
      </c>
      <c r="D314">
        <v>300</v>
      </c>
      <c r="E314">
        <v>1</v>
      </c>
      <c r="F314">
        <v>4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7104267</v>
      </c>
      <c r="B315">
        <v>786</v>
      </c>
      <c r="C315" t="s">
        <v>127</v>
      </c>
      <c r="D315">
        <v>300</v>
      </c>
      <c r="E315">
        <v>1</v>
      </c>
      <c r="F315">
        <v>7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7104268</v>
      </c>
      <c r="B316">
        <v>787</v>
      </c>
      <c r="C316" t="s">
        <v>127</v>
      </c>
      <c r="D316">
        <v>300</v>
      </c>
      <c r="E316">
        <v>1</v>
      </c>
      <c r="F316">
        <v>6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7104270</v>
      </c>
      <c r="B317">
        <v>788</v>
      </c>
      <c r="C317" t="s">
        <v>127</v>
      </c>
      <c r="D317">
        <v>300</v>
      </c>
      <c r="E317">
        <v>1</v>
      </c>
      <c r="F317">
        <v>4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7104271</v>
      </c>
      <c r="B318">
        <v>1017</v>
      </c>
      <c r="C318" t="s">
        <v>73</v>
      </c>
      <c r="D318">
        <v>300</v>
      </c>
      <c r="E318">
        <v>1</v>
      </c>
      <c r="F318">
        <v>4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7104272</v>
      </c>
      <c r="B319">
        <v>871</v>
      </c>
      <c r="C319" t="s">
        <v>75</v>
      </c>
      <c r="D319">
        <v>300</v>
      </c>
      <c r="E319">
        <v>1</v>
      </c>
      <c r="F319">
        <v>4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7104273</v>
      </c>
      <c r="B320">
        <v>1018</v>
      </c>
      <c r="C320" t="s">
        <v>73</v>
      </c>
      <c r="D320">
        <v>300</v>
      </c>
      <c r="E320">
        <v>1</v>
      </c>
      <c r="F320">
        <v>8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7104274</v>
      </c>
      <c r="B321">
        <v>928</v>
      </c>
      <c r="C321" t="s">
        <v>82</v>
      </c>
      <c r="D321">
        <v>300</v>
      </c>
      <c r="E321">
        <v>1</v>
      </c>
      <c r="F321">
        <v>17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7104276</v>
      </c>
      <c r="B322">
        <v>816</v>
      </c>
      <c r="C322" t="s">
        <v>128</v>
      </c>
      <c r="D322">
        <v>300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7104401</v>
      </c>
      <c r="B323">
        <v>81</v>
      </c>
      <c r="C323" t="s">
        <v>53</v>
      </c>
      <c r="D323">
        <v>300</v>
      </c>
      <c r="E323">
        <v>1</v>
      </c>
      <c r="F323">
        <v>0</v>
      </c>
      <c r="G323">
        <v>60</v>
      </c>
      <c r="H323">
        <v>0</v>
      </c>
      <c r="I323">
        <v>0</v>
      </c>
      <c r="J323">
        <v>0</v>
      </c>
    </row>
    <row r="324" spans="1:10" x14ac:dyDescent="0.25">
      <c r="A324">
        <v>7104445</v>
      </c>
      <c r="B324">
        <v>109</v>
      </c>
      <c r="C324" t="s">
        <v>65</v>
      </c>
      <c r="D324">
        <v>300</v>
      </c>
      <c r="E324">
        <v>1</v>
      </c>
      <c r="F324">
        <v>0</v>
      </c>
      <c r="G324">
        <v>0</v>
      </c>
      <c r="H324">
        <v>300</v>
      </c>
      <c r="I324">
        <v>0</v>
      </c>
      <c r="J324">
        <v>0</v>
      </c>
    </row>
    <row r="325" spans="1:10" x14ac:dyDescent="0.25">
      <c r="A325">
        <v>7104459</v>
      </c>
      <c r="B325">
        <v>82</v>
      </c>
      <c r="C325" t="s">
        <v>53</v>
      </c>
      <c r="D325">
        <v>300</v>
      </c>
      <c r="E325">
        <v>1</v>
      </c>
      <c r="F325">
        <v>0</v>
      </c>
      <c r="G325">
        <v>20</v>
      </c>
      <c r="H325">
        <v>0</v>
      </c>
      <c r="I325">
        <v>220</v>
      </c>
      <c r="J325">
        <v>0</v>
      </c>
    </row>
    <row r="326" spans="1:10" x14ac:dyDescent="0.25">
      <c r="A326">
        <v>7105006</v>
      </c>
      <c r="B326">
        <v>1147</v>
      </c>
      <c r="C326" t="s">
        <v>64</v>
      </c>
      <c r="D326">
        <v>300</v>
      </c>
      <c r="E326">
        <v>1</v>
      </c>
      <c r="F326">
        <v>60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7105008</v>
      </c>
      <c r="B327">
        <v>548</v>
      </c>
      <c r="C327" t="s">
        <v>129</v>
      </c>
      <c r="D327">
        <v>300</v>
      </c>
      <c r="E327">
        <v>1</v>
      </c>
      <c r="F327">
        <v>30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7105010</v>
      </c>
      <c r="B328">
        <v>402</v>
      </c>
      <c r="C328" t="s">
        <v>64</v>
      </c>
      <c r="D328">
        <v>300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7105013</v>
      </c>
      <c r="B329">
        <v>529</v>
      </c>
      <c r="C329" t="s">
        <v>67</v>
      </c>
      <c r="D329">
        <v>300</v>
      </c>
      <c r="E329">
        <v>1</v>
      </c>
      <c r="F329">
        <v>24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7105018</v>
      </c>
      <c r="B330">
        <v>403</v>
      </c>
      <c r="C330" t="s">
        <v>64</v>
      </c>
      <c r="D330">
        <v>300</v>
      </c>
      <c r="E330">
        <v>1</v>
      </c>
      <c r="F330">
        <v>32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7105022</v>
      </c>
      <c r="B331">
        <v>404</v>
      </c>
      <c r="C331" t="s">
        <v>64</v>
      </c>
      <c r="D331">
        <v>300</v>
      </c>
      <c r="E331">
        <v>1</v>
      </c>
      <c r="F331">
        <v>37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7105038</v>
      </c>
      <c r="B332">
        <v>405</v>
      </c>
      <c r="C332" t="s">
        <v>64</v>
      </c>
      <c r="D332">
        <v>300</v>
      </c>
      <c r="E332">
        <v>1</v>
      </c>
      <c r="F332">
        <v>90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7105048</v>
      </c>
      <c r="B333">
        <v>406</v>
      </c>
      <c r="C333" t="s">
        <v>64</v>
      </c>
      <c r="D333">
        <v>300</v>
      </c>
      <c r="E333">
        <v>1</v>
      </c>
      <c r="F333">
        <v>22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7105053</v>
      </c>
      <c r="B334">
        <v>407</v>
      </c>
      <c r="C334" t="s">
        <v>64</v>
      </c>
      <c r="D334">
        <v>300</v>
      </c>
      <c r="E334">
        <v>1</v>
      </c>
      <c r="F334">
        <v>67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7105054</v>
      </c>
      <c r="B335">
        <v>408</v>
      </c>
      <c r="C335" t="s">
        <v>64</v>
      </c>
      <c r="D335">
        <v>300</v>
      </c>
      <c r="E335">
        <v>1</v>
      </c>
      <c r="F335">
        <v>15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7105055</v>
      </c>
      <c r="B336">
        <v>409</v>
      </c>
      <c r="C336" t="s">
        <v>64</v>
      </c>
      <c r="D336">
        <v>300</v>
      </c>
      <c r="E336">
        <v>1</v>
      </c>
      <c r="F336">
        <v>76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7105059</v>
      </c>
      <c r="B337">
        <v>350</v>
      </c>
      <c r="C337" t="s">
        <v>68</v>
      </c>
      <c r="D337">
        <v>300</v>
      </c>
      <c r="E337">
        <v>1</v>
      </c>
      <c r="F337">
        <v>55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7105063</v>
      </c>
      <c r="B338">
        <v>410</v>
      </c>
      <c r="C338" t="s">
        <v>64</v>
      </c>
      <c r="D338">
        <v>300</v>
      </c>
      <c r="E338">
        <v>1</v>
      </c>
      <c r="F338">
        <v>25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7105064</v>
      </c>
      <c r="B339">
        <v>351</v>
      </c>
      <c r="C339" t="s">
        <v>68</v>
      </c>
      <c r="D339">
        <v>300</v>
      </c>
      <c r="E339">
        <v>1</v>
      </c>
      <c r="F339">
        <v>45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7105066</v>
      </c>
      <c r="B340">
        <v>546</v>
      </c>
      <c r="C340" t="s">
        <v>130</v>
      </c>
      <c r="D340">
        <v>300</v>
      </c>
      <c r="E340">
        <v>1</v>
      </c>
      <c r="F340">
        <v>66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7105067</v>
      </c>
      <c r="B341">
        <v>411</v>
      </c>
      <c r="C341" t="s">
        <v>64</v>
      </c>
      <c r="D341">
        <v>300</v>
      </c>
      <c r="E341">
        <v>1</v>
      </c>
      <c r="F341">
        <v>30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7105076</v>
      </c>
      <c r="B342">
        <v>514</v>
      </c>
      <c r="C342" t="s">
        <v>63</v>
      </c>
      <c r="D342">
        <v>300</v>
      </c>
      <c r="E342">
        <v>1</v>
      </c>
      <c r="F342">
        <v>45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7105082</v>
      </c>
      <c r="B343">
        <v>412</v>
      </c>
      <c r="C343" t="s">
        <v>64</v>
      </c>
      <c r="D343">
        <v>300</v>
      </c>
      <c r="E343">
        <v>1</v>
      </c>
      <c r="F343">
        <v>45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7105083</v>
      </c>
      <c r="B344">
        <v>413</v>
      </c>
      <c r="C344" t="s">
        <v>64</v>
      </c>
      <c r="D344">
        <v>300</v>
      </c>
      <c r="E344">
        <v>1</v>
      </c>
      <c r="F344">
        <v>38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7105084</v>
      </c>
      <c r="B345">
        <v>414</v>
      </c>
      <c r="C345" t="s">
        <v>64</v>
      </c>
      <c r="D345">
        <v>300</v>
      </c>
      <c r="E345">
        <v>1</v>
      </c>
      <c r="F345">
        <v>15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7105085</v>
      </c>
      <c r="B346">
        <v>415</v>
      </c>
      <c r="C346" t="s">
        <v>64</v>
      </c>
      <c r="D346">
        <v>300</v>
      </c>
      <c r="E346">
        <v>1</v>
      </c>
      <c r="F346">
        <v>2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7105092</v>
      </c>
      <c r="B347">
        <v>416</v>
      </c>
      <c r="C347" t="s">
        <v>64</v>
      </c>
      <c r="D347">
        <v>300</v>
      </c>
      <c r="E347">
        <v>1</v>
      </c>
      <c r="F347">
        <v>47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7105093</v>
      </c>
      <c r="B348">
        <v>352</v>
      </c>
      <c r="C348" t="s">
        <v>68</v>
      </c>
      <c r="D348">
        <v>300</v>
      </c>
      <c r="E348">
        <v>1</v>
      </c>
      <c r="F348">
        <v>26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7105094</v>
      </c>
      <c r="B349">
        <v>417</v>
      </c>
      <c r="C349" t="s">
        <v>64</v>
      </c>
      <c r="D349">
        <v>300</v>
      </c>
      <c r="E349">
        <v>1</v>
      </c>
      <c r="F349">
        <v>71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>
        <v>7105101</v>
      </c>
      <c r="B350">
        <v>530</v>
      </c>
      <c r="C350" t="s">
        <v>67</v>
      </c>
      <c r="D350">
        <v>300</v>
      </c>
      <c r="E350">
        <v>1</v>
      </c>
      <c r="F350">
        <v>29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>
        <v>7105102</v>
      </c>
      <c r="B351">
        <v>418</v>
      </c>
      <c r="C351" t="s">
        <v>64</v>
      </c>
      <c r="D351">
        <v>300</v>
      </c>
      <c r="E351">
        <v>1</v>
      </c>
      <c r="F351">
        <v>22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7105103</v>
      </c>
      <c r="B352">
        <v>419</v>
      </c>
      <c r="C352" t="s">
        <v>64</v>
      </c>
      <c r="D352">
        <v>300</v>
      </c>
      <c r="E352">
        <v>1</v>
      </c>
      <c r="F352">
        <v>30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7105104</v>
      </c>
      <c r="B353">
        <v>420</v>
      </c>
      <c r="C353" t="s">
        <v>64</v>
      </c>
      <c r="D353">
        <v>300</v>
      </c>
      <c r="E353">
        <v>1</v>
      </c>
      <c r="F353">
        <v>45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7105112</v>
      </c>
      <c r="B354">
        <v>370</v>
      </c>
      <c r="C354" t="s">
        <v>66</v>
      </c>
      <c r="D354">
        <v>300</v>
      </c>
      <c r="E354">
        <v>1</v>
      </c>
      <c r="F354">
        <v>111</v>
      </c>
      <c r="G354">
        <v>92</v>
      </c>
      <c r="H354">
        <v>0</v>
      </c>
      <c r="I354">
        <v>0</v>
      </c>
      <c r="J354">
        <v>0</v>
      </c>
    </row>
    <row r="355" spans="1:10" x14ac:dyDescent="0.25">
      <c r="A355">
        <v>7105115</v>
      </c>
      <c r="B355">
        <v>371</v>
      </c>
      <c r="C355" t="s">
        <v>66</v>
      </c>
      <c r="D355">
        <v>300</v>
      </c>
      <c r="E355">
        <v>1</v>
      </c>
      <c r="F355">
        <v>146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7105120</v>
      </c>
      <c r="B356">
        <v>502</v>
      </c>
      <c r="C356" t="s">
        <v>131</v>
      </c>
      <c r="D356">
        <v>300</v>
      </c>
      <c r="E356">
        <v>1</v>
      </c>
      <c r="F356">
        <v>109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7105121</v>
      </c>
      <c r="B357">
        <v>353</v>
      </c>
      <c r="C357" t="s">
        <v>68</v>
      </c>
      <c r="D357">
        <v>300</v>
      </c>
      <c r="E357">
        <v>1</v>
      </c>
      <c r="F357">
        <v>54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7105123</v>
      </c>
      <c r="B358">
        <v>549</v>
      </c>
      <c r="C358" t="s">
        <v>129</v>
      </c>
      <c r="D358">
        <v>300</v>
      </c>
      <c r="E358">
        <v>1</v>
      </c>
      <c r="F358">
        <v>30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7105125</v>
      </c>
      <c r="B359">
        <v>421</v>
      </c>
      <c r="C359" t="s">
        <v>64</v>
      </c>
      <c r="D359">
        <v>300</v>
      </c>
      <c r="E359">
        <v>1</v>
      </c>
      <c r="F359">
        <v>53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7105126</v>
      </c>
      <c r="B360">
        <v>422</v>
      </c>
      <c r="C360" t="s">
        <v>64</v>
      </c>
      <c r="D360">
        <v>300</v>
      </c>
      <c r="E360">
        <v>1</v>
      </c>
      <c r="F360">
        <v>50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7105130</v>
      </c>
      <c r="B361">
        <v>423</v>
      </c>
      <c r="C361" t="s">
        <v>64</v>
      </c>
      <c r="D361">
        <v>300</v>
      </c>
      <c r="E361">
        <v>1</v>
      </c>
      <c r="F361">
        <v>70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7105131</v>
      </c>
      <c r="B362">
        <v>424</v>
      </c>
      <c r="C362" t="s">
        <v>64</v>
      </c>
      <c r="D362">
        <v>300</v>
      </c>
      <c r="E362">
        <v>1</v>
      </c>
      <c r="F362">
        <v>17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7105133</v>
      </c>
      <c r="B363">
        <v>425</v>
      </c>
      <c r="C363" t="s">
        <v>64</v>
      </c>
      <c r="D363">
        <v>300</v>
      </c>
      <c r="E363">
        <v>1</v>
      </c>
      <c r="F363">
        <v>2</v>
      </c>
      <c r="G363">
        <v>133</v>
      </c>
      <c r="H363">
        <v>44</v>
      </c>
      <c r="I363">
        <v>0</v>
      </c>
      <c r="J363">
        <v>0</v>
      </c>
    </row>
    <row r="364" spans="1:10" x14ac:dyDescent="0.25">
      <c r="A364">
        <v>7105135</v>
      </c>
      <c r="B364">
        <v>354</v>
      </c>
      <c r="C364" t="s">
        <v>68</v>
      </c>
      <c r="D364">
        <v>300</v>
      </c>
      <c r="E364">
        <v>1</v>
      </c>
      <c r="F364">
        <v>15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7105136</v>
      </c>
      <c r="B365">
        <v>426</v>
      </c>
      <c r="C365" t="s">
        <v>64</v>
      </c>
      <c r="D365">
        <v>300</v>
      </c>
      <c r="E365">
        <v>1</v>
      </c>
      <c r="F365">
        <v>19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7105139</v>
      </c>
      <c r="B366">
        <v>554</v>
      </c>
      <c r="C366" t="s">
        <v>132</v>
      </c>
      <c r="D366">
        <v>300</v>
      </c>
      <c r="E366">
        <v>1</v>
      </c>
      <c r="F366">
        <v>71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7105140</v>
      </c>
      <c r="B367">
        <v>1148</v>
      </c>
      <c r="C367" t="s">
        <v>64</v>
      </c>
      <c r="D367">
        <v>300</v>
      </c>
      <c r="E367">
        <v>1</v>
      </c>
      <c r="F367">
        <v>28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7105142</v>
      </c>
      <c r="B368">
        <v>550</v>
      </c>
      <c r="C368" t="s">
        <v>129</v>
      </c>
      <c r="D368">
        <v>300</v>
      </c>
      <c r="E368">
        <v>1</v>
      </c>
      <c r="F368">
        <v>21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7105146</v>
      </c>
      <c r="B369">
        <v>492</v>
      </c>
      <c r="C369" t="s">
        <v>133</v>
      </c>
      <c r="D369">
        <v>300</v>
      </c>
      <c r="E369">
        <v>1</v>
      </c>
      <c r="F369">
        <v>2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7105148</v>
      </c>
      <c r="B370">
        <v>427</v>
      </c>
      <c r="C370" t="s">
        <v>64</v>
      </c>
      <c r="D370">
        <v>300</v>
      </c>
      <c r="E370">
        <v>1</v>
      </c>
      <c r="F370">
        <v>15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>
        <v>7105152</v>
      </c>
      <c r="B371">
        <v>428</v>
      </c>
      <c r="C371" t="s">
        <v>64</v>
      </c>
      <c r="D371">
        <v>300</v>
      </c>
      <c r="E371">
        <v>1</v>
      </c>
      <c r="F371">
        <v>47</v>
      </c>
      <c r="G371">
        <v>8</v>
      </c>
      <c r="H371">
        <v>0</v>
      </c>
      <c r="I371">
        <v>0</v>
      </c>
      <c r="J371">
        <v>0</v>
      </c>
    </row>
    <row r="372" spans="1:10" x14ac:dyDescent="0.25">
      <c r="A372">
        <v>7105153</v>
      </c>
      <c r="B372">
        <v>515</v>
      </c>
      <c r="C372" t="s">
        <v>63</v>
      </c>
      <c r="D372">
        <v>300</v>
      </c>
      <c r="E372">
        <v>1</v>
      </c>
      <c r="F372">
        <v>9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>
        <v>7105156</v>
      </c>
      <c r="B373">
        <v>429</v>
      </c>
      <c r="C373" t="s">
        <v>64</v>
      </c>
      <c r="D373">
        <v>300</v>
      </c>
      <c r="E373">
        <v>1</v>
      </c>
      <c r="F373">
        <v>11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>
        <v>7105160</v>
      </c>
      <c r="B374">
        <v>430</v>
      </c>
      <c r="C374" t="s">
        <v>64</v>
      </c>
      <c r="D374">
        <v>300</v>
      </c>
      <c r="E374">
        <v>1</v>
      </c>
      <c r="F374">
        <v>15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>
        <v>7105162</v>
      </c>
      <c r="B375">
        <v>431</v>
      </c>
      <c r="C375" t="s">
        <v>64</v>
      </c>
      <c r="D375">
        <v>300</v>
      </c>
      <c r="E375">
        <v>1</v>
      </c>
      <c r="F375">
        <v>15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>
        <v>7105167</v>
      </c>
      <c r="B376">
        <v>432</v>
      </c>
      <c r="C376" t="s">
        <v>64</v>
      </c>
      <c r="D376">
        <v>300</v>
      </c>
      <c r="E376">
        <v>1</v>
      </c>
      <c r="F376">
        <v>4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>
        <v>7108003</v>
      </c>
      <c r="B377">
        <v>107</v>
      </c>
      <c r="C377" t="s">
        <v>48</v>
      </c>
      <c r="D377">
        <v>300</v>
      </c>
      <c r="E377">
        <v>1</v>
      </c>
      <c r="F377">
        <v>2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>
        <v>7108010</v>
      </c>
      <c r="B378">
        <v>83</v>
      </c>
      <c r="C378" t="s">
        <v>53</v>
      </c>
      <c r="D378">
        <v>300</v>
      </c>
      <c r="E378">
        <v>1</v>
      </c>
      <c r="F378">
        <v>6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>
        <v>7108018</v>
      </c>
      <c r="B379">
        <v>134</v>
      </c>
      <c r="C379" t="s">
        <v>45</v>
      </c>
      <c r="D379">
        <v>300</v>
      </c>
      <c r="E379">
        <v>1</v>
      </c>
      <c r="F379">
        <v>6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7108032</v>
      </c>
      <c r="B380">
        <v>1067</v>
      </c>
      <c r="C380" t="s">
        <v>54</v>
      </c>
      <c r="D380">
        <v>300</v>
      </c>
      <c r="E380">
        <v>1</v>
      </c>
      <c r="F380">
        <v>8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7108038</v>
      </c>
      <c r="B381">
        <v>1068</v>
      </c>
      <c r="C381" t="s">
        <v>54</v>
      </c>
      <c r="D381">
        <v>300</v>
      </c>
      <c r="E381">
        <v>1</v>
      </c>
      <c r="F381">
        <v>97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7108039</v>
      </c>
      <c r="B382">
        <v>1069</v>
      </c>
      <c r="C382" t="s">
        <v>52</v>
      </c>
      <c r="D382">
        <v>300</v>
      </c>
      <c r="E382">
        <v>1</v>
      </c>
      <c r="F382">
        <v>60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7108040</v>
      </c>
      <c r="B383">
        <v>7</v>
      </c>
      <c r="C383" t="s">
        <v>54</v>
      </c>
      <c r="D383">
        <v>300</v>
      </c>
      <c r="E383">
        <v>1</v>
      </c>
      <c r="F383">
        <v>60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7108043</v>
      </c>
      <c r="B384">
        <v>189</v>
      </c>
      <c r="C384" t="s">
        <v>85</v>
      </c>
      <c r="D384">
        <v>300</v>
      </c>
      <c r="E384">
        <v>1</v>
      </c>
      <c r="F384">
        <v>11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7108044</v>
      </c>
      <c r="B385">
        <v>221</v>
      </c>
      <c r="C385" t="s">
        <v>47</v>
      </c>
      <c r="D385">
        <v>300</v>
      </c>
      <c r="E385">
        <v>1</v>
      </c>
      <c r="F385">
        <v>4</v>
      </c>
      <c r="G385">
        <v>60</v>
      </c>
      <c r="H385">
        <v>180</v>
      </c>
      <c r="I385">
        <v>0</v>
      </c>
      <c r="J385">
        <v>0</v>
      </c>
    </row>
    <row r="386" spans="1:10" x14ac:dyDescent="0.25">
      <c r="A386">
        <v>7108046</v>
      </c>
      <c r="B386">
        <v>300</v>
      </c>
      <c r="C386" t="s">
        <v>112</v>
      </c>
      <c r="D386">
        <v>300</v>
      </c>
      <c r="E386">
        <v>1</v>
      </c>
      <c r="F386">
        <v>110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7108048</v>
      </c>
      <c r="B387">
        <v>263</v>
      </c>
      <c r="C387" t="s">
        <v>134</v>
      </c>
      <c r="D387">
        <v>300</v>
      </c>
      <c r="E387">
        <v>1</v>
      </c>
      <c r="F387">
        <v>55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7108049</v>
      </c>
      <c r="B388">
        <v>355</v>
      </c>
      <c r="C388" t="s">
        <v>68</v>
      </c>
      <c r="D388">
        <v>300</v>
      </c>
      <c r="E388">
        <v>1</v>
      </c>
      <c r="F388">
        <v>32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7108050</v>
      </c>
      <c r="B389">
        <v>503</v>
      </c>
      <c r="C389" t="s">
        <v>131</v>
      </c>
      <c r="D389">
        <v>300</v>
      </c>
      <c r="E389">
        <v>1</v>
      </c>
      <c r="F389">
        <v>107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7108051</v>
      </c>
      <c r="B390">
        <v>547</v>
      </c>
      <c r="C390" t="s">
        <v>130</v>
      </c>
      <c r="D390">
        <v>300</v>
      </c>
      <c r="E390">
        <v>1</v>
      </c>
      <c r="F390">
        <v>82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7108052</v>
      </c>
      <c r="B391">
        <v>593</v>
      </c>
      <c r="C391" t="s">
        <v>44</v>
      </c>
      <c r="D391">
        <v>300</v>
      </c>
      <c r="E391">
        <v>1</v>
      </c>
      <c r="F391">
        <v>17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7108067</v>
      </c>
      <c r="B392">
        <v>150</v>
      </c>
      <c r="C392" t="s">
        <v>52</v>
      </c>
      <c r="D392">
        <v>300</v>
      </c>
      <c r="E392">
        <v>1</v>
      </c>
      <c r="F392">
        <v>80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7108068</v>
      </c>
      <c r="B393">
        <v>1070</v>
      </c>
      <c r="C393" t="s">
        <v>135</v>
      </c>
      <c r="D393">
        <v>300</v>
      </c>
      <c r="E393">
        <v>1</v>
      </c>
      <c r="F393">
        <v>5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7108072</v>
      </c>
      <c r="B394">
        <v>108</v>
      </c>
      <c r="C394" t="s">
        <v>48</v>
      </c>
      <c r="D394">
        <v>300</v>
      </c>
      <c r="E394">
        <v>1</v>
      </c>
      <c r="F394">
        <v>50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7108073</v>
      </c>
      <c r="B395">
        <v>1071</v>
      </c>
      <c r="C395" t="s">
        <v>136</v>
      </c>
      <c r="D395">
        <v>300</v>
      </c>
      <c r="E395">
        <v>1</v>
      </c>
      <c r="F395">
        <v>20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7108092</v>
      </c>
      <c r="B396">
        <v>872</v>
      </c>
      <c r="C396" t="s">
        <v>75</v>
      </c>
      <c r="D396">
        <v>300</v>
      </c>
      <c r="E396">
        <v>1</v>
      </c>
      <c r="F396">
        <v>11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>
        <v>7108093</v>
      </c>
      <c r="B397">
        <v>794</v>
      </c>
      <c r="C397" t="s">
        <v>84</v>
      </c>
      <c r="D397">
        <v>300</v>
      </c>
      <c r="E397">
        <v>1</v>
      </c>
      <c r="F397">
        <v>2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7108098</v>
      </c>
      <c r="B398">
        <v>897</v>
      </c>
      <c r="C398" t="s">
        <v>80</v>
      </c>
      <c r="D398">
        <v>300</v>
      </c>
      <c r="E398">
        <v>1</v>
      </c>
      <c r="F398">
        <v>45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>
        <v>7108099</v>
      </c>
      <c r="B399">
        <v>1019</v>
      </c>
      <c r="C399" t="s">
        <v>73</v>
      </c>
      <c r="D399">
        <v>300</v>
      </c>
      <c r="E399">
        <v>1</v>
      </c>
      <c r="F399">
        <v>25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7108108</v>
      </c>
      <c r="B400">
        <v>1204</v>
      </c>
      <c r="C400" t="s">
        <v>80</v>
      </c>
      <c r="D400">
        <v>300</v>
      </c>
      <c r="E400">
        <v>1</v>
      </c>
      <c r="F400">
        <v>31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7108127</v>
      </c>
      <c r="B401">
        <v>929</v>
      </c>
      <c r="C401" t="s">
        <v>82</v>
      </c>
      <c r="D401">
        <v>300</v>
      </c>
      <c r="E401">
        <v>1</v>
      </c>
      <c r="F401">
        <v>16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>
        <v>7108133</v>
      </c>
      <c r="B402">
        <v>31</v>
      </c>
      <c r="C402" t="s">
        <v>58</v>
      </c>
      <c r="D402">
        <v>300</v>
      </c>
      <c r="E402">
        <v>1</v>
      </c>
      <c r="F402">
        <v>40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>
        <v>7108134</v>
      </c>
      <c r="B403">
        <v>1073</v>
      </c>
      <c r="C403" t="s">
        <v>137</v>
      </c>
      <c r="D403">
        <v>300</v>
      </c>
      <c r="E403">
        <v>1</v>
      </c>
      <c r="F403">
        <v>160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7108136</v>
      </c>
      <c r="B404">
        <v>38</v>
      </c>
      <c r="C404" t="s">
        <v>56</v>
      </c>
      <c r="D404">
        <v>300</v>
      </c>
      <c r="E404">
        <v>1</v>
      </c>
      <c r="F404">
        <v>70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7108138</v>
      </c>
      <c r="B405">
        <v>1074</v>
      </c>
      <c r="C405" t="s">
        <v>65</v>
      </c>
      <c r="D405">
        <v>300</v>
      </c>
      <c r="E405">
        <v>1</v>
      </c>
      <c r="F405">
        <v>15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7108139</v>
      </c>
      <c r="B406">
        <v>1075</v>
      </c>
      <c r="C406" t="s">
        <v>52</v>
      </c>
      <c r="D406">
        <v>300</v>
      </c>
      <c r="E406">
        <v>1</v>
      </c>
      <c r="F406">
        <v>1700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7108142</v>
      </c>
      <c r="B407">
        <v>32</v>
      </c>
      <c r="C407" t="s">
        <v>58</v>
      </c>
      <c r="D407">
        <v>300</v>
      </c>
      <c r="E407">
        <v>1</v>
      </c>
      <c r="F407">
        <v>5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7108145</v>
      </c>
      <c r="B408">
        <v>279</v>
      </c>
      <c r="C408" t="s">
        <v>86</v>
      </c>
      <c r="D408">
        <v>300</v>
      </c>
      <c r="E408">
        <v>1</v>
      </c>
      <c r="F408">
        <v>90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7108149</v>
      </c>
      <c r="B409">
        <v>8</v>
      </c>
      <c r="C409" t="s">
        <v>54</v>
      </c>
      <c r="D409">
        <v>300</v>
      </c>
      <c r="E409">
        <v>1</v>
      </c>
      <c r="F409">
        <v>80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7108150</v>
      </c>
      <c r="B410">
        <v>110</v>
      </c>
      <c r="C410" t="s">
        <v>65</v>
      </c>
      <c r="D410">
        <v>300</v>
      </c>
      <c r="E410">
        <v>1</v>
      </c>
      <c r="F410">
        <v>7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7108152</v>
      </c>
      <c r="B411">
        <v>433</v>
      </c>
      <c r="C411" t="s">
        <v>64</v>
      </c>
      <c r="D411">
        <v>300</v>
      </c>
      <c r="E411">
        <v>1</v>
      </c>
      <c r="F411">
        <v>72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7108153</v>
      </c>
      <c r="B412">
        <v>434</v>
      </c>
      <c r="C412" t="s">
        <v>64</v>
      </c>
      <c r="D412">
        <v>300</v>
      </c>
      <c r="E412">
        <v>1</v>
      </c>
      <c r="F412">
        <v>75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7108158</v>
      </c>
      <c r="B413">
        <v>435</v>
      </c>
      <c r="C413" t="s">
        <v>64</v>
      </c>
      <c r="D413">
        <v>300</v>
      </c>
      <c r="E413">
        <v>1</v>
      </c>
      <c r="F413">
        <v>58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7108161</v>
      </c>
      <c r="B414">
        <v>531</v>
      </c>
      <c r="C414" t="s">
        <v>67</v>
      </c>
      <c r="D414">
        <v>300</v>
      </c>
      <c r="E414">
        <v>1</v>
      </c>
      <c r="F414">
        <v>42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7108163</v>
      </c>
      <c r="B415">
        <v>1150</v>
      </c>
      <c r="C415" t="s">
        <v>68</v>
      </c>
      <c r="D415">
        <v>300</v>
      </c>
      <c r="E415">
        <v>1</v>
      </c>
      <c r="F415">
        <v>35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7108164</v>
      </c>
      <c r="B416">
        <v>436</v>
      </c>
      <c r="C416" t="s">
        <v>64</v>
      </c>
      <c r="D416">
        <v>300</v>
      </c>
      <c r="E416">
        <v>1</v>
      </c>
      <c r="F416">
        <v>79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7108165</v>
      </c>
      <c r="B417">
        <v>437</v>
      </c>
      <c r="C417" t="s">
        <v>64</v>
      </c>
      <c r="D417">
        <v>300</v>
      </c>
      <c r="E417">
        <v>1</v>
      </c>
      <c r="F417">
        <v>30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>
        <v>7108167</v>
      </c>
      <c r="B418">
        <v>438</v>
      </c>
      <c r="C418" t="s">
        <v>64</v>
      </c>
      <c r="D418">
        <v>300</v>
      </c>
      <c r="E418">
        <v>1</v>
      </c>
      <c r="F418">
        <v>40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>
        <v>7108168</v>
      </c>
      <c r="B419">
        <v>439</v>
      </c>
      <c r="C419" t="s">
        <v>64</v>
      </c>
      <c r="D419">
        <v>300</v>
      </c>
      <c r="E419">
        <v>1</v>
      </c>
      <c r="F419">
        <v>35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>
        <v>7108173</v>
      </c>
      <c r="B420">
        <v>160</v>
      </c>
      <c r="C420" t="s">
        <v>138</v>
      </c>
      <c r="D420">
        <v>300</v>
      </c>
      <c r="E420">
        <v>1</v>
      </c>
      <c r="F420">
        <v>6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>
        <v>712007</v>
      </c>
      <c r="B421">
        <v>193</v>
      </c>
      <c r="C421" t="s">
        <v>91</v>
      </c>
      <c r="D421">
        <v>300</v>
      </c>
      <c r="E421">
        <v>1</v>
      </c>
      <c r="F421">
        <v>0</v>
      </c>
      <c r="G421">
        <v>0</v>
      </c>
      <c r="H421">
        <v>0</v>
      </c>
      <c r="I421">
        <v>35</v>
      </c>
      <c r="J421">
        <v>0</v>
      </c>
    </row>
    <row r="422" spans="1:10" x14ac:dyDescent="0.25">
      <c r="A422">
        <v>7130</v>
      </c>
      <c r="B422">
        <v>379</v>
      </c>
      <c r="C422" t="s">
        <v>64</v>
      </c>
      <c r="D422">
        <v>300</v>
      </c>
      <c r="E422">
        <v>1</v>
      </c>
      <c r="F422">
        <v>80</v>
      </c>
      <c r="G422">
        <v>8</v>
      </c>
      <c r="H422">
        <v>0</v>
      </c>
      <c r="I422">
        <v>0</v>
      </c>
      <c r="J422">
        <v>0</v>
      </c>
    </row>
    <row r="423" spans="1:10" x14ac:dyDescent="0.25">
      <c r="A423">
        <v>713000015</v>
      </c>
      <c r="B423">
        <v>313</v>
      </c>
      <c r="C423" t="s">
        <v>139</v>
      </c>
      <c r="D423">
        <v>300</v>
      </c>
      <c r="E423">
        <v>1</v>
      </c>
      <c r="F423">
        <v>0</v>
      </c>
      <c r="G423">
        <v>25</v>
      </c>
      <c r="H423">
        <v>6</v>
      </c>
      <c r="I423">
        <v>0</v>
      </c>
      <c r="J423">
        <v>0</v>
      </c>
    </row>
    <row r="424" spans="1:10" x14ac:dyDescent="0.25">
      <c r="A424">
        <v>71300004</v>
      </c>
      <c r="B424">
        <v>241</v>
      </c>
      <c r="C424" t="s">
        <v>88</v>
      </c>
      <c r="D424">
        <v>300</v>
      </c>
      <c r="E424">
        <v>1</v>
      </c>
      <c r="F424">
        <v>0</v>
      </c>
      <c r="G424">
        <v>80</v>
      </c>
      <c r="H424">
        <v>0</v>
      </c>
      <c r="I424">
        <v>0</v>
      </c>
      <c r="J424">
        <v>0</v>
      </c>
    </row>
    <row r="425" spans="1:10" x14ac:dyDescent="0.25">
      <c r="A425">
        <v>71300006</v>
      </c>
      <c r="B425">
        <v>242</v>
      </c>
      <c r="C425" t="s">
        <v>88</v>
      </c>
      <c r="D425">
        <v>300</v>
      </c>
      <c r="E425">
        <v>1</v>
      </c>
      <c r="F425">
        <v>0</v>
      </c>
      <c r="G425">
        <v>118</v>
      </c>
      <c r="H425">
        <v>0</v>
      </c>
      <c r="I425">
        <v>0</v>
      </c>
      <c r="J425">
        <v>0</v>
      </c>
    </row>
    <row r="426" spans="1:10" x14ac:dyDescent="0.25">
      <c r="A426">
        <v>71300007</v>
      </c>
      <c r="B426">
        <v>243</v>
      </c>
      <c r="C426" t="s">
        <v>88</v>
      </c>
      <c r="D426">
        <v>300</v>
      </c>
      <c r="E426">
        <v>1</v>
      </c>
      <c r="F426">
        <v>0</v>
      </c>
      <c r="G426">
        <v>0</v>
      </c>
      <c r="H426">
        <v>250</v>
      </c>
      <c r="I426">
        <v>0</v>
      </c>
      <c r="J426">
        <v>0</v>
      </c>
    </row>
    <row r="427" spans="1:10" x14ac:dyDescent="0.25">
      <c r="A427">
        <v>71300010</v>
      </c>
      <c r="B427">
        <v>244</v>
      </c>
      <c r="C427" t="s">
        <v>88</v>
      </c>
      <c r="D427">
        <v>300</v>
      </c>
      <c r="E427">
        <v>1</v>
      </c>
      <c r="F427">
        <v>0</v>
      </c>
      <c r="G427">
        <v>0</v>
      </c>
      <c r="H427">
        <v>70</v>
      </c>
      <c r="I427">
        <v>0</v>
      </c>
      <c r="J427">
        <v>0</v>
      </c>
    </row>
    <row r="428" spans="1:10" x14ac:dyDescent="0.25">
      <c r="A428">
        <v>713000107</v>
      </c>
      <c r="B428">
        <v>235</v>
      </c>
      <c r="C428" t="s">
        <v>140</v>
      </c>
      <c r="D428">
        <v>300</v>
      </c>
      <c r="E428">
        <v>1</v>
      </c>
      <c r="F428">
        <v>0</v>
      </c>
      <c r="G428">
        <v>90</v>
      </c>
      <c r="H428">
        <v>0</v>
      </c>
      <c r="I428">
        <v>0</v>
      </c>
      <c r="J428">
        <v>0</v>
      </c>
    </row>
    <row r="429" spans="1:10" x14ac:dyDescent="0.25">
      <c r="A429">
        <v>713000123</v>
      </c>
      <c r="B429">
        <v>283</v>
      </c>
      <c r="C429" t="s">
        <v>86</v>
      </c>
      <c r="D429">
        <v>300</v>
      </c>
      <c r="E429">
        <v>1</v>
      </c>
      <c r="F429">
        <v>0</v>
      </c>
      <c r="G429">
        <v>90</v>
      </c>
      <c r="H429">
        <v>0</v>
      </c>
      <c r="I429">
        <v>0</v>
      </c>
      <c r="J429">
        <v>0</v>
      </c>
    </row>
    <row r="430" spans="1:10" x14ac:dyDescent="0.25">
      <c r="A430">
        <v>71300015</v>
      </c>
      <c r="B430">
        <v>309</v>
      </c>
      <c r="C430" t="s">
        <v>139</v>
      </c>
      <c r="D430">
        <v>300</v>
      </c>
      <c r="E430">
        <v>1</v>
      </c>
      <c r="F430">
        <v>0</v>
      </c>
      <c r="G430">
        <v>25</v>
      </c>
      <c r="H430">
        <v>5</v>
      </c>
      <c r="I430">
        <v>0</v>
      </c>
      <c r="J430">
        <v>0</v>
      </c>
    </row>
    <row r="431" spans="1:10" x14ac:dyDescent="0.25">
      <c r="A431">
        <v>71300019</v>
      </c>
      <c r="B431">
        <v>310</v>
      </c>
      <c r="C431" t="s">
        <v>139</v>
      </c>
      <c r="D431">
        <v>300</v>
      </c>
      <c r="E431">
        <v>1</v>
      </c>
      <c r="F431">
        <v>0</v>
      </c>
      <c r="G431">
        <v>40</v>
      </c>
      <c r="H431">
        <v>310</v>
      </c>
      <c r="I431">
        <v>0</v>
      </c>
      <c r="J431">
        <v>0</v>
      </c>
    </row>
    <row r="432" spans="1:10" x14ac:dyDescent="0.25">
      <c r="A432">
        <v>71300027</v>
      </c>
      <c r="B432">
        <v>255</v>
      </c>
      <c r="C432" t="s">
        <v>89</v>
      </c>
      <c r="D432">
        <v>300</v>
      </c>
      <c r="E432">
        <v>1</v>
      </c>
      <c r="F432">
        <v>0</v>
      </c>
      <c r="G432">
        <v>150</v>
      </c>
      <c r="H432">
        <v>0</v>
      </c>
      <c r="I432">
        <v>0</v>
      </c>
      <c r="J432">
        <v>0</v>
      </c>
    </row>
    <row r="433" spans="1:10" x14ac:dyDescent="0.25">
      <c r="A433">
        <v>71300028</v>
      </c>
      <c r="B433">
        <v>256</v>
      </c>
      <c r="C433" t="s">
        <v>89</v>
      </c>
      <c r="D433">
        <v>300</v>
      </c>
      <c r="E433">
        <v>1</v>
      </c>
      <c r="F433">
        <v>0</v>
      </c>
      <c r="G433">
        <v>350</v>
      </c>
      <c r="H433">
        <v>0</v>
      </c>
      <c r="I433">
        <v>0</v>
      </c>
      <c r="J433">
        <v>0</v>
      </c>
    </row>
    <row r="434" spans="1:10" x14ac:dyDescent="0.25">
      <c r="A434">
        <v>71300030</v>
      </c>
      <c r="B434">
        <v>257</v>
      </c>
      <c r="C434" t="s">
        <v>89</v>
      </c>
      <c r="D434">
        <v>300</v>
      </c>
      <c r="E434">
        <v>1</v>
      </c>
      <c r="F434">
        <v>0</v>
      </c>
      <c r="G434">
        <v>150</v>
      </c>
      <c r="H434">
        <v>0</v>
      </c>
      <c r="I434">
        <v>0</v>
      </c>
      <c r="J434">
        <v>0</v>
      </c>
    </row>
    <row r="435" spans="1:10" x14ac:dyDescent="0.25">
      <c r="A435">
        <v>71300031</v>
      </c>
      <c r="B435">
        <v>258</v>
      </c>
      <c r="C435" t="s">
        <v>89</v>
      </c>
      <c r="D435">
        <v>300</v>
      </c>
      <c r="E435">
        <v>1</v>
      </c>
      <c r="F435">
        <v>0</v>
      </c>
      <c r="G435">
        <v>0</v>
      </c>
      <c r="H435">
        <v>55</v>
      </c>
      <c r="I435">
        <v>0</v>
      </c>
      <c r="J435">
        <v>0</v>
      </c>
    </row>
    <row r="436" spans="1:10" x14ac:dyDescent="0.25">
      <c r="A436">
        <v>71300033</v>
      </c>
      <c r="B436">
        <v>259</v>
      </c>
      <c r="C436" t="s">
        <v>89</v>
      </c>
      <c r="D436">
        <v>300</v>
      </c>
      <c r="E436">
        <v>1</v>
      </c>
      <c r="F436">
        <v>0</v>
      </c>
      <c r="G436">
        <v>0</v>
      </c>
      <c r="H436">
        <v>12</v>
      </c>
      <c r="I436">
        <v>0</v>
      </c>
      <c r="J436">
        <v>0</v>
      </c>
    </row>
    <row r="437" spans="1:10" x14ac:dyDescent="0.25">
      <c r="A437">
        <v>71300048</v>
      </c>
      <c r="B437">
        <v>316</v>
      </c>
      <c r="C437" t="s">
        <v>141</v>
      </c>
      <c r="D437">
        <v>300</v>
      </c>
      <c r="E437">
        <v>1</v>
      </c>
      <c r="F437">
        <v>0</v>
      </c>
      <c r="G437">
        <v>130</v>
      </c>
      <c r="H437">
        <v>0</v>
      </c>
      <c r="I437">
        <v>0</v>
      </c>
      <c r="J437">
        <v>0</v>
      </c>
    </row>
    <row r="438" spans="1:10" x14ac:dyDescent="0.25">
      <c r="A438">
        <v>71300049</v>
      </c>
      <c r="B438">
        <v>317</v>
      </c>
      <c r="C438" t="s">
        <v>141</v>
      </c>
      <c r="D438">
        <v>300</v>
      </c>
      <c r="E438">
        <v>1</v>
      </c>
      <c r="F438">
        <v>0</v>
      </c>
      <c r="G438">
        <v>205</v>
      </c>
      <c r="H438">
        <v>0</v>
      </c>
      <c r="I438">
        <v>0</v>
      </c>
      <c r="J438">
        <v>0</v>
      </c>
    </row>
    <row r="439" spans="1:10" x14ac:dyDescent="0.25">
      <c r="A439">
        <v>71300053</v>
      </c>
      <c r="B439">
        <v>318</v>
      </c>
      <c r="C439" t="s">
        <v>141</v>
      </c>
      <c r="D439">
        <v>300</v>
      </c>
      <c r="E439">
        <v>1</v>
      </c>
      <c r="F439">
        <v>0</v>
      </c>
      <c r="G439">
        <v>130</v>
      </c>
      <c r="H439">
        <v>0</v>
      </c>
      <c r="I439">
        <v>0</v>
      </c>
      <c r="J439">
        <v>0</v>
      </c>
    </row>
    <row r="440" spans="1:10" x14ac:dyDescent="0.25">
      <c r="A440">
        <v>71300056</v>
      </c>
      <c r="B440">
        <v>319</v>
      </c>
      <c r="C440" t="s">
        <v>141</v>
      </c>
      <c r="D440">
        <v>300</v>
      </c>
      <c r="E440">
        <v>1</v>
      </c>
      <c r="F440">
        <v>0</v>
      </c>
      <c r="G440">
        <v>45</v>
      </c>
      <c r="H440">
        <v>0</v>
      </c>
      <c r="I440">
        <v>0</v>
      </c>
      <c r="J440">
        <v>0</v>
      </c>
    </row>
    <row r="441" spans="1:10" x14ac:dyDescent="0.25">
      <c r="A441">
        <v>71300059</v>
      </c>
      <c r="B441">
        <v>320</v>
      </c>
      <c r="C441" t="s">
        <v>141</v>
      </c>
      <c r="D441">
        <v>300</v>
      </c>
      <c r="E441">
        <v>1</v>
      </c>
      <c r="F441">
        <v>0</v>
      </c>
      <c r="G441">
        <v>20</v>
      </c>
      <c r="H441">
        <v>0</v>
      </c>
      <c r="I441">
        <v>0</v>
      </c>
      <c r="J441">
        <v>0</v>
      </c>
    </row>
    <row r="442" spans="1:10" x14ac:dyDescent="0.25">
      <c r="A442">
        <v>71300060</v>
      </c>
      <c r="B442">
        <v>1122</v>
      </c>
      <c r="C442" t="s">
        <v>134</v>
      </c>
      <c r="D442">
        <v>300</v>
      </c>
      <c r="E442">
        <v>1</v>
      </c>
      <c r="F442">
        <v>0</v>
      </c>
      <c r="G442">
        <v>15</v>
      </c>
      <c r="H442">
        <v>0</v>
      </c>
      <c r="I442">
        <v>0</v>
      </c>
      <c r="J442">
        <v>0</v>
      </c>
    </row>
    <row r="443" spans="1:10" x14ac:dyDescent="0.25">
      <c r="A443">
        <v>71300062</v>
      </c>
      <c r="B443">
        <v>264</v>
      </c>
      <c r="C443" t="s">
        <v>134</v>
      </c>
      <c r="D443">
        <v>300</v>
      </c>
      <c r="E443">
        <v>1</v>
      </c>
      <c r="F443">
        <v>0</v>
      </c>
      <c r="G443">
        <v>215</v>
      </c>
      <c r="H443">
        <v>0</v>
      </c>
      <c r="I443">
        <v>0</v>
      </c>
      <c r="J443">
        <v>0</v>
      </c>
    </row>
    <row r="444" spans="1:10" x14ac:dyDescent="0.25">
      <c r="A444">
        <v>71300063</v>
      </c>
      <c r="B444">
        <v>265</v>
      </c>
      <c r="C444" t="s">
        <v>134</v>
      </c>
      <c r="D444">
        <v>300</v>
      </c>
      <c r="E444">
        <v>1</v>
      </c>
      <c r="F444">
        <v>0</v>
      </c>
      <c r="G444">
        <v>0</v>
      </c>
      <c r="H444">
        <v>20</v>
      </c>
      <c r="I444">
        <v>0</v>
      </c>
      <c r="J444">
        <v>0</v>
      </c>
    </row>
    <row r="445" spans="1:10" x14ac:dyDescent="0.25">
      <c r="A445">
        <v>71300070</v>
      </c>
      <c r="B445">
        <v>266</v>
      </c>
      <c r="C445" t="s">
        <v>134</v>
      </c>
      <c r="D445">
        <v>300</v>
      </c>
      <c r="E445">
        <v>1</v>
      </c>
      <c r="F445">
        <v>0</v>
      </c>
      <c r="G445">
        <v>0</v>
      </c>
      <c r="H445">
        <v>25</v>
      </c>
      <c r="I445">
        <v>0</v>
      </c>
      <c r="J445">
        <v>0</v>
      </c>
    </row>
    <row r="446" spans="1:10" x14ac:dyDescent="0.25">
      <c r="A446">
        <v>71300081</v>
      </c>
      <c r="B446">
        <v>267</v>
      </c>
      <c r="C446" t="s">
        <v>134</v>
      </c>
      <c r="D446">
        <v>300</v>
      </c>
      <c r="E446">
        <v>1</v>
      </c>
      <c r="F446">
        <v>0</v>
      </c>
      <c r="G446">
        <v>0</v>
      </c>
      <c r="H446">
        <v>45</v>
      </c>
      <c r="I446">
        <v>0</v>
      </c>
      <c r="J446">
        <v>0</v>
      </c>
    </row>
    <row r="447" spans="1:10" x14ac:dyDescent="0.25">
      <c r="A447">
        <v>71300082</v>
      </c>
      <c r="B447">
        <v>268</v>
      </c>
      <c r="C447" t="s">
        <v>134</v>
      </c>
      <c r="D447">
        <v>300</v>
      </c>
      <c r="E447">
        <v>1</v>
      </c>
      <c r="F447">
        <v>0</v>
      </c>
      <c r="G447">
        <v>100</v>
      </c>
      <c r="H447">
        <v>0</v>
      </c>
      <c r="I447">
        <v>0</v>
      </c>
      <c r="J447">
        <v>0</v>
      </c>
    </row>
    <row r="448" spans="1:10" x14ac:dyDescent="0.25">
      <c r="A448">
        <v>71300085</v>
      </c>
      <c r="B448">
        <v>1123</v>
      </c>
      <c r="C448" t="s">
        <v>134</v>
      </c>
      <c r="D448">
        <v>300</v>
      </c>
      <c r="E448">
        <v>1</v>
      </c>
      <c r="F448">
        <v>0</v>
      </c>
      <c r="G448">
        <v>0</v>
      </c>
      <c r="H448">
        <v>45</v>
      </c>
      <c r="I448">
        <v>0</v>
      </c>
      <c r="J448">
        <v>0</v>
      </c>
    </row>
    <row r="449" spans="1:10" x14ac:dyDescent="0.25">
      <c r="A449">
        <v>71300088</v>
      </c>
      <c r="B449">
        <v>297</v>
      </c>
      <c r="C449" t="s">
        <v>142</v>
      </c>
      <c r="D449">
        <v>300</v>
      </c>
      <c r="E449">
        <v>1</v>
      </c>
      <c r="F449">
        <v>0</v>
      </c>
      <c r="G449">
        <v>84</v>
      </c>
      <c r="H449">
        <v>0</v>
      </c>
      <c r="I449">
        <v>0</v>
      </c>
      <c r="J449">
        <v>0</v>
      </c>
    </row>
    <row r="450" spans="1:10" x14ac:dyDescent="0.25">
      <c r="A450">
        <v>71300092</v>
      </c>
      <c r="B450">
        <v>301</v>
      </c>
      <c r="C450" t="s">
        <v>112</v>
      </c>
      <c r="D450">
        <v>300</v>
      </c>
      <c r="E450">
        <v>1</v>
      </c>
      <c r="F450">
        <v>0</v>
      </c>
      <c r="G450">
        <v>0</v>
      </c>
      <c r="H450">
        <v>65</v>
      </c>
      <c r="I450">
        <v>0</v>
      </c>
      <c r="J450">
        <v>0</v>
      </c>
    </row>
    <row r="451" spans="1:10" x14ac:dyDescent="0.25">
      <c r="A451">
        <v>71300100</v>
      </c>
      <c r="B451">
        <v>302</v>
      </c>
      <c r="C451" t="s">
        <v>112</v>
      </c>
      <c r="D451">
        <v>300</v>
      </c>
      <c r="E451">
        <v>1</v>
      </c>
      <c r="F451">
        <v>0</v>
      </c>
      <c r="G451">
        <v>0</v>
      </c>
      <c r="H451">
        <v>35</v>
      </c>
      <c r="I451">
        <v>0</v>
      </c>
      <c r="J451">
        <v>0</v>
      </c>
    </row>
    <row r="452" spans="1:10" x14ac:dyDescent="0.25">
      <c r="A452">
        <v>71300106</v>
      </c>
      <c r="B452">
        <v>233</v>
      </c>
      <c r="C452" t="s">
        <v>140</v>
      </c>
      <c r="D452">
        <v>300</v>
      </c>
      <c r="E452">
        <v>1</v>
      </c>
      <c r="F452">
        <v>0</v>
      </c>
      <c r="G452">
        <v>80</v>
      </c>
      <c r="H452">
        <v>0</v>
      </c>
      <c r="I452">
        <v>0</v>
      </c>
      <c r="J452">
        <v>0</v>
      </c>
    </row>
    <row r="453" spans="1:10" x14ac:dyDescent="0.25">
      <c r="A453">
        <v>71300107</v>
      </c>
      <c r="B453">
        <v>234</v>
      </c>
      <c r="C453" t="s">
        <v>140</v>
      </c>
      <c r="D453">
        <v>300</v>
      </c>
      <c r="E453">
        <v>1</v>
      </c>
      <c r="F453">
        <v>0</v>
      </c>
      <c r="G453">
        <v>80</v>
      </c>
      <c r="H453">
        <v>0</v>
      </c>
      <c r="I453">
        <v>0</v>
      </c>
      <c r="J453">
        <v>0</v>
      </c>
    </row>
    <row r="454" spans="1:10" x14ac:dyDescent="0.25">
      <c r="A454">
        <v>71300110</v>
      </c>
      <c r="B454">
        <v>323</v>
      </c>
      <c r="C454" t="s">
        <v>87</v>
      </c>
      <c r="D454">
        <v>300</v>
      </c>
      <c r="E454">
        <v>1</v>
      </c>
      <c r="F454">
        <v>0</v>
      </c>
      <c r="G454">
        <v>0</v>
      </c>
      <c r="H454">
        <v>160</v>
      </c>
      <c r="I454">
        <v>0</v>
      </c>
      <c r="J454">
        <v>0</v>
      </c>
    </row>
    <row r="455" spans="1:10" x14ac:dyDescent="0.25">
      <c r="A455">
        <v>71300111</v>
      </c>
      <c r="B455">
        <v>324</v>
      </c>
      <c r="C455" t="s">
        <v>87</v>
      </c>
      <c r="D455">
        <v>300</v>
      </c>
      <c r="E455">
        <v>1</v>
      </c>
      <c r="F455">
        <v>0</v>
      </c>
      <c r="G455">
        <v>50</v>
      </c>
      <c r="H455">
        <v>0</v>
      </c>
      <c r="I455">
        <v>0</v>
      </c>
      <c r="J455">
        <v>0</v>
      </c>
    </row>
    <row r="456" spans="1:10" x14ac:dyDescent="0.25">
      <c r="A456">
        <v>71300113</v>
      </c>
      <c r="B456">
        <v>325</v>
      </c>
      <c r="C456" t="s">
        <v>87</v>
      </c>
      <c r="D456">
        <v>300</v>
      </c>
      <c r="E456">
        <v>1</v>
      </c>
      <c r="F456">
        <v>0</v>
      </c>
      <c r="G456">
        <v>0</v>
      </c>
      <c r="H456">
        <v>6</v>
      </c>
      <c r="I456">
        <v>0</v>
      </c>
      <c r="J456">
        <v>0</v>
      </c>
    </row>
    <row r="457" spans="1:10" x14ac:dyDescent="0.25">
      <c r="A457">
        <v>71300114</v>
      </c>
      <c r="B457">
        <v>326</v>
      </c>
      <c r="C457" t="s">
        <v>87</v>
      </c>
      <c r="D457">
        <v>300</v>
      </c>
      <c r="E457">
        <v>1</v>
      </c>
      <c r="F457">
        <v>0</v>
      </c>
      <c r="G457">
        <v>0</v>
      </c>
      <c r="H457">
        <v>8</v>
      </c>
      <c r="I457">
        <v>0</v>
      </c>
      <c r="J457">
        <v>0</v>
      </c>
    </row>
    <row r="458" spans="1:10" x14ac:dyDescent="0.25">
      <c r="A458">
        <v>71300117</v>
      </c>
      <c r="B458">
        <v>348</v>
      </c>
      <c r="C458" t="s">
        <v>143</v>
      </c>
      <c r="D458">
        <v>300</v>
      </c>
      <c r="E458">
        <v>1</v>
      </c>
      <c r="F458">
        <v>0</v>
      </c>
      <c r="G458">
        <v>180</v>
      </c>
      <c r="H458">
        <v>0</v>
      </c>
      <c r="I458">
        <v>0</v>
      </c>
      <c r="J458">
        <v>0</v>
      </c>
    </row>
    <row r="459" spans="1:10" x14ac:dyDescent="0.25">
      <c r="A459">
        <v>71300118</v>
      </c>
      <c r="B459">
        <v>349</v>
      </c>
      <c r="C459" t="s">
        <v>143</v>
      </c>
      <c r="D459">
        <v>300</v>
      </c>
      <c r="E459">
        <v>1</v>
      </c>
      <c r="F459">
        <v>0</v>
      </c>
      <c r="G459">
        <v>125</v>
      </c>
      <c r="H459">
        <v>0</v>
      </c>
      <c r="I459">
        <v>0</v>
      </c>
      <c r="J459">
        <v>0</v>
      </c>
    </row>
    <row r="460" spans="1:10" x14ac:dyDescent="0.25">
      <c r="A460">
        <v>71300123</v>
      </c>
      <c r="B460">
        <v>280</v>
      </c>
      <c r="C460" t="s">
        <v>86</v>
      </c>
      <c r="D460">
        <v>300</v>
      </c>
      <c r="E460">
        <v>1</v>
      </c>
      <c r="F460">
        <v>0</v>
      </c>
      <c r="G460">
        <v>90</v>
      </c>
      <c r="H460">
        <v>0</v>
      </c>
      <c r="I460">
        <v>0</v>
      </c>
      <c r="J460">
        <v>0</v>
      </c>
    </row>
    <row r="461" spans="1:10" x14ac:dyDescent="0.25">
      <c r="A461">
        <v>71300126</v>
      </c>
      <c r="B461">
        <v>281</v>
      </c>
      <c r="C461" t="s">
        <v>86</v>
      </c>
      <c r="D461">
        <v>300</v>
      </c>
      <c r="E461">
        <v>1</v>
      </c>
      <c r="F461">
        <v>0</v>
      </c>
      <c r="G461">
        <v>15</v>
      </c>
      <c r="H461">
        <v>0</v>
      </c>
      <c r="I461">
        <v>0</v>
      </c>
      <c r="J461">
        <v>0</v>
      </c>
    </row>
    <row r="462" spans="1:10" x14ac:dyDescent="0.25">
      <c r="A462">
        <v>71300129</v>
      </c>
      <c r="B462">
        <v>246</v>
      </c>
      <c r="C462" t="s">
        <v>144</v>
      </c>
      <c r="D462">
        <v>300</v>
      </c>
      <c r="E462">
        <v>1</v>
      </c>
      <c r="F462">
        <v>0</v>
      </c>
      <c r="G462">
        <v>0</v>
      </c>
      <c r="H462">
        <v>150</v>
      </c>
      <c r="I462">
        <v>0</v>
      </c>
      <c r="J462">
        <v>0</v>
      </c>
    </row>
    <row r="463" spans="1:10" x14ac:dyDescent="0.25">
      <c r="A463">
        <v>71300130</v>
      </c>
      <c r="B463">
        <v>247</v>
      </c>
      <c r="C463" t="s">
        <v>144</v>
      </c>
      <c r="D463">
        <v>300</v>
      </c>
      <c r="E463">
        <v>1</v>
      </c>
      <c r="F463">
        <v>0</v>
      </c>
      <c r="G463">
        <v>65</v>
      </c>
      <c r="H463">
        <v>10</v>
      </c>
      <c r="I463">
        <v>0</v>
      </c>
      <c r="J463">
        <v>0</v>
      </c>
    </row>
    <row r="464" spans="1:10" x14ac:dyDescent="0.25">
      <c r="A464">
        <v>71300136</v>
      </c>
      <c r="B464">
        <v>328</v>
      </c>
      <c r="C464" t="s">
        <v>110</v>
      </c>
      <c r="D464">
        <v>300</v>
      </c>
      <c r="E464">
        <v>1</v>
      </c>
      <c r="F464">
        <v>0</v>
      </c>
      <c r="G464">
        <v>115</v>
      </c>
      <c r="H464">
        <v>0</v>
      </c>
      <c r="I464">
        <v>0</v>
      </c>
      <c r="J464">
        <v>0</v>
      </c>
    </row>
    <row r="465" spans="1:10" x14ac:dyDescent="0.25">
      <c r="A465">
        <v>71300137</v>
      </c>
      <c r="B465">
        <v>329</v>
      </c>
      <c r="C465" t="s">
        <v>110</v>
      </c>
      <c r="D465">
        <v>300</v>
      </c>
      <c r="E465">
        <v>1</v>
      </c>
      <c r="F465">
        <v>0</v>
      </c>
      <c r="G465">
        <v>150</v>
      </c>
      <c r="H465">
        <v>0</v>
      </c>
      <c r="I465">
        <v>0</v>
      </c>
      <c r="J465">
        <v>0</v>
      </c>
    </row>
    <row r="466" spans="1:10" x14ac:dyDescent="0.25">
      <c r="A466">
        <v>71300139</v>
      </c>
      <c r="B466">
        <v>330</v>
      </c>
      <c r="C466" t="s">
        <v>110</v>
      </c>
      <c r="D466">
        <v>300</v>
      </c>
      <c r="E466">
        <v>1</v>
      </c>
      <c r="F466">
        <v>0</v>
      </c>
      <c r="G466">
        <v>10</v>
      </c>
      <c r="H466">
        <v>0</v>
      </c>
      <c r="I466">
        <v>0</v>
      </c>
      <c r="J466">
        <v>0</v>
      </c>
    </row>
    <row r="467" spans="1:10" x14ac:dyDescent="0.25">
      <c r="A467">
        <v>71300141</v>
      </c>
      <c r="B467">
        <v>331</v>
      </c>
      <c r="C467" t="s">
        <v>110</v>
      </c>
      <c r="D467">
        <v>300</v>
      </c>
      <c r="E467">
        <v>1</v>
      </c>
      <c r="F467">
        <v>0</v>
      </c>
      <c r="G467">
        <v>50</v>
      </c>
      <c r="H467">
        <v>0</v>
      </c>
      <c r="I467">
        <v>0</v>
      </c>
      <c r="J467">
        <v>0</v>
      </c>
    </row>
    <row r="468" spans="1:10" x14ac:dyDescent="0.25">
      <c r="A468">
        <v>71300142</v>
      </c>
      <c r="B468">
        <v>332</v>
      </c>
      <c r="C468" t="s">
        <v>110</v>
      </c>
      <c r="D468">
        <v>300</v>
      </c>
      <c r="E468">
        <v>1</v>
      </c>
      <c r="F468">
        <v>0</v>
      </c>
      <c r="G468">
        <v>100</v>
      </c>
      <c r="H468">
        <v>0</v>
      </c>
      <c r="I468">
        <v>0</v>
      </c>
      <c r="J468">
        <v>0</v>
      </c>
    </row>
    <row r="469" spans="1:10" x14ac:dyDescent="0.25">
      <c r="A469">
        <v>71300146</v>
      </c>
      <c r="B469">
        <v>440</v>
      </c>
      <c r="C469" t="s">
        <v>64</v>
      </c>
      <c r="D469">
        <v>300</v>
      </c>
      <c r="E469">
        <v>1</v>
      </c>
      <c r="F469">
        <v>105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71300150</v>
      </c>
      <c r="B470">
        <v>441</v>
      </c>
      <c r="C470" t="s">
        <v>64</v>
      </c>
      <c r="D470">
        <v>300</v>
      </c>
      <c r="E470">
        <v>1</v>
      </c>
      <c r="F470">
        <v>100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>
        <v>71300164</v>
      </c>
      <c r="B471">
        <v>205</v>
      </c>
      <c r="C471" t="s">
        <v>145</v>
      </c>
      <c r="D471">
        <v>300</v>
      </c>
      <c r="E471">
        <v>1</v>
      </c>
      <c r="F471">
        <v>0</v>
      </c>
      <c r="G471">
        <v>0</v>
      </c>
      <c r="H471">
        <v>35</v>
      </c>
      <c r="I471">
        <v>0</v>
      </c>
      <c r="J471">
        <v>0</v>
      </c>
    </row>
    <row r="472" spans="1:10" x14ac:dyDescent="0.25">
      <c r="A472">
        <v>71300165</v>
      </c>
      <c r="B472">
        <v>206</v>
      </c>
      <c r="C472" t="s">
        <v>145</v>
      </c>
      <c r="D472">
        <v>300</v>
      </c>
      <c r="E472">
        <v>1</v>
      </c>
      <c r="F472">
        <v>0</v>
      </c>
      <c r="G472">
        <v>0</v>
      </c>
      <c r="H472">
        <v>60</v>
      </c>
      <c r="I472">
        <v>0</v>
      </c>
      <c r="J472">
        <v>0</v>
      </c>
    </row>
    <row r="473" spans="1:10" x14ac:dyDescent="0.25">
      <c r="A473">
        <v>71300169</v>
      </c>
      <c r="B473">
        <v>1124</v>
      </c>
      <c r="C473" t="s">
        <v>145</v>
      </c>
      <c r="D473">
        <v>300</v>
      </c>
      <c r="E473">
        <v>1</v>
      </c>
      <c r="F473">
        <v>0</v>
      </c>
      <c r="G473">
        <v>0</v>
      </c>
      <c r="H473">
        <v>175</v>
      </c>
      <c r="I473">
        <v>0</v>
      </c>
      <c r="J473">
        <v>0</v>
      </c>
    </row>
    <row r="474" spans="1:10" x14ac:dyDescent="0.25">
      <c r="A474">
        <v>71300170</v>
      </c>
      <c r="B474">
        <v>207</v>
      </c>
      <c r="C474" t="s">
        <v>145</v>
      </c>
      <c r="D474">
        <v>300</v>
      </c>
      <c r="E474">
        <v>1</v>
      </c>
      <c r="F474">
        <v>0</v>
      </c>
      <c r="G474">
        <v>70</v>
      </c>
      <c r="H474">
        <v>80</v>
      </c>
      <c r="I474">
        <v>0</v>
      </c>
      <c r="J474">
        <v>0</v>
      </c>
    </row>
    <row r="475" spans="1:10" x14ac:dyDescent="0.25">
      <c r="A475">
        <v>71300171</v>
      </c>
      <c r="B475">
        <v>208</v>
      </c>
      <c r="C475" t="s">
        <v>145</v>
      </c>
      <c r="D475">
        <v>300</v>
      </c>
      <c r="E475">
        <v>1</v>
      </c>
      <c r="F475">
        <v>0</v>
      </c>
      <c r="G475">
        <v>135</v>
      </c>
      <c r="H475">
        <v>0</v>
      </c>
      <c r="I475">
        <v>0</v>
      </c>
      <c r="J475">
        <v>0</v>
      </c>
    </row>
    <row r="476" spans="1:10" x14ac:dyDescent="0.25">
      <c r="A476">
        <v>71300185</v>
      </c>
      <c r="B476">
        <v>337</v>
      </c>
      <c r="C476" t="s">
        <v>90</v>
      </c>
      <c r="D476">
        <v>300</v>
      </c>
      <c r="E476">
        <v>1</v>
      </c>
      <c r="F476">
        <v>0</v>
      </c>
      <c r="G476">
        <v>0</v>
      </c>
      <c r="H476">
        <v>5</v>
      </c>
      <c r="I476">
        <v>0</v>
      </c>
      <c r="J476">
        <v>0</v>
      </c>
    </row>
    <row r="477" spans="1:10" x14ac:dyDescent="0.25">
      <c r="A477">
        <v>71300186</v>
      </c>
      <c r="B477">
        <v>338</v>
      </c>
      <c r="C477" t="s">
        <v>90</v>
      </c>
      <c r="D477">
        <v>300</v>
      </c>
      <c r="E477">
        <v>1</v>
      </c>
      <c r="F477">
        <v>0</v>
      </c>
      <c r="G477">
        <v>0</v>
      </c>
      <c r="H477">
        <v>5</v>
      </c>
      <c r="I477">
        <v>0</v>
      </c>
      <c r="J477">
        <v>0</v>
      </c>
    </row>
    <row r="478" spans="1:10" x14ac:dyDescent="0.25">
      <c r="A478">
        <v>71300189</v>
      </c>
      <c r="B478">
        <v>339</v>
      </c>
      <c r="C478" t="s">
        <v>90</v>
      </c>
      <c r="D478">
        <v>300</v>
      </c>
      <c r="E478">
        <v>1</v>
      </c>
      <c r="F478">
        <v>0</v>
      </c>
      <c r="G478">
        <v>0</v>
      </c>
      <c r="H478">
        <v>5</v>
      </c>
      <c r="I478">
        <v>0</v>
      </c>
      <c r="J478">
        <v>0</v>
      </c>
    </row>
    <row r="479" spans="1:10" x14ac:dyDescent="0.25">
      <c r="A479">
        <v>71300190</v>
      </c>
      <c r="B479">
        <v>340</v>
      </c>
      <c r="C479" t="s">
        <v>90</v>
      </c>
      <c r="D479">
        <v>300</v>
      </c>
      <c r="E479">
        <v>1</v>
      </c>
      <c r="F479">
        <v>0</v>
      </c>
      <c r="G479">
        <v>5</v>
      </c>
      <c r="H479">
        <v>0</v>
      </c>
      <c r="I479">
        <v>0</v>
      </c>
      <c r="J479">
        <v>0</v>
      </c>
    </row>
    <row r="480" spans="1:10" x14ac:dyDescent="0.25">
      <c r="A480">
        <v>71300192</v>
      </c>
      <c r="B480">
        <v>341</v>
      </c>
      <c r="C480" t="s">
        <v>90</v>
      </c>
      <c r="D480">
        <v>300</v>
      </c>
      <c r="E480">
        <v>1</v>
      </c>
      <c r="F480">
        <v>0</v>
      </c>
      <c r="G480">
        <v>40</v>
      </c>
      <c r="H480">
        <v>50</v>
      </c>
      <c r="I480">
        <v>0</v>
      </c>
      <c r="J480">
        <v>0</v>
      </c>
    </row>
    <row r="481" spans="1:10" x14ac:dyDescent="0.25">
      <c r="A481">
        <v>71300195</v>
      </c>
      <c r="B481">
        <v>342</v>
      </c>
      <c r="C481" t="s">
        <v>90</v>
      </c>
      <c r="D481">
        <v>300</v>
      </c>
      <c r="E481">
        <v>1</v>
      </c>
      <c r="F481">
        <v>0</v>
      </c>
      <c r="G481">
        <v>120</v>
      </c>
      <c r="H481">
        <v>0</v>
      </c>
      <c r="I481">
        <v>0</v>
      </c>
      <c r="J481">
        <v>0</v>
      </c>
    </row>
    <row r="482" spans="1:10" x14ac:dyDescent="0.25">
      <c r="A482">
        <v>71300198</v>
      </c>
      <c r="B482">
        <v>343</v>
      </c>
      <c r="C482" t="s">
        <v>90</v>
      </c>
      <c r="D482">
        <v>300</v>
      </c>
      <c r="E482">
        <v>1</v>
      </c>
      <c r="F482">
        <v>0</v>
      </c>
      <c r="G482">
        <v>600</v>
      </c>
      <c r="H482">
        <v>600</v>
      </c>
      <c r="I482">
        <v>0</v>
      </c>
      <c r="J482">
        <v>0</v>
      </c>
    </row>
    <row r="483" spans="1:10" x14ac:dyDescent="0.25">
      <c r="A483">
        <v>71300199</v>
      </c>
      <c r="B483">
        <v>344</v>
      </c>
      <c r="C483" t="s">
        <v>90</v>
      </c>
      <c r="D483">
        <v>300</v>
      </c>
      <c r="E483">
        <v>1</v>
      </c>
      <c r="F483">
        <v>0</v>
      </c>
      <c r="G483">
        <v>500</v>
      </c>
      <c r="H483">
        <v>50</v>
      </c>
      <c r="I483">
        <v>0</v>
      </c>
      <c r="J483">
        <v>0</v>
      </c>
    </row>
    <row r="484" spans="1:10" x14ac:dyDescent="0.25">
      <c r="A484">
        <v>71300200</v>
      </c>
      <c r="B484">
        <v>442</v>
      </c>
      <c r="C484" t="s">
        <v>64</v>
      </c>
      <c r="D484">
        <v>300</v>
      </c>
      <c r="E484">
        <v>1</v>
      </c>
      <c r="F484">
        <v>29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71300204</v>
      </c>
      <c r="B485">
        <v>1125</v>
      </c>
      <c r="C485" t="s">
        <v>47</v>
      </c>
      <c r="D485">
        <v>300</v>
      </c>
      <c r="E485">
        <v>1</v>
      </c>
      <c r="F485">
        <v>0</v>
      </c>
      <c r="G485">
        <v>200</v>
      </c>
      <c r="H485">
        <v>50</v>
      </c>
      <c r="I485">
        <v>0</v>
      </c>
      <c r="J485">
        <v>0</v>
      </c>
    </row>
    <row r="486" spans="1:10" x14ac:dyDescent="0.25">
      <c r="A486">
        <v>713002078</v>
      </c>
      <c r="B486">
        <v>702</v>
      </c>
      <c r="C486" t="s">
        <v>109</v>
      </c>
      <c r="D486">
        <v>300</v>
      </c>
      <c r="E486">
        <v>1</v>
      </c>
      <c r="F486">
        <v>0</v>
      </c>
      <c r="G486">
        <v>120</v>
      </c>
      <c r="H486">
        <v>0</v>
      </c>
      <c r="I486">
        <v>0</v>
      </c>
      <c r="J486">
        <v>0</v>
      </c>
    </row>
    <row r="487" spans="1:10" x14ac:dyDescent="0.25">
      <c r="A487">
        <v>71300213</v>
      </c>
      <c r="B487">
        <v>179</v>
      </c>
      <c r="C487" t="s">
        <v>117</v>
      </c>
      <c r="D487">
        <v>300</v>
      </c>
      <c r="E487">
        <v>1</v>
      </c>
      <c r="F487">
        <v>0</v>
      </c>
      <c r="G487">
        <v>0</v>
      </c>
      <c r="H487">
        <v>31</v>
      </c>
      <c r="I487">
        <v>0</v>
      </c>
      <c r="J487">
        <v>0</v>
      </c>
    </row>
    <row r="488" spans="1:10" x14ac:dyDescent="0.25">
      <c r="A488">
        <v>71300218</v>
      </c>
      <c r="B488">
        <v>274</v>
      </c>
      <c r="C488" t="s">
        <v>146</v>
      </c>
      <c r="D488">
        <v>300</v>
      </c>
      <c r="E488">
        <v>1</v>
      </c>
      <c r="F488">
        <v>0</v>
      </c>
      <c r="G488">
        <v>65</v>
      </c>
      <c r="H488">
        <v>10</v>
      </c>
      <c r="I488">
        <v>0</v>
      </c>
      <c r="J488">
        <v>0</v>
      </c>
    </row>
    <row r="489" spans="1:10" x14ac:dyDescent="0.25">
      <c r="A489">
        <v>71300219</v>
      </c>
      <c r="B489">
        <v>275</v>
      </c>
      <c r="C489" t="s">
        <v>146</v>
      </c>
      <c r="D489">
        <v>300</v>
      </c>
      <c r="E489">
        <v>1</v>
      </c>
      <c r="F489">
        <v>0</v>
      </c>
      <c r="G489">
        <v>35</v>
      </c>
      <c r="H489">
        <v>0</v>
      </c>
      <c r="I489">
        <v>0</v>
      </c>
      <c r="J489">
        <v>0</v>
      </c>
    </row>
    <row r="490" spans="1:10" x14ac:dyDescent="0.25">
      <c r="A490">
        <v>71300220</v>
      </c>
      <c r="B490">
        <v>276</v>
      </c>
      <c r="C490" t="s">
        <v>146</v>
      </c>
      <c r="D490">
        <v>300</v>
      </c>
      <c r="E490">
        <v>1</v>
      </c>
      <c r="F490">
        <v>0</v>
      </c>
      <c r="G490">
        <v>150</v>
      </c>
      <c r="H490">
        <v>30</v>
      </c>
      <c r="I490">
        <v>0</v>
      </c>
      <c r="J490">
        <v>0</v>
      </c>
    </row>
    <row r="491" spans="1:10" x14ac:dyDescent="0.25">
      <c r="A491">
        <v>71300226</v>
      </c>
      <c r="B491">
        <v>269</v>
      </c>
      <c r="C491" t="s">
        <v>134</v>
      </c>
      <c r="D491">
        <v>300</v>
      </c>
      <c r="E491">
        <v>1</v>
      </c>
      <c r="F491">
        <v>0</v>
      </c>
      <c r="G491">
        <v>180</v>
      </c>
      <c r="H491">
        <v>0</v>
      </c>
      <c r="I491">
        <v>0</v>
      </c>
      <c r="J491">
        <v>0</v>
      </c>
    </row>
    <row r="492" spans="1:10" x14ac:dyDescent="0.25">
      <c r="A492">
        <v>71300236</v>
      </c>
      <c r="B492">
        <v>190</v>
      </c>
      <c r="C492" t="s">
        <v>85</v>
      </c>
      <c r="D492">
        <v>300</v>
      </c>
      <c r="E492">
        <v>1</v>
      </c>
      <c r="F492">
        <v>0</v>
      </c>
      <c r="G492">
        <v>0</v>
      </c>
      <c r="H492">
        <v>310</v>
      </c>
      <c r="I492">
        <v>0</v>
      </c>
      <c r="J492">
        <v>0</v>
      </c>
    </row>
    <row r="493" spans="1:10" x14ac:dyDescent="0.25">
      <c r="A493">
        <v>71300237</v>
      </c>
      <c r="B493">
        <v>2223</v>
      </c>
      <c r="C493" t="s">
        <v>47</v>
      </c>
      <c r="D493">
        <v>300</v>
      </c>
      <c r="E493">
        <v>1</v>
      </c>
      <c r="F493">
        <v>0</v>
      </c>
      <c r="G493">
        <v>0</v>
      </c>
      <c r="H493">
        <v>70</v>
      </c>
      <c r="I493">
        <v>0</v>
      </c>
      <c r="J493">
        <v>0</v>
      </c>
    </row>
    <row r="494" spans="1:10" x14ac:dyDescent="0.25">
      <c r="A494">
        <v>71300254</v>
      </c>
      <c r="B494">
        <v>298</v>
      </c>
      <c r="C494" t="s">
        <v>142</v>
      </c>
      <c r="D494">
        <v>300</v>
      </c>
      <c r="E494">
        <v>1</v>
      </c>
      <c r="F494">
        <v>0</v>
      </c>
      <c r="G494">
        <v>50</v>
      </c>
      <c r="H494">
        <v>0</v>
      </c>
      <c r="I494">
        <v>0</v>
      </c>
      <c r="J494">
        <v>0</v>
      </c>
    </row>
    <row r="495" spans="1:10" x14ac:dyDescent="0.25">
      <c r="A495">
        <v>713002577</v>
      </c>
      <c r="B495">
        <v>784</v>
      </c>
      <c r="C495" t="s">
        <v>71</v>
      </c>
      <c r="D495">
        <v>300</v>
      </c>
      <c r="E495">
        <v>1</v>
      </c>
      <c r="F495">
        <v>0</v>
      </c>
      <c r="G495">
        <v>0</v>
      </c>
      <c r="H495">
        <v>190</v>
      </c>
      <c r="I495">
        <v>0</v>
      </c>
      <c r="J495">
        <v>0</v>
      </c>
    </row>
    <row r="496" spans="1:10" x14ac:dyDescent="0.25">
      <c r="A496">
        <v>71300261</v>
      </c>
      <c r="B496">
        <v>303</v>
      </c>
      <c r="C496" t="s">
        <v>112</v>
      </c>
      <c r="D496">
        <v>300</v>
      </c>
      <c r="E496">
        <v>1</v>
      </c>
      <c r="F496">
        <v>0</v>
      </c>
      <c r="G496">
        <v>0</v>
      </c>
      <c r="H496">
        <v>55</v>
      </c>
      <c r="I496">
        <v>0</v>
      </c>
      <c r="J496">
        <v>0</v>
      </c>
    </row>
    <row r="497" spans="1:10" x14ac:dyDescent="0.25">
      <c r="A497">
        <v>71300270</v>
      </c>
      <c r="B497">
        <v>209</v>
      </c>
      <c r="C497" t="s">
        <v>145</v>
      </c>
      <c r="D497">
        <v>300</v>
      </c>
      <c r="E497">
        <v>1</v>
      </c>
      <c r="F497">
        <v>0</v>
      </c>
      <c r="G497">
        <v>200</v>
      </c>
      <c r="H497">
        <v>60</v>
      </c>
      <c r="I497">
        <v>0</v>
      </c>
      <c r="J497">
        <v>0</v>
      </c>
    </row>
    <row r="498" spans="1:10" x14ac:dyDescent="0.25">
      <c r="A498">
        <v>71300272</v>
      </c>
      <c r="B498">
        <v>304</v>
      </c>
      <c r="C498" t="s">
        <v>112</v>
      </c>
      <c r="D498">
        <v>300</v>
      </c>
      <c r="E498">
        <v>1</v>
      </c>
      <c r="F498">
        <v>0</v>
      </c>
      <c r="G498">
        <v>20</v>
      </c>
      <c r="H498">
        <v>0</v>
      </c>
      <c r="I498">
        <v>0</v>
      </c>
      <c r="J498">
        <v>0</v>
      </c>
    </row>
    <row r="499" spans="1:10" x14ac:dyDescent="0.25">
      <c r="A499">
        <v>71300277</v>
      </c>
      <c r="B499">
        <v>305</v>
      </c>
      <c r="C499" t="s">
        <v>112</v>
      </c>
      <c r="D499">
        <v>300</v>
      </c>
      <c r="E499">
        <v>1</v>
      </c>
      <c r="F499">
        <v>0</v>
      </c>
      <c r="G499">
        <v>0</v>
      </c>
      <c r="H499">
        <v>65</v>
      </c>
      <c r="I499">
        <v>0</v>
      </c>
      <c r="J499">
        <v>0</v>
      </c>
    </row>
    <row r="500" spans="1:10" x14ac:dyDescent="0.25">
      <c r="A500">
        <v>71300284</v>
      </c>
      <c r="B500">
        <v>270</v>
      </c>
      <c r="C500" t="s">
        <v>134</v>
      </c>
      <c r="D500">
        <v>300</v>
      </c>
      <c r="E500">
        <v>1</v>
      </c>
      <c r="F500">
        <v>0</v>
      </c>
      <c r="G500">
        <v>0</v>
      </c>
      <c r="H500">
        <v>15</v>
      </c>
      <c r="I500">
        <v>0</v>
      </c>
      <c r="J500">
        <v>0</v>
      </c>
    </row>
    <row r="501" spans="1:10" x14ac:dyDescent="0.25">
      <c r="A501">
        <v>71300286</v>
      </c>
      <c r="B501">
        <v>661</v>
      </c>
      <c r="C501" t="s">
        <v>100</v>
      </c>
      <c r="D501">
        <v>300</v>
      </c>
      <c r="E501">
        <v>1</v>
      </c>
      <c r="F501">
        <v>0</v>
      </c>
      <c r="G501">
        <v>75</v>
      </c>
      <c r="H501">
        <v>0</v>
      </c>
      <c r="I501">
        <v>0</v>
      </c>
      <c r="J501">
        <v>0</v>
      </c>
    </row>
    <row r="502" spans="1:10" x14ac:dyDescent="0.25">
      <c r="A502">
        <v>71300288</v>
      </c>
      <c r="B502">
        <v>1126</v>
      </c>
      <c r="C502" t="s">
        <v>145</v>
      </c>
      <c r="D502">
        <v>300</v>
      </c>
      <c r="E502">
        <v>1</v>
      </c>
      <c r="F502">
        <v>0</v>
      </c>
      <c r="G502">
        <v>60</v>
      </c>
      <c r="H502">
        <v>0</v>
      </c>
      <c r="I502">
        <v>0</v>
      </c>
      <c r="J502">
        <v>0</v>
      </c>
    </row>
    <row r="503" spans="1:10" x14ac:dyDescent="0.25">
      <c r="A503">
        <v>71300291</v>
      </c>
      <c r="B503">
        <v>222</v>
      </c>
      <c r="C503" t="s">
        <v>147</v>
      </c>
      <c r="D503">
        <v>300</v>
      </c>
      <c r="E503">
        <v>1</v>
      </c>
      <c r="F503">
        <v>0</v>
      </c>
      <c r="G503">
        <v>0</v>
      </c>
      <c r="H503">
        <v>50</v>
      </c>
      <c r="I503">
        <v>0</v>
      </c>
      <c r="J503">
        <v>0</v>
      </c>
    </row>
    <row r="504" spans="1:10" x14ac:dyDescent="0.25">
      <c r="A504">
        <v>71300292</v>
      </c>
      <c r="B504">
        <v>223</v>
      </c>
      <c r="C504" t="s">
        <v>147</v>
      </c>
      <c r="D504">
        <v>300</v>
      </c>
      <c r="E504">
        <v>1</v>
      </c>
      <c r="F504">
        <v>0</v>
      </c>
      <c r="G504">
        <v>0</v>
      </c>
      <c r="H504">
        <v>70</v>
      </c>
      <c r="I504">
        <v>0</v>
      </c>
      <c r="J504">
        <v>0</v>
      </c>
    </row>
    <row r="505" spans="1:10" x14ac:dyDescent="0.25">
      <c r="A505">
        <v>71300294</v>
      </c>
      <c r="B505">
        <v>224</v>
      </c>
      <c r="C505" t="s">
        <v>147</v>
      </c>
      <c r="D505">
        <v>300</v>
      </c>
      <c r="E505">
        <v>1</v>
      </c>
      <c r="F505">
        <v>0</v>
      </c>
      <c r="G505">
        <v>0</v>
      </c>
      <c r="H505">
        <v>10</v>
      </c>
      <c r="I505">
        <v>0</v>
      </c>
      <c r="J505">
        <v>0</v>
      </c>
    </row>
    <row r="506" spans="1:10" x14ac:dyDescent="0.25">
      <c r="A506">
        <v>71300296</v>
      </c>
      <c r="B506">
        <v>271</v>
      </c>
      <c r="C506" t="s">
        <v>134</v>
      </c>
      <c r="D506">
        <v>300</v>
      </c>
      <c r="E506">
        <v>1</v>
      </c>
      <c r="F506">
        <v>0</v>
      </c>
      <c r="G506">
        <v>180</v>
      </c>
      <c r="H506">
        <v>0</v>
      </c>
      <c r="I506">
        <v>0</v>
      </c>
      <c r="J506">
        <v>0</v>
      </c>
    </row>
    <row r="507" spans="1:10" x14ac:dyDescent="0.25">
      <c r="A507">
        <v>71300300</v>
      </c>
      <c r="B507">
        <v>333</v>
      </c>
      <c r="C507" t="s">
        <v>110</v>
      </c>
      <c r="D507">
        <v>300</v>
      </c>
      <c r="E507">
        <v>1</v>
      </c>
      <c r="F507">
        <v>0</v>
      </c>
      <c r="G507">
        <v>250</v>
      </c>
      <c r="H507">
        <v>0</v>
      </c>
      <c r="I507">
        <v>0</v>
      </c>
      <c r="J507">
        <v>0</v>
      </c>
    </row>
    <row r="508" spans="1:10" x14ac:dyDescent="0.25">
      <c r="A508">
        <v>71300302</v>
      </c>
      <c r="B508">
        <v>1127</v>
      </c>
      <c r="C508" t="s">
        <v>141</v>
      </c>
      <c r="D508">
        <v>300</v>
      </c>
      <c r="E508">
        <v>1</v>
      </c>
      <c r="F508">
        <v>0</v>
      </c>
      <c r="G508">
        <v>105</v>
      </c>
      <c r="H508">
        <v>0</v>
      </c>
      <c r="I508">
        <v>0</v>
      </c>
      <c r="J508">
        <v>0</v>
      </c>
    </row>
    <row r="509" spans="1:10" x14ac:dyDescent="0.25">
      <c r="A509">
        <v>71300313</v>
      </c>
      <c r="B509">
        <v>236</v>
      </c>
      <c r="C509" t="s">
        <v>148</v>
      </c>
      <c r="D509">
        <v>300</v>
      </c>
      <c r="E509">
        <v>1</v>
      </c>
      <c r="F509">
        <v>0</v>
      </c>
      <c r="G509">
        <v>65</v>
      </c>
      <c r="H509">
        <v>0</v>
      </c>
      <c r="I509">
        <v>0</v>
      </c>
      <c r="J509">
        <v>0</v>
      </c>
    </row>
    <row r="510" spans="1:10" x14ac:dyDescent="0.25">
      <c r="A510">
        <v>71300323</v>
      </c>
      <c r="B510">
        <v>306</v>
      </c>
      <c r="C510" t="s">
        <v>112</v>
      </c>
      <c r="D510">
        <v>300</v>
      </c>
      <c r="E510">
        <v>1</v>
      </c>
      <c r="F510">
        <v>0</v>
      </c>
      <c r="G510">
        <v>65</v>
      </c>
      <c r="H510">
        <v>0</v>
      </c>
      <c r="I510">
        <v>0</v>
      </c>
      <c r="J510">
        <v>0</v>
      </c>
    </row>
    <row r="511" spans="1:10" x14ac:dyDescent="0.25">
      <c r="A511">
        <v>71300324</v>
      </c>
      <c r="B511">
        <v>245</v>
      </c>
      <c r="C511" t="s">
        <v>88</v>
      </c>
      <c r="D511">
        <v>300</v>
      </c>
      <c r="E511">
        <v>1</v>
      </c>
      <c r="F511">
        <v>0</v>
      </c>
      <c r="G511">
        <v>115</v>
      </c>
      <c r="H511">
        <v>0</v>
      </c>
      <c r="I511">
        <v>0</v>
      </c>
      <c r="J511">
        <v>0</v>
      </c>
    </row>
    <row r="512" spans="1:10" x14ac:dyDescent="0.25">
      <c r="A512">
        <v>71300328</v>
      </c>
      <c r="B512">
        <v>1128</v>
      </c>
      <c r="C512" t="s">
        <v>149</v>
      </c>
      <c r="D512">
        <v>300</v>
      </c>
      <c r="E512">
        <v>1</v>
      </c>
      <c r="F512">
        <v>0</v>
      </c>
      <c r="G512">
        <v>280</v>
      </c>
      <c r="H512">
        <v>0</v>
      </c>
      <c r="I512">
        <v>0</v>
      </c>
      <c r="J512">
        <v>0</v>
      </c>
    </row>
    <row r="513" spans="1:10" x14ac:dyDescent="0.25">
      <c r="A513">
        <v>71300333</v>
      </c>
      <c r="B513">
        <v>260</v>
      </c>
      <c r="C513" t="s">
        <v>89</v>
      </c>
      <c r="D513">
        <v>300</v>
      </c>
      <c r="E513">
        <v>1</v>
      </c>
      <c r="F513">
        <v>0</v>
      </c>
      <c r="G513">
        <v>30</v>
      </c>
      <c r="H513">
        <v>0</v>
      </c>
      <c r="I513">
        <v>0</v>
      </c>
      <c r="J513">
        <v>0</v>
      </c>
    </row>
    <row r="514" spans="1:10" x14ac:dyDescent="0.25">
      <c r="A514">
        <v>71300335</v>
      </c>
      <c r="B514">
        <v>261</v>
      </c>
      <c r="C514" t="s">
        <v>89</v>
      </c>
      <c r="D514">
        <v>300</v>
      </c>
      <c r="E514">
        <v>1</v>
      </c>
      <c r="F514">
        <v>0</v>
      </c>
      <c r="G514">
        <v>160</v>
      </c>
      <c r="H514">
        <v>0</v>
      </c>
      <c r="I514">
        <v>0</v>
      </c>
      <c r="J514">
        <v>0</v>
      </c>
    </row>
    <row r="515" spans="1:10" x14ac:dyDescent="0.25">
      <c r="A515">
        <v>71300338</v>
      </c>
      <c r="B515">
        <v>321</v>
      </c>
      <c r="C515" t="s">
        <v>141</v>
      </c>
      <c r="D515">
        <v>300</v>
      </c>
      <c r="E515">
        <v>1</v>
      </c>
      <c r="F515">
        <v>0</v>
      </c>
      <c r="G515">
        <v>285</v>
      </c>
      <c r="H515">
        <v>0</v>
      </c>
      <c r="I515">
        <v>0</v>
      </c>
      <c r="J515">
        <v>0</v>
      </c>
    </row>
    <row r="516" spans="1:10" x14ac:dyDescent="0.25">
      <c r="A516">
        <v>71300340</v>
      </c>
      <c r="B516">
        <v>1129</v>
      </c>
      <c r="C516" t="s">
        <v>86</v>
      </c>
      <c r="D516">
        <v>300</v>
      </c>
      <c r="E516">
        <v>1</v>
      </c>
      <c r="F516">
        <v>0</v>
      </c>
      <c r="G516">
        <v>200</v>
      </c>
      <c r="H516">
        <v>0</v>
      </c>
      <c r="I516">
        <v>0</v>
      </c>
      <c r="J516">
        <v>0</v>
      </c>
    </row>
    <row r="517" spans="1:10" x14ac:dyDescent="0.25">
      <c r="A517">
        <v>71300344</v>
      </c>
      <c r="B517">
        <v>210</v>
      </c>
      <c r="C517" t="s">
        <v>145</v>
      </c>
      <c r="D517">
        <v>300</v>
      </c>
      <c r="E517">
        <v>1</v>
      </c>
      <c r="F517">
        <v>0</v>
      </c>
      <c r="G517">
        <v>0</v>
      </c>
      <c r="H517">
        <v>12</v>
      </c>
      <c r="I517">
        <v>0</v>
      </c>
      <c r="J517">
        <v>0</v>
      </c>
    </row>
    <row r="518" spans="1:10" x14ac:dyDescent="0.25">
      <c r="A518">
        <v>71300350</v>
      </c>
      <c r="B518">
        <v>199</v>
      </c>
      <c r="C518" t="s">
        <v>91</v>
      </c>
      <c r="D518">
        <v>300</v>
      </c>
      <c r="E518">
        <v>1</v>
      </c>
      <c r="F518">
        <v>0</v>
      </c>
      <c r="G518">
        <v>0</v>
      </c>
      <c r="H518">
        <v>80</v>
      </c>
      <c r="I518">
        <v>0</v>
      </c>
      <c r="J518">
        <v>0</v>
      </c>
    </row>
    <row r="519" spans="1:10" x14ac:dyDescent="0.25">
      <c r="A519">
        <v>71300352</v>
      </c>
      <c r="B519">
        <v>334</v>
      </c>
      <c r="C519" t="s">
        <v>110</v>
      </c>
      <c r="D519">
        <v>300</v>
      </c>
      <c r="E519">
        <v>1</v>
      </c>
      <c r="F519">
        <v>0</v>
      </c>
      <c r="G519">
        <v>5</v>
      </c>
      <c r="H519">
        <v>0</v>
      </c>
      <c r="I519">
        <v>0</v>
      </c>
      <c r="J519">
        <v>0</v>
      </c>
    </row>
    <row r="520" spans="1:10" x14ac:dyDescent="0.25">
      <c r="A520">
        <v>71300356</v>
      </c>
      <c r="B520">
        <v>307</v>
      </c>
      <c r="C520" t="s">
        <v>112</v>
      </c>
      <c r="D520">
        <v>300</v>
      </c>
      <c r="E520">
        <v>1</v>
      </c>
      <c r="F520">
        <v>0</v>
      </c>
      <c r="G520">
        <v>15</v>
      </c>
      <c r="H520">
        <v>0</v>
      </c>
      <c r="I520">
        <v>0</v>
      </c>
      <c r="J520">
        <v>0</v>
      </c>
    </row>
    <row r="521" spans="1:10" x14ac:dyDescent="0.25">
      <c r="A521">
        <v>71300360</v>
      </c>
      <c r="B521">
        <v>1130</v>
      </c>
      <c r="C521" t="s">
        <v>139</v>
      </c>
      <c r="D521">
        <v>300</v>
      </c>
      <c r="E521">
        <v>1</v>
      </c>
      <c r="F521">
        <v>0</v>
      </c>
      <c r="G521">
        <v>0</v>
      </c>
      <c r="H521">
        <v>130</v>
      </c>
      <c r="I521">
        <v>0</v>
      </c>
      <c r="J521">
        <v>0</v>
      </c>
    </row>
    <row r="522" spans="1:10" x14ac:dyDescent="0.25">
      <c r="A522">
        <v>71300361</v>
      </c>
      <c r="B522">
        <v>311</v>
      </c>
      <c r="C522" t="s">
        <v>139</v>
      </c>
      <c r="D522">
        <v>300</v>
      </c>
      <c r="E522">
        <v>1</v>
      </c>
      <c r="F522">
        <v>0</v>
      </c>
      <c r="G522">
        <v>110</v>
      </c>
      <c r="H522">
        <v>0</v>
      </c>
      <c r="I522">
        <v>0</v>
      </c>
      <c r="J522">
        <v>0</v>
      </c>
    </row>
    <row r="523" spans="1:10" x14ac:dyDescent="0.25">
      <c r="A523">
        <v>71300363</v>
      </c>
      <c r="B523">
        <v>211</v>
      </c>
      <c r="C523" t="s">
        <v>145</v>
      </c>
      <c r="D523">
        <v>300</v>
      </c>
      <c r="E523">
        <v>1</v>
      </c>
      <c r="F523">
        <v>0</v>
      </c>
      <c r="G523">
        <v>0</v>
      </c>
      <c r="H523">
        <v>25</v>
      </c>
      <c r="I523">
        <v>0</v>
      </c>
      <c r="J523">
        <v>0</v>
      </c>
    </row>
    <row r="524" spans="1:10" x14ac:dyDescent="0.25">
      <c r="A524">
        <v>71300369</v>
      </c>
      <c r="B524">
        <v>1131</v>
      </c>
      <c r="C524" t="s">
        <v>139</v>
      </c>
      <c r="D524">
        <v>300</v>
      </c>
      <c r="E524">
        <v>1</v>
      </c>
      <c r="F524">
        <v>0</v>
      </c>
      <c r="G524">
        <v>20</v>
      </c>
      <c r="H524">
        <v>0</v>
      </c>
      <c r="I524">
        <v>0</v>
      </c>
      <c r="J524">
        <v>0</v>
      </c>
    </row>
    <row r="525" spans="1:10" x14ac:dyDescent="0.25">
      <c r="A525">
        <v>71300370</v>
      </c>
      <c r="B525">
        <v>312</v>
      </c>
      <c r="C525" t="s">
        <v>139</v>
      </c>
      <c r="D525">
        <v>300</v>
      </c>
      <c r="E525">
        <v>1</v>
      </c>
      <c r="F525">
        <v>0</v>
      </c>
      <c r="G525">
        <v>30</v>
      </c>
      <c r="H525">
        <v>0</v>
      </c>
      <c r="I525">
        <v>0</v>
      </c>
      <c r="J525">
        <v>0</v>
      </c>
    </row>
    <row r="526" spans="1:10" x14ac:dyDescent="0.25">
      <c r="A526">
        <v>71300372</v>
      </c>
      <c r="B526">
        <v>191</v>
      </c>
      <c r="C526" t="s">
        <v>85</v>
      </c>
      <c r="D526">
        <v>300</v>
      </c>
      <c r="E526">
        <v>1</v>
      </c>
      <c r="F526">
        <v>0</v>
      </c>
      <c r="G526">
        <v>0</v>
      </c>
      <c r="H526">
        <v>140</v>
      </c>
      <c r="I526">
        <v>0</v>
      </c>
      <c r="J526">
        <v>0</v>
      </c>
    </row>
    <row r="527" spans="1:10" x14ac:dyDescent="0.25">
      <c r="A527">
        <v>71300373</v>
      </c>
      <c r="B527">
        <v>200</v>
      </c>
      <c r="C527" t="s">
        <v>91</v>
      </c>
      <c r="D527">
        <v>300</v>
      </c>
      <c r="E527">
        <v>1</v>
      </c>
      <c r="F527">
        <v>0</v>
      </c>
      <c r="G527">
        <v>0</v>
      </c>
      <c r="H527">
        <v>55</v>
      </c>
      <c r="I527">
        <v>0</v>
      </c>
      <c r="J527">
        <v>0</v>
      </c>
    </row>
    <row r="528" spans="1:10" x14ac:dyDescent="0.25">
      <c r="A528">
        <v>71300376</v>
      </c>
      <c r="B528">
        <v>308</v>
      </c>
      <c r="C528" t="s">
        <v>112</v>
      </c>
      <c r="D528">
        <v>300</v>
      </c>
      <c r="E528">
        <v>1</v>
      </c>
      <c r="F528">
        <v>0</v>
      </c>
      <c r="G528">
        <v>0</v>
      </c>
      <c r="H528">
        <v>110</v>
      </c>
      <c r="I528">
        <v>0</v>
      </c>
      <c r="J528">
        <v>0</v>
      </c>
    </row>
    <row r="529" spans="1:10" x14ac:dyDescent="0.25">
      <c r="A529">
        <v>71300379</v>
      </c>
      <c r="B529">
        <v>201</v>
      </c>
      <c r="C529" t="s">
        <v>91</v>
      </c>
      <c r="D529">
        <v>300</v>
      </c>
      <c r="E529">
        <v>1</v>
      </c>
      <c r="F529">
        <v>0</v>
      </c>
      <c r="G529">
        <v>0</v>
      </c>
      <c r="H529">
        <v>29</v>
      </c>
      <c r="I529">
        <v>0</v>
      </c>
      <c r="J529">
        <v>0</v>
      </c>
    </row>
    <row r="530" spans="1:10" x14ac:dyDescent="0.25">
      <c r="A530">
        <v>71300380</v>
      </c>
      <c r="B530">
        <v>1132</v>
      </c>
      <c r="C530" t="s">
        <v>144</v>
      </c>
      <c r="D530">
        <v>300</v>
      </c>
      <c r="E530">
        <v>1</v>
      </c>
      <c r="F530">
        <v>0</v>
      </c>
      <c r="G530">
        <v>30</v>
      </c>
      <c r="H530">
        <v>0</v>
      </c>
      <c r="I530">
        <v>0</v>
      </c>
      <c r="J530">
        <v>0</v>
      </c>
    </row>
    <row r="531" spans="1:10" x14ac:dyDescent="0.25">
      <c r="A531">
        <v>71300382</v>
      </c>
      <c r="B531">
        <v>291</v>
      </c>
      <c r="C531" t="s">
        <v>111</v>
      </c>
      <c r="D531">
        <v>300</v>
      </c>
      <c r="E531">
        <v>1</v>
      </c>
      <c r="F531">
        <v>0</v>
      </c>
      <c r="G531">
        <v>0</v>
      </c>
      <c r="H531">
        <v>125</v>
      </c>
      <c r="I531">
        <v>0</v>
      </c>
      <c r="J531">
        <v>0</v>
      </c>
    </row>
    <row r="532" spans="1:10" x14ac:dyDescent="0.25">
      <c r="A532">
        <v>71300383</v>
      </c>
      <c r="B532">
        <v>248</v>
      </c>
      <c r="C532" t="s">
        <v>144</v>
      </c>
      <c r="D532">
        <v>300</v>
      </c>
      <c r="E532">
        <v>1</v>
      </c>
      <c r="F532">
        <v>0</v>
      </c>
      <c r="G532">
        <v>30</v>
      </c>
      <c r="H532">
        <v>0</v>
      </c>
      <c r="I532">
        <v>0</v>
      </c>
      <c r="J532">
        <v>0</v>
      </c>
    </row>
    <row r="533" spans="1:10" x14ac:dyDescent="0.25">
      <c r="A533">
        <v>71300386</v>
      </c>
      <c r="B533">
        <v>282</v>
      </c>
      <c r="C533" t="s">
        <v>86</v>
      </c>
      <c r="D533">
        <v>300</v>
      </c>
      <c r="E533">
        <v>1</v>
      </c>
      <c r="F533">
        <v>0</v>
      </c>
      <c r="G533">
        <v>10</v>
      </c>
      <c r="H533">
        <v>0</v>
      </c>
      <c r="I533">
        <v>0</v>
      </c>
      <c r="J533">
        <v>0</v>
      </c>
    </row>
    <row r="534" spans="1:10" x14ac:dyDescent="0.25">
      <c r="A534">
        <v>71300387</v>
      </c>
      <c r="B534">
        <v>1133</v>
      </c>
      <c r="C534" t="s">
        <v>91</v>
      </c>
      <c r="D534">
        <v>300</v>
      </c>
      <c r="E534">
        <v>1</v>
      </c>
      <c r="F534">
        <v>0</v>
      </c>
      <c r="G534">
        <v>125</v>
      </c>
      <c r="H534">
        <v>0</v>
      </c>
      <c r="I534">
        <v>0</v>
      </c>
      <c r="J534">
        <v>0</v>
      </c>
    </row>
    <row r="535" spans="1:10" x14ac:dyDescent="0.25">
      <c r="A535">
        <v>71300391</v>
      </c>
      <c r="B535">
        <v>249</v>
      </c>
      <c r="C535" t="s">
        <v>144</v>
      </c>
      <c r="D535">
        <v>300</v>
      </c>
      <c r="E535">
        <v>1</v>
      </c>
      <c r="F535">
        <v>0</v>
      </c>
      <c r="G535">
        <v>10</v>
      </c>
      <c r="H535">
        <v>9</v>
      </c>
      <c r="I535">
        <v>0</v>
      </c>
      <c r="J535">
        <v>0</v>
      </c>
    </row>
    <row r="536" spans="1:10" x14ac:dyDescent="0.25">
      <c r="A536">
        <v>71300392</v>
      </c>
      <c r="B536">
        <v>262</v>
      </c>
      <c r="C536" t="s">
        <v>89</v>
      </c>
      <c r="D536">
        <v>300</v>
      </c>
      <c r="E536">
        <v>1</v>
      </c>
      <c r="F536">
        <v>0</v>
      </c>
      <c r="G536">
        <v>25</v>
      </c>
      <c r="H536">
        <v>0</v>
      </c>
      <c r="I536">
        <v>0</v>
      </c>
      <c r="J536">
        <v>0</v>
      </c>
    </row>
    <row r="537" spans="1:10" x14ac:dyDescent="0.25">
      <c r="A537">
        <v>71300395</v>
      </c>
      <c r="B537">
        <v>272</v>
      </c>
      <c r="C537" t="s">
        <v>134</v>
      </c>
      <c r="D537">
        <v>300</v>
      </c>
      <c r="E537">
        <v>1</v>
      </c>
      <c r="F537">
        <v>0</v>
      </c>
      <c r="G537">
        <v>0</v>
      </c>
      <c r="H537">
        <v>115</v>
      </c>
      <c r="I537">
        <v>0</v>
      </c>
      <c r="J537">
        <v>0</v>
      </c>
    </row>
    <row r="538" spans="1:10" x14ac:dyDescent="0.25">
      <c r="A538">
        <v>71300400</v>
      </c>
      <c r="B538">
        <v>345</v>
      </c>
      <c r="C538" t="s">
        <v>90</v>
      </c>
      <c r="D538">
        <v>300</v>
      </c>
      <c r="E538">
        <v>1</v>
      </c>
      <c r="F538">
        <v>0</v>
      </c>
      <c r="G538">
        <v>5</v>
      </c>
      <c r="H538">
        <v>35</v>
      </c>
      <c r="I538">
        <v>0</v>
      </c>
      <c r="J538">
        <v>0</v>
      </c>
    </row>
    <row r="539" spans="1:10" x14ac:dyDescent="0.25">
      <c r="A539">
        <v>71300412</v>
      </c>
      <c r="B539">
        <v>273</v>
      </c>
      <c r="C539" t="s">
        <v>134</v>
      </c>
      <c r="D539">
        <v>300</v>
      </c>
      <c r="E539">
        <v>1</v>
      </c>
      <c r="F539">
        <v>0</v>
      </c>
      <c r="G539">
        <v>0</v>
      </c>
      <c r="H539">
        <v>30</v>
      </c>
      <c r="I539">
        <v>0</v>
      </c>
      <c r="J539">
        <v>0</v>
      </c>
    </row>
    <row r="540" spans="1:10" x14ac:dyDescent="0.25">
      <c r="A540">
        <v>71300416</v>
      </c>
      <c r="B540">
        <v>192</v>
      </c>
      <c r="C540" t="s">
        <v>85</v>
      </c>
      <c r="D540">
        <v>300</v>
      </c>
      <c r="E540">
        <v>1</v>
      </c>
      <c r="F540">
        <v>0</v>
      </c>
      <c r="G540">
        <v>0</v>
      </c>
      <c r="H540">
        <v>125</v>
      </c>
      <c r="I540">
        <v>0</v>
      </c>
      <c r="J540">
        <v>0</v>
      </c>
    </row>
    <row r="541" spans="1:10" x14ac:dyDescent="0.25">
      <c r="A541">
        <v>71300420</v>
      </c>
      <c r="B541">
        <v>2225</v>
      </c>
      <c r="C541" t="s">
        <v>90</v>
      </c>
      <c r="D541">
        <v>300</v>
      </c>
      <c r="E541">
        <v>1</v>
      </c>
      <c r="F541">
        <v>0</v>
      </c>
      <c r="G541">
        <v>100</v>
      </c>
      <c r="H541">
        <v>0</v>
      </c>
      <c r="I541">
        <v>0</v>
      </c>
      <c r="J541">
        <v>0</v>
      </c>
    </row>
    <row r="542" spans="1:10" x14ac:dyDescent="0.25">
      <c r="A542">
        <v>71300422</v>
      </c>
      <c r="B542">
        <v>212</v>
      </c>
      <c r="C542" t="s">
        <v>145</v>
      </c>
      <c r="D542">
        <v>300</v>
      </c>
      <c r="E542">
        <v>1</v>
      </c>
      <c r="F542">
        <v>0</v>
      </c>
      <c r="G542">
        <v>0</v>
      </c>
      <c r="H542">
        <v>70</v>
      </c>
      <c r="I542">
        <v>0</v>
      </c>
      <c r="J542">
        <v>0</v>
      </c>
    </row>
    <row r="543" spans="1:10" x14ac:dyDescent="0.25">
      <c r="A543">
        <v>71300435</v>
      </c>
      <c r="B543">
        <v>2187</v>
      </c>
      <c r="C543" t="s">
        <v>150</v>
      </c>
      <c r="D543">
        <v>300</v>
      </c>
      <c r="E543">
        <v>1</v>
      </c>
      <c r="F543">
        <v>0</v>
      </c>
      <c r="G543">
        <v>0</v>
      </c>
      <c r="H543">
        <v>310</v>
      </c>
      <c r="I543">
        <v>0</v>
      </c>
      <c r="J543">
        <v>0</v>
      </c>
    </row>
    <row r="544" spans="1:10" x14ac:dyDescent="0.25">
      <c r="A544">
        <v>71300448</v>
      </c>
      <c r="B544">
        <v>2186</v>
      </c>
      <c r="C544" t="s">
        <v>150</v>
      </c>
      <c r="D544">
        <v>300</v>
      </c>
      <c r="E544">
        <v>1</v>
      </c>
      <c r="F544">
        <v>0</v>
      </c>
      <c r="G544">
        <v>100</v>
      </c>
      <c r="H544">
        <v>0</v>
      </c>
      <c r="I544">
        <v>0</v>
      </c>
      <c r="J544">
        <v>0</v>
      </c>
    </row>
    <row r="545" spans="1:10" x14ac:dyDescent="0.25">
      <c r="A545">
        <v>71300460</v>
      </c>
      <c r="B545">
        <v>2224</v>
      </c>
      <c r="C545" t="s">
        <v>47</v>
      </c>
      <c r="D545">
        <v>300</v>
      </c>
      <c r="E545">
        <v>1</v>
      </c>
      <c r="F545">
        <v>0</v>
      </c>
      <c r="G545">
        <v>0</v>
      </c>
      <c r="H545">
        <v>80</v>
      </c>
      <c r="I545">
        <v>0</v>
      </c>
      <c r="J545">
        <v>0</v>
      </c>
    </row>
    <row r="546" spans="1:10" x14ac:dyDescent="0.25">
      <c r="A546">
        <v>71300514</v>
      </c>
      <c r="B546">
        <v>740</v>
      </c>
      <c r="C546" t="s">
        <v>94</v>
      </c>
      <c r="D546">
        <v>300</v>
      </c>
      <c r="E546">
        <v>1</v>
      </c>
      <c r="F546">
        <v>0</v>
      </c>
      <c r="G546">
        <v>15</v>
      </c>
      <c r="H546">
        <v>0</v>
      </c>
      <c r="I546">
        <v>0</v>
      </c>
      <c r="J546">
        <v>0</v>
      </c>
    </row>
    <row r="547" spans="1:10" x14ac:dyDescent="0.25">
      <c r="A547">
        <v>71300544</v>
      </c>
      <c r="B547">
        <v>631</v>
      </c>
      <c r="C547" t="s">
        <v>93</v>
      </c>
      <c r="D547">
        <v>300</v>
      </c>
      <c r="E547">
        <v>1</v>
      </c>
      <c r="F547">
        <v>0</v>
      </c>
      <c r="G547">
        <v>96</v>
      </c>
      <c r="H547">
        <v>0</v>
      </c>
      <c r="I547">
        <v>0</v>
      </c>
      <c r="J547">
        <v>0</v>
      </c>
    </row>
    <row r="548" spans="1:10" x14ac:dyDescent="0.25">
      <c r="A548">
        <v>71300551</v>
      </c>
      <c r="B548">
        <v>632</v>
      </c>
      <c r="C548" t="s">
        <v>93</v>
      </c>
      <c r="D548">
        <v>300</v>
      </c>
      <c r="E548">
        <v>1</v>
      </c>
      <c r="F548">
        <v>0</v>
      </c>
      <c r="G548">
        <v>0</v>
      </c>
      <c r="H548">
        <v>20</v>
      </c>
      <c r="I548">
        <v>0</v>
      </c>
      <c r="J548">
        <v>0</v>
      </c>
    </row>
    <row r="549" spans="1:10" x14ac:dyDescent="0.25">
      <c r="A549">
        <v>71300554</v>
      </c>
      <c r="B549">
        <v>655</v>
      </c>
      <c r="C549" t="s">
        <v>102</v>
      </c>
      <c r="D549">
        <v>300</v>
      </c>
      <c r="E549">
        <v>1</v>
      </c>
      <c r="F549">
        <v>0</v>
      </c>
      <c r="G549">
        <v>150</v>
      </c>
      <c r="H549">
        <v>0</v>
      </c>
      <c r="I549">
        <v>0</v>
      </c>
      <c r="J549">
        <v>0</v>
      </c>
    </row>
    <row r="550" spans="1:10" x14ac:dyDescent="0.25">
      <c r="A550">
        <v>71300558</v>
      </c>
      <c r="B550">
        <v>656</v>
      </c>
      <c r="C550" t="s">
        <v>102</v>
      </c>
      <c r="D550">
        <v>300</v>
      </c>
      <c r="E550">
        <v>1</v>
      </c>
      <c r="F550">
        <v>0</v>
      </c>
      <c r="G550">
        <v>150</v>
      </c>
      <c r="H550">
        <v>0</v>
      </c>
      <c r="I550">
        <v>0</v>
      </c>
      <c r="J550">
        <v>0</v>
      </c>
    </row>
    <row r="551" spans="1:10" x14ac:dyDescent="0.25">
      <c r="A551">
        <v>71300559</v>
      </c>
      <c r="B551">
        <v>1175</v>
      </c>
      <c r="C551" t="s">
        <v>93</v>
      </c>
      <c r="D551">
        <v>300</v>
      </c>
      <c r="E551">
        <v>1</v>
      </c>
      <c r="F551">
        <v>0</v>
      </c>
      <c r="G551">
        <v>220</v>
      </c>
      <c r="H551">
        <v>0</v>
      </c>
      <c r="I551">
        <v>0</v>
      </c>
      <c r="J551">
        <v>0</v>
      </c>
    </row>
    <row r="552" spans="1:10" x14ac:dyDescent="0.25">
      <c r="A552">
        <v>71300560</v>
      </c>
      <c r="B552">
        <v>662</v>
      </c>
      <c r="C552" t="s">
        <v>100</v>
      </c>
      <c r="D552">
        <v>300</v>
      </c>
      <c r="E552">
        <v>1</v>
      </c>
      <c r="F552">
        <v>0</v>
      </c>
      <c r="G552">
        <v>60</v>
      </c>
      <c r="H552">
        <v>0</v>
      </c>
      <c r="I552">
        <v>0</v>
      </c>
      <c r="J552">
        <v>0</v>
      </c>
    </row>
    <row r="553" spans="1:10" x14ac:dyDescent="0.25">
      <c r="A553">
        <v>71300563</v>
      </c>
      <c r="B553">
        <v>663</v>
      </c>
      <c r="C553" t="s">
        <v>100</v>
      </c>
      <c r="D553">
        <v>300</v>
      </c>
      <c r="E553">
        <v>1</v>
      </c>
      <c r="F553">
        <v>0</v>
      </c>
      <c r="G553">
        <v>115</v>
      </c>
      <c r="H553">
        <v>0</v>
      </c>
      <c r="I553">
        <v>0</v>
      </c>
      <c r="J553">
        <v>0</v>
      </c>
    </row>
    <row r="554" spans="1:10" x14ac:dyDescent="0.25">
      <c r="A554">
        <v>71300566</v>
      </c>
      <c r="B554">
        <v>664</v>
      </c>
      <c r="C554" t="s">
        <v>100</v>
      </c>
      <c r="D554">
        <v>300</v>
      </c>
      <c r="E554">
        <v>1</v>
      </c>
      <c r="F554">
        <v>0</v>
      </c>
      <c r="G554">
        <v>90</v>
      </c>
      <c r="H554">
        <v>70</v>
      </c>
      <c r="I554">
        <v>0</v>
      </c>
      <c r="J554">
        <v>0</v>
      </c>
    </row>
    <row r="555" spans="1:10" x14ac:dyDescent="0.25">
      <c r="A555">
        <v>71300570</v>
      </c>
      <c r="B555">
        <v>665</v>
      </c>
      <c r="C555" t="s">
        <v>100</v>
      </c>
      <c r="D555">
        <v>300</v>
      </c>
      <c r="E555">
        <v>1</v>
      </c>
      <c r="F555">
        <v>0</v>
      </c>
      <c r="G555">
        <v>100</v>
      </c>
      <c r="H555">
        <v>5</v>
      </c>
      <c r="I555">
        <v>0</v>
      </c>
      <c r="J555">
        <v>0</v>
      </c>
    </row>
    <row r="556" spans="1:10" x14ac:dyDescent="0.25">
      <c r="A556">
        <v>71300574</v>
      </c>
      <c r="B556">
        <v>666</v>
      </c>
      <c r="C556" t="s">
        <v>100</v>
      </c>
      <c r="D556">
        <v>300</v>
      </c>
      <c r="E556">
        <v>1</v>
      </c>
      <c r="F556">
        <v>0</v>
      </c>
      <c r="G556">
        <v>0</v>
      </c>
      <c r="H556">
        <v>70</v>
      </c>
      <c r="I556">
        <v>0</v>
      </c>
      <c r="J556">
        <v>0</v>
      </c>
    </row>
    <row r="557" spans="1:10" x14ac:dyDescent="0.25">
      <c r="A557">
        <v>71300575</v>
      </c>
      <c r="B557">
        <v>667</v>
      </c>
      <c r="C557" t="s">
        <v>100</v>
      </c>
      <c r="D557">
        <v>300</v>
      </c>
      <c r="E557">
        <v>1</v>
      </c>
      <c r="F557">
        <v>0</v>
      </c>
      <c r="G557">
        <v>130</v>
      </c>
      <c r="H557">
        <v>0</v>
      </c>
      <c r="I557">
        <v>0</v>
      </c>
      <c r="J557">
        <v>0</v>
      </c>
    </row>
    <row r="558" spans="1:10" x14ac:dyDescent="0.25">
      <c r="A558">
        <v>71300576</v>
      </c>
      <c r="B558">
        <v>668</v>
      </c>
      <c r="C558" t="s">
        <v>100</v>
      </c>
      <c r="D558">
        <v>300</v>
      </c>
      <c r="E558">
        <v>1</v>
      </c>
      <c r="F558">
        <v>0</v>
      </c>
      <c r="G558">
        <v>64</v>
      </c>
      <c r="H558">
        <v>0</v>
      </c>
      <c r="I558">
        <v>0</v>
      </c>
      <c r="J558">
        <v>0</v>
      </c>
    </row>
    <row r="559" spans="1:10" x14ac:dyDescent="0.25">
      <c r="A559">
        <v>71300586</v>
      </c>
      <c r="B559">
        <v>669</v>
      </c>
      <c r="C559" t="s">
        <v>100</v>
      </c>
      <c r="D559">
        <v>300</v>
      </c>
      <c r="E559">
        <v>1</v>
      </c>
      <c r="F559">
        <v>0</v>
      </c>
      <c r="G559">
        <v>55</v>
      </c>
      <c r="H559">
        <v>0</v>
      </c>
      <c r="I559">
        <v>0</v>
      </c>
      <c r="J559">
        <v>0</v>
      </c>
    </row>
    <row r="560" spans="1:10" x14ac:dyDescent="0.25">
      <c r="A560">
        <v>71300593</v>
      </c>
      <c r="B560">
        <v>706</v>
      </c>
      <c r="C560" t="s">
        <v>97</v>
      </c>
      <c r="D560">
        <v>300</v>
      </c>
      <c r="E560">
        <v>1</v>
      </c>
      <c r="F560">
        <v>0</v>
      </c>
      <c r="G560">
        <v>0</v>
      </c>
      <c r="H560">
        <v>10</v>
      </c>
      <c r="I560">
        <v>0</v>
      </c>
      <c r="J560">
        <v>0</v>
      </c>
    </row>
    <row r="561" spans="1:10" x14ac:dyDescent="0.25">
      <c r="A561">
        <v>71300598</v>
      </c>
      <c r="B561">
        <v>715</v>
      </c>
      <c r="C561" t="s">
        <v>101</v>
      </c>
      <c r="D561">
        <v>300</v>
      </c>
      <c r="E561">
        <v>1</v>
      </c>
      <c r="F561">
        <v>0</v>
      </c>
      <c r="G561">
        <v>60</v>
      </c>
      <c r="H561">
        <v>0</v>
      </c>
      <c r="I561">
        <v>0</v>
      </c>
      <c r="J561">
        <v>0</v>
      </c>
    </row>
    <row r="562" spans="1:10" x14ac:dyDescent="0.25">
      <c r="A562">
        <v>71300601</v>
      </c>
      <c r="B562">
        <v>735</v>
      </c>
      <c r="C562" t="s">
        <v>106</v>
      </c>
      <c r="D562">
        <v>300</v>
      </c>
      <c r="E562">
        <v>1</v>
      </c>
      <c r="F562">
        <v>0</v>
      </c>
      <c r="G562">
        <v>110</v>
      </c>
      <c r="H562">
        <v>10</v>
      </c>
      <c r="I562">
        <v>0</v>
      </c>
      <c r="J562">
        <v>0</v>
      </c>
    </row>
    <row r="563" spans="1:10" x14ac:dyDescent="0.25">
      <c r="A563">
        <v>71300604</v>
      </c>
      <c r="B563">
        <v>721</v>
      </c>
      <c r="C563" t="s">
        <v>151</v>
      </c>
      <c r="D563">
        <v>300</v>
      </c>
      <c r="E563">
        <v>1</v>
      </c>
      <c r="F563">
        <v>0</v>
      </c>
      <c r="G563">
        <v>11</v>
      </c>
      <c r="H563">
        <v>0</v>
      </c>
      <c r="I563">
        <v>0</v>
      </c>
      <c r="J563">
        <v>0</v>
      </c>
    </row>
    <row r="564" spans="1:10" x14ac:dyDescent="0.25">
      <c r="A564">
        <v>71300610</v>
      </c>
      <c r="B564">
        <v>722</v>
      </c>
      <c r="C564" t="s">
        <v>151</v>
      </c>
      <c r="D564">
        <v>300</v>
      </c>
      <c r="E564">
        <v>1</v>
      </c>
      <c r="F564">
        <v>0</v>
      </c>
      <c r="G564">
        <v>40</v>
      </c>
      <c r="H564">
        <v>0</v>
      </c>
      <c r="I564">
        <v>0</v>
      </c>
      <c r="J564">
        <v>0</v>
      </c>
    </row>
    <row r="565" spans="1:10" x14ac:dyDescent="0.25">
      <c r="A565">
        <v>71300618</v>
      </c>
      <c r="B565">
        <v>723</v>
      </c>
      <c r="C565" t="s">
        <v>151</v>
      </c>
      <c r="D565">
        <v>300</v>
      </c>
      <c r="E565">
        <v>1</v>
      </c>
      <c r="F565">
        <v>0</v>
      </c>
      <c r="G565">
        <v>0</v>
      </c>
      <c r="H565">
        <v>240</v>
      </c>
      <c r="I565">
        <v>0</v>
      </c>
      <c r="J565">
        <v>0</v>
      </c>
    </row>
    <row r="566" spans="1:10" x14ac:dyDescent="0.25">
      <c r="A566">
        <v>71300625</v>
      </c>
      <c r="B566">
        <v>729</v>
      </c>
      <c r="C566" t="s">
        <v>104</v>
      </c>
      <c r="D566">
        <v>300</v>
      </c>
      <c r="E566">
        <v>1</v>
      </c>
      <c r="F566">
        <v>0</v>
      </c>
      <c r="G566">
        <v>150</v>
      </c>
      <c r="H566">
        <v>0</v>
      </c>
      <c r="I566">
        <v>0</v>
      </c>
      <c r="J566">
        <v>0</v>
      </c>
    </row>
    <row r="567" spans="1:10" x14ac:dyDescent="0.25">
      <c r="A567">
        <v>71300627</v>
      </c>
      <c r="B567">
        <v>730</v>
      </c>
      <c r="C567" t="s">
        <v>104</v>
      </c>
      <c r="D567">
        <v>300</v>
      </c>
      <c r="E567">
        <v>1</v>
      </c>
      <c r="F567">
        <v>0</v>
      </c>
      <c r="G567">
        <v>0</v>
      </c>
      <c r="H567">
        <v>100</v>
      </c>
      <c r="I567">
        <v>0</v>
      </c>
      <c r="J567">
        <v>0</v>
      </c>
    </row>
    <row r="568" spans="1:10" x14ac:dyDescent="0.25">
      <c r="A568">
        <v>71300632</v>
      </c>
      <c r="B568">
        <v>731</v>
      </c>
      <c r="C568" t="s">
        <v>104</v>
      </c>
      <c r="D568">
        <v>300</v>
      </c>
      <c r="E568">
        <v>1</v>
      </c>
      <c r="F568">
        <v>0</v>
      </c>
      <c r="G568">
        <v>0</v>
      </c>
      <c r="H568">
        <v>60</v>
      </c>
      <c r="I568">
        <v>0</v>
      </c>
      <c r="J568">
        <v>0</v>
      </c>
    </row>
    <row r="569" spans="1:10" x14ac:dyDescent="0.25">
      <c r="A569">
        <v>71300648</v>
      </c>
      <c r="B569">
        <v>592</v>
      </c>
      <c r="C569" t="s">
        <v>99</v>
      </c>
      <c r="D569">
        <v>300</v>
      </c>
      <c r="E569">
        <v>1</v>
      </c>
      <c r="F569">
        <v>0</v>
      </c>
      <c r="G569">
        <v>240</v>
      </c>
      <c r="H569">
        <v>0</v>
      </c>
      <c r="I569">
        <v>0</v>
      </c>
      <c r="J569">
        <v>0</v>
      </c>
    </row>
    <row r="570" spans="1:10" x14ac:dyDescent="0.25">
      <c r="A570">
        <v>71300651</v>
      </c>
      <c r="B570">
        <v>1176</v>
      </c>
      <c r="C570" t="s">
        <v>99</v>
      </c>
      <c r="D570">
        <v>300</v>
      </c>
      <c r="E570">
        <v>1</v>
      </c>
      <c r="F570">
        <v>0</v>
      </c>
      <c r="G570">
        <v>15</v>
      </c>
      <c r="H570">
        <v>0</v>
      </c>
      <c r="I570">
        <v>0</v>
      </c>
      <c r="J570">
        <v>0</v>
      </c>
    </row>
    <row r="571" spans="1:10" x14ac:dyDescent="0.25">
      <c r="A571">
        <v>71300654</v>
      </c>
      <c r="B571">
        <v>574</v>
      </c>
      <c r="C571" t="s">
        <v>152</v>
      </c>
      <c r="D571">
        <v>300</v>
      </c>
      <c r="E571">
        <v>1</v>
      </c>
      <c r="F571">
        <v>0</v>
      </c>
      <c r="G571">
        <v>115</v>
      </c>
      <c r="H571">
        <v>0</v>
      </c>
      <c r="I571">
        <v>0</v>
      </c>
      <c r="J571">
        <v>0</v>
      </c>
    </row>
    <row r="572" spans="1:10" x14ac:dyDescent="0.25">
      <c r="A572">
        <v>71300661</v>
      </c>
      <c r="B572">
        <v>670</v>
      </c>
      <c r="C572" t="s">
        <v>100</v>
      </c>
      <c r="D572">
        <v>300</v>
      </c>
      <c r="E572">
        <v>1</v>
      </c>
      <c r="F572">
        <v>0</v>
      </c>
      <c r="G572">
        <v>260</v>
      </c>
      <c r="H572">
        <v>80</v>
      </c>
      <c r="I572">
        <v>0</v>
      </c>
      <c r="J572">
        <v>0</v>
      </c>
    </row>
    <row r="573" spans="1:10" x14ac:dyDescent="0.25">
      <c r="A573">
        <v>71300662</v>
      </c>
      <c r="B573">
        <v>671</v>
      </c>
      <c r="C573" t="s">
        <v>100</v>
      </c>
      <c r="D573">
        <v>300</v>
      </c>
      <c r="E573">
        <v>1</v>
      </c>
      <c r="F573">
        <v>0</v>
      </c>
      <c r="G573">
        <v>115</v>
      </c>
      <c r="H573">
        <v>0</v>
      </c>
      <c r="I573">
        <v>0</v>
      </c>
      <c r="J573">
        <v>0</v>
      </c>
    </row>
    <row r="574" spans="1:10" x14ac:dyDescent="0.25">
      <c r="A574">
        <v>71300664</v>
      </c>
      <c r="B574">
        <v>672</v>
      </c>
      <c r="C574" t="s">
        <v>100</v>
      </c>
      <c r="D574">
        <v>300</v>
      </c>
      <c r="E574">
        <v>1</v>
      </c>
      <c r="F574">
        <v>0</v>
      </c>
      <c r="G574">
        <v>220</v>
      </c>
      <c r="H574">
        <v>80</v>
      </c>
      <c r="I574">
        <v>0</v>
      </c>
      <c r="J574">
        <v>0</v>
      </c>
    </row>
    <row r="575" spans="1:10" x14ac:dyDescent="0.25">
      <c r="A575">
        <v>71300667</v>
      </c>
      <c r="B575">
        <v>707</v>
      </c>
      <c r="C575" t="s">
        <v>97</v>
      </c>
      <c r="D575">
        <v>300</v>
      </c>
      <c r="E575">
        <v>1</v>
      </c>
      <c r="F575">
        <v>0</v>
      </c>
      <c r="G575">
        <v>275</v>
      </c>
      <c r="H575">
        <v>0</v>
      </c>
      <c r="I575">
        <v>0</v>
      </c>
      <c r="J575">
        <v>0</v>
      </c>
    </row>
    <row r="576" spans="1:10" x14ac:dyDescent="0.25">
      <c r="A576">
        <v>71300668</v>
      </c>
      <c r="B576">
        <v>605</v>
      </c>
      <c r="C576" t="s">
        <v>95</v>
      </c>
      <c r="D576">
        <v>300</v>
      </c>
      <c r="E576">
        <v>1</v>
      </c>
      <c r="F576">
        <v>0</v>
      </c>
      <c r="G576">
        <v>15</v>
      </c>
      <c r="H576">
        <v>0</v>
      </c>
      <c r="I576">
        <v>0</v>
      </c>
      <c r="J576">
        <v>0</v>
      </c>
    </row>
    <row r="577" spans="1:10" x14ac:dyDescent="0.25">
      <c r="A577">
        <v>71300676</v>
      </c>
      <c r="B577">
        <v>606</v>
      </c>
      <c r="C577" t="s">
        <v>95</v>
      </c>
      <c r="D577">
        <v>300</v>
      </c>
      <c r="E577">
        <v>1</v>
      </c>
      <c r="F577">
        <v>13</v>
      </c>
      <c r="G577">
        <v>8</v>
      </c>
      <c r="H577">
        <v>30</v>
      </c>
      <c r="I577">
        <v>0</v>
      </c>
      <c r="J577">
        <v>0</v>
      </c>
    </row>
    <row r="578" spans="1:10" x14ac:dyDescent="0.25">
      <c r="A578">
        <v>71300677</v>
      </c>
      <c r="B578">
        <v>673</v>
      </c>
      <c r="C578" t="s">
        <v>100</v>
      </c>
      <c r="D578">
        <v>300</v>
      </c>
      <c r="E578">
        <v>1</v>
      </c>
      <c r="F578">
        <v>0</v>
      </c>
      <c r="G578">
        <v>0</v>
      </c>
      <c r="H578">
        <v>70</v>
      </c>
      <c r="I578">
        <v>0</v>
      </c>
      <c r="J578">
        <v>0</v>
      </c>
    </row>
    <row r="579" spans="1:10" x14ac:dyDescent="0.25">
      <c r="A579">
        <v>71300686</v>
      </c>
      <c r="B579">
        <v>1177</v>
      </c>
      <c r="C579" t="s">
        <v>99</v>
      </c>
      <c r="D579">
        <v>300</v>
      </c>
      <c r="E579">
        <v>1</v>
      </c>
      <c r="F579">
        <v>0</v>
      </c>
      <c r="G579">
        <v>0</v>
      </c>
      <c r="H579">
        <v>50</v>
      </c>
      <c r="I579">
        <v>0</v>
      </c>
      <c r="J579">
        <v>0</v>
      </c>
    </row>
    <row r="580" spans="1:10" x14ac:dyDescent="0.25">
      <c r="A580">
        <v>71300700</v>
      </c>
      <c r="B580">
        <v>732</v>
      </c>
      <c r="C580" t="s">
        <v>104</v>
      </c>
      <c r="D580">
        <v>300</v>
      </c>
      <c r="E580">
        <v>1</v>
      </c>
      <c r="F580">
        <v>0</v>
      </c>
      <c r="G580">
        <v>100</v>
      </c>
      <c r="H580">
        <v>0</v>
      </c>
      <c r="I580">
        <v>0</v>
      </c>
      <c r="J580">
        <v>0</v>
      </c>
    </row>
    <row r="581" spans="1:10" x14ac:dyDescent="0.25">
      <c r="A581">
        <v>71300702</v>
      </c>
      <c r="B581">
        <v>674</v>
      </c>
      <c r="C581" t="s">
        <v>100</v>
      </c>
      <c r="D581">
        <v>300</v>
      </c>
      <c r="E581">
        <v>1</v>
      </c>
      <c r="F581">
        <v>0</v>
      </c>
      <c r="G581">
        <v>200</v>
      </c>
      <c r="H581">
        <v>0</v>
      </c>
      <c r="I581">
        <v>0</v>
      </c>
      <c r="J581">
        <v>0</v>
      </c>
    </row>
    <row r="582" spans="1:10" x14ac:dyDescent="0.25">
      <c r="A582">
        <v>71300703</v>
      </c>
      <c r="B582">
        <v>675</v>
      </c>
      <c r="C582" t="s">
        <v>100</v>
      </c>
      <c r="D582">
        <v>300</v>
      </c>
      <c r="E582">
        <v>1</v>
      </c>
      <c r="F582">
        <v>0</v>
      </c>
      <c r="G582">
        <v>40</v>
      </c>
      <c r="H582">
        <v>0</v>
      </c>
      <c r="I582">
        <v>0</v>
      </c>
      <c r="J582">
        <v>0</v>
      </c>
    </row>
    <row r="583" spans="1:10" x14ac:dyDescent="0.25">
      <c r="A583">
        <v>71300705</v>
      </c>
      <c r="B583">
        <v>567</v>
      </c>
      <c r="C583" t="s">
        <v>118</v>
      </c>
      <c r="D583">
        <v>300</v>
      </c>
      <c r="E583">
        <v>1</v>
      </c>
      <c r="F583">
        <v>0</v>
      </c>
      <c r="G583">
        <v>25</v>
      </c>
      <c r="H583">
        <v>0</v>
      </c>
      <c r="I583">
        <v>0</v>
      </c>
      <c r="J583">
        <v>0</v>
      </c>
    </row>
    <row r="584" spans="1:10" x14ac:dyDescent="0.25">
      <c r="A584">
        <v>71300708</v>
      </c>
      <c r="B584">
        <v>633</v>
      </c>
      <c r="C584" t="s">
        <v>93</v>
      </c>
      <c r="D584">
        <v>300</v>
      </c>
      <c r="E584">
        <v>1</v>
      </c>
      <c r="F584">
        <v>0</v>
      </c>
      <c r="G584">
        <v>170</v>
      </c>
      <c r="H584">
        <v>0</v>
      </c>
      <c r="I584">
        <v>0</v>
      </c>
      <c r="J584">
        <v>0</v>
      </c>
    </row>
    <row r="585" spans="1:10" x14ac:dyDescent="0.25">
      <c r="A585">
        <v>71300712</v>
      </c>
      <c r="B585">
        <v>676</v>
      </c>
      <c r="C585" t="s">
        <v>100</v>
      </c>
      <c r="D585">
        <v>300</v>
      </c>
      <c r="E585">
        <v>1</v>
      </c>
      <c r="F585">
        <v>0</v>
      </c>
      <c r="G585">
        <v>100</v>
      </c>
      <c r="H585">
        <v>0</v>
      </c>
      <c r="I585">
        <v>0</v>
      </c>
      <c r="J585">
        <v>0</v>
      </c>
    </row>
    <row r="586" spans="1:10" x14ac:dyDescent="0.25">
      <c r="A586">
        <v>71300720</v>
      </c>
      <c r="B586">
        <v>677</v>
      </c>
      <c r="C586" t="s">
        <v>100</v>
      </c>
      <c r="D586">
        <v>300</v>
      </c>
      <c r="E586">
        <v>1</v>
      </c>
      <c r="F586">
        <v>0</v>
      </c>
      <c r="G586">
        <v>8</v>
      </c>
      <c r="H586">
        <v>0</v>
      </c>
      <c r="I586">
        <v>0</v>
      </c>
      <c r="J586">
        <v>0</v>
      </c>
    </row>
    <row r="587" spans="1:10" x14ac:dyDescent="0.25">
      <c r="A587">
        <v>71300734</v>
      </c>
      <c r="B587">
        <v>678</v>
      </c>
      <c r="C587" t="s">
        <v>100</v>
      </c>
      <c r="D587">
        <v>300</v>
      </c>
      <c r="E587">
        <v>1</v>
      </c>
      <c r="F587">
        <v>0</v>
      </c>
      <c r="G587">
        <v>60</v>
      </c>
      <c r="H587">
        <v>0</v>
      </c>
      <c r="I587">
        <v>0</v>
      </c>
      <c r="J587">
        <v>0</v>
      </c>
    </row>
    <row r="588" spans="1:10" x14ac:dyDescent="0.25">
      <c r="A588">
        <v>71300748</v>
      </c>
      <c r="B588">
        <v>679</v>
      </c>
      <c r="C588" t="s">
        <v>100</v>
      </c>
      <c r="D588">
        <v>300</v>
      </c>
      <c r="E588">
        <v>1</v>
      </c>
      <c r="F588">
        <v>0</v>
      </c>
      <c r="G588">
        <v>45</v>
      </c>
      <c r="H588">
        <v>0</v>
      </c>
      <c r="I588">
        <v>0</v>
      </c>
      <c r="J588">
        <v>0</v>
      </c>
    </row>
    <row r="589" spans="1:10" x14ac:dyDescent="0.25">
      <c r="A589">
        <v>71300749</v>
      </c>
      <c r="B589">
        <v>634</v>
      </c>
      <c r="C589" t="s">
        <v>93</v>
      </c>
      <c r="D589">
        <v>300</v>
      </c>
      <c r="E589">
        <v>1</v>
      </c>
      <c r="F589">
        <v>0</v>
      </c>
      <c r="G589">
        <v>52</v>
      </c>
      <c r="H589">
        <v>0</v>
      </c>
      <c r="I589">
        <v>0</v>
      </c>
      <c r="J589">
        <v>0</v>
      </c>
    </row>
    <row r="590" spans="1:10" x14ac:dyDescent="0.25">
      <c r="A590">
        <v>71300750</v>
      </c>
      <c r="B590">
        <v>607</v>
      </c>
      <c r="C590" t="s">
        <v>95</v>
      </c>
      <c r="D590">
        <v>300</v>
      </c>
      <c r="E590">
        <v>1</v>
      </c>
      <c r="F590">
        <v>0</v>
      </c>
      <c r="G590">
        <v>0</v>
      </c>
      <c r="H590">
        <v>10</v>
      </c>
      <c r="I590">
        <v>0</v>
      </c>
      <c r="J590">
        <v>0</v>
      </c>
    </row>
    <row r="591" spans="1:10" x14ac:dyDescent="0.25">
      <c r="A591">
        <v>71300751</v>
      </c>
      <c r="B591">
        <v>635</v>
      </c>
      <c r="C591" t="s">
        <v>93</v>
      </c>
      <c r="D591">
        <v>300</v>
      </c>
      <c r="E591">
        <v>1</v>
      </c>
      <c r="F591">
        <v>0</v>
      </c>
      <c r="G591">
        <v>5</v>
      </c>
      <c r="H591">
        <v>0</v>
      </c>
      <c r="I591">
        <v>0</v>
      </c>
      <c r="J591">
        <v>0</v>
      </c>
    </row>
    <row r="592" spans="1:10" x14ac:dyDescent="0.25">
      <c r="A592">
        <v>71300755</v>
      </c>
      <c r="B592">
        <v>680</v>
      </c>
      <c r="C592" t="s">
        <v>100</v>
      </c>
      <c r="D592">
        <v>300</v>
      </c>
      <c r="E592">
        <v>1</v>
      </c>
      <c r="F592">
        <v>0</v>
      </c>
      <c r="G592">
        <v>75</v>
      </c>
      <c r="H592">
        <v>0</v>
      </c>
      <c r="I592">
        <v>0</v>
      </c>
      <c r="J592">
        <v>0</v>
      </c>
    </row>
    <row r="593" spans="1:10" x14ac:dyDescent="0.25">
      <c r="A593">
        <v>71300756</v>
      </c>
      <c r="B593">
        <v>1178</v>
      </c>
      <c r="C593" t="s">
        <v>100</v>
      </c>
      <c r="D593">
        <v>300</v>
      </c>
      <c r="E593">
        <v>1</v>
      </c>
      <c r="F593">
        <v>0</v>
      </c>
      <c r="G593">
        <v>75</v>
      </c>
      <c r="H593">
        <v>0</v>
      </c>
      <c r="I593">
        <v>0</v>
      </c>
      <c r="J593">
        <v>0</v>
      </c>
    </row>
    <row r="594" spans="1:10" x14ac:dyDescent="0.25">
      <c r="A594">
        <v>71300765</v>
      </c>
      <c r="B594">
        <v>716</v>
      </c>
      <c r="C594" t="s">
        <v>101</v>
      </c>
      <c r="D594">
        <v>300</v>
      </c>
      <c r="E594">
        <v>1</v>
      </c>
      <c r="F594">
        <v>0</v>
      </c>
      <c r="G594">
        <v>80</v>
      </c>
      <c r="H594">
        <v>0</v>
      </c>
      <c r="I594">
        <v>0</v>
      </c>
      <c r="J594">
        <v>0</v>
      </c>
    </row>
    <row r="595" spans="1:10" x14ac:dyDescent="0.25">
      <c r="A595">
        <v>71300767</v>
      </c>
      <c r="B595">
        <v>741</v>
      </c>
      <c r="C595" t="s">
        <v>94</v>
      </c>
      <c r="D595">
        <v>300</v>
      </c>
      <c r="E595">
        <v>1</v>
      </c>
      <c r="F595">
        <v>0</v>
      </c>
      <c r="G595">
        <v>200</v>
      </c>
      <c r="H595">
        <v>0</v>
      </c>
      <c r="I595">
        <v>0</v>
      </c>
      <c r="J595">
        <v>0</v>
      </c>
    </row>
    <row r="596" spans="1:10" x14ac:dyDescent="0.25">
      <c r="A596">
        <v>71300774</v>
      </c>
      <c r="B596">
        <v>681</v>
      </c>
      <c r="C596" t="s">
        <v>100</v>
      </c>
      <c r="D596">
        <v>300</v>
      </c>
      <c r="E596">
        <v>1</v>
      </c>
      <c r="F596">
        <v>0</v>
      </c>
      <c r="G596">
        <v>0</v>
      </c>
      <c r="H596">
        <v>90</v>
      </c>
      <c r="I596">
        <v>0</v>
      </c>
      <c r="J596">
        <v>0</v>
      </c>
    </row>
    <row r="597" spans="1:10" x14ac:dyDescent="0.25">
      <c r="A597">
        <v>71300777</v>
      </c>
      <c r="B597">
        <v>717</v>
      </c>
      <c r="C597" t="s">
        <v>101</v>
      </c>
      <c r="D597">
        <v>300</v>
      </c>
      <c r="E597">
        <v>1</v>
      </c>
      <c r="F597">
        <v>0</v>
      </c>
      <c r="G597">
        <v>130</v>
      </c>
      <c r="H597">
        <v>0</v>
      </c>
      <c r="I597">
        <v>0</v>
      </c>
      <c r="J597">
        <v>0</v>
      </c>
    </row>
    <row r="598" spans="1:10" x14ac:dyDescent="0.25">
      <c r="A598">
        <v>71300778</v>
      </c>
      <c r="B598">
        <v>718</v>
      </c>
      <c r="C598" t="s">
        <v>101</v>
      </c>
      <c r="D598">
        <v>300</v>
      </c>
      <c r="E598">
        <v>1</v>
      </c>
      <c r="F598">
        <v>0</v>
      </c>
      <c r="G598">
        <v>200</v>
      </c>
      <c r="H598">
        <v>0</v>
      </c>
      <c r="I598">
        <v>0</v>
      </c>
      <c r="J598">
        <v>0</v>
      </c>
    </row>
    <row r="599" spans="1:10" x14ac:dyDescent="0.25">
      <c r="A599">
        <v>71300790</v>
      </c>
      <c r="B599">
        <v>636</v>
      </c>
      <c r="C599" t="s">
        <v>93</v>
      </c>
      <c r="D599">
        <v>300</v>
      </c>
      <c r="E599">
        <v>1</v>
      </c>
      <c r="F599">
        <v>0</v>
      </c>
      <c r="G599">
        <v>0</v>
      </c>
      <c r="H599">
        <v>30</v>
      </c>
      <c r="I599">
        <v>0</v>
      </c>
      <c r="J599">
        <v>0</v>
      </c>
    </row>
    <row r="600" spans="1:10" x14ac:dyDescent="0.25">
      <c r="A600">
        <v>71300791</v>
      </c>
      <c r="B600">
        <v>682</v>
      </c>
      <c r="C600" t="s">
        <v>100</v>
      </c>
      <c r="D600">
        <v>300</v>
      </c>
      <c r="E600">
        <v>1</v>
      </c>
      <c r="F600">
        <v>0</v>
      </c>
      <c r="G600">
        <v>0</v>
      </c>
      <c r="H600">
        <v>200</v>
      </c>
      <c r="I600">
        <v>0</v>
      </c>
      <c r="J600">
        <v>0</v>
      </c>
    </row>
    <row r="601" spans="1:10" x14ac:dyDescent="0.25">
      <c r="A601">
        <v>71300792</v>
      </c>
      <c r="B601">
        <v>683</v>
      </c>
      <c r="C601" t="s">
        <v>100</v>
      </c>
      <c r="D601">
        <v>300</v>
      </c>
      <c r="E601">
        <v>1</v>
      </c>
      <c r="F601">
        <v>0</v>
      </c>
      <c r="G601">
        <v>0</v>
      </c>
      <c r="H601">
        <v>140</v>
      </c>
      <c r="I601">
        <v>0</v>
      </c>
      <c r="J601">
        <v>0</v>
      </c>
    </row>
    <row r="602" spans="1:10" x14ac:dyDescent="0.25">
      <c r="A602">
        <v>71300799</v>
      </c>
      <c r="B602">
        <v>708</v>
      </c>
      <c r="C602" t="s">
        <v>97</v>
      </c>
      <c r="D602">
        <v>300</v>
      </c>
      <c r="E602">
        <v>1</v>
      </c>
      <c r="F602">
        <v>0</v>
      </c>
      <c r="G602">
        <v>15</v>
      </c>
      <c r="H602">
        <v>5</v>
      </c>
      <c r="I602">
        <v>0</v>
      </c>
      <c r="J602">
        <v>0</v>
      </c>
    </row>
    <row r="603" spans="1:10" x14ac:dyDescent="0.25">
      <c r="A603">
        <v>71300800</v>
      </c>
      <c r="B603">
        <v>684</v>
      </c>
      <c r="C603" t="s">
        <v>100</v>
      </c>
      <c r="D603">
        <v>300</v>
      </c>
      <c r="E603">
        <v>1</v>
      </c>
      <c r="F603">
        <v>0</v>
      </c>
      <c r="G603">
        <v>130</v>
      </c>
      <c r="H603">
        <v>5</v>
      </c>
      <c r="I603">
        <v>0</v>
      </c>
      <c r="J603">
        <v>0</v>
      </c>
    </row>
    <row r="604" spans="1:10" x14ac:dyDescent="0.25">
      <c r="A604">
        <v>71300801</v>
      </c>
      <c r="B604">
        <v>685</v>
      </c>
      <c r="C604" t="s">
        <v>100</v>
      </c>
      <c r="D604">
        <v>300</v>
      </c>
      <c r="E604">
        <v>1</v>
      </c>
      <c r="F604">
        <v>0</v>
      </c>
      <c r="G604">
        <v>120</v>
      </c>
      <c r="H604">
        <v>0</v>
      </c>
      <c r="I604">
        <v>0</v>
      </c>
      <c r="J604">
        <v>0</v>
      </c>
    </row>
    <row r="605" spans="1:10" x14ac:dyDescent="0.25">
      <c r="A605">
        <v>71300807</v>
      </c>
      <c r="B605">
        <v>608</v>
      </c>
      <c r="C605" t="s">
        <v>95</v>
      </c>
      <c r="D605">
        <v>300</v>
      </c>
      <c r="E605">
        <v>1</v>
      </c>
      <c r="F605">
        <v>0</v>
      </c>
      <c r="G605">
        <v>0</v>
      </c>
      <c r="H605">
        <v>25</v>
      </c>
      <c r="I605">
        <v>0</v>
      </c>
      <c r="J605">
        <v>0</v>
      </c>
    </row>
    <row r="606" spans="1:10" x14ac:dyDescent="0.25">
      <c r="A606">
        <v>71300808</v>
      </c>
      <c r="B606">
        <v>736</v>
      </c>
      <c r="C606" t="s">
        <v>106</v>
      </c>
      <c r="D606">
        <v>300</v>
      </c>
      <c r="E606">
        <v>1</v>
      </c>
      <c r="F606">
        <v>0</v>
      </c>
      <c r="G606">
        <v>45</v>
      </c>
      <c r="H606">
        <v>0</v>
      </c>
      <c r="I606">
        <v>0</v>
      </c>
      <c r="J606">
        <v>0</v>
      </c>
    </row>
    <row r="607" spans="1:10" x14ac:dyDescent="0.25">
      <c r="A607">
        <v>71300809</v>
      </c>
      <c r="B607">
        <v>686</v>
      </c>
      <c r="C607" t="s">
        <v>100</v>
      </c>
      <c r="D607">
        <v>300</v>
      </c>
      <c r="E607">
        <v>1</v>
      </c>
      <c r="F607">
        <v>0</v>
      </c>
      <c r="G607">
        <v>0</v>
      </c>
      <c r="H607">
        <v>120</v>
      </c>
      <c r="I607">
        <v>0</v>
      </c>
      <c r="J607">
        <v>0</v>
      </c>
    </row>
    <row r="608" spans="1:10" x14ac:dyDescent="0.25">
      <c r="A608">
        <v>71300810</v>
      </c>
      <c r="B608">
        <v>1179</v>
      </c>
      <c r="C608" t="s">
        <v>101</v>
      </c>
      <c r="D608">
        <v>300</v>
      </c>
      <c r="E608">
        <v>1</v>
      </c>
      <c r="F608">
        <v>13</v>
      </c>
      <c r="G608">
        <v>20</v>
      </c>
      <c r="H608">
        <v>0</v>
      </c>
      <c r="I608">
        <v>0</v>
      </c>
      <c r="J608">
        <v>0</v>
      </c>
    </row>
    <row r="609" spans="1:10" x14ac:dyDescent="0.25">
      <c r="A609">
        <v>71300811</v>
      </c>
      <c r="B609">
        <v>1180</v>
      </c>
      <c r="C609" t="s">
        <v>104</v>
      </c>
      <c r="D609">
        <v>300</v>
      </c>
      <c r="E609">
        <v>1</v>
      </c>
      <c r="F609">
        <v>0</v>
      </c>
      <c r="G609">
        <v>0</v>
      </c>
      <c r="H609">
        <v>80</v>
      </c>
      <c r="I609">
        <v>0</v>
      </c>
      <c r="J609">
        <v>0</v>
      </c>
    </row>
    <row r="610" spans="1:10" x14ac:dyDescent="0.25">
      <c r="A610">
        <v>71300812</v>
      </c>
      <c r="B610">
        <v>719</v>
      </c>
      <c r="C610" t="s">
        <v>101</v>
      </c>
      <c r="D610">
        <v>300</v>
      </c>
      <c r="E610">
        <v>1</v>
      </c>
      <c r="F610">
        <v>0</v>
      </c>
      <c r="G610">
        <v>50</v>
      </c>
      <c r="H610">
        <v>0</v>
      </c>
      <c r="I610">
        <v>0</v>
      </c>
      <c r="J610">
        <v>0</v>
      </c>
    </row>
    <row r="611" spans="1:10" x14ac:dyDescent="0.25">
      <c r="A611">
        <v>71300813</v>
      </c>
      <c r="B611">
        <v>720</v>
      </c>
      <c r="C611" t="s">
        <v>101</v>
      </c>
      <c r="D611">
        <v>300</v>
      </c>
      <c r="E611">
        <v>1</v>
      </c>
      <c r="F611">
        <v>0</v>
      </c>
      <c r="G611">
        <v>0</v>
      </c>
      <c r="H611">
        <v>15</v>
      </c>
      <c r="I611">
        <v>0</v>
      </c>
      <c r="J611">
        <v>0</v>
      </c>
    </row>
    <row r="612" spans="1:10" x14ac:dyDescent="0.25">
      <c r="A612">
        <v>71300814</v>
      </c>
      <c r="B612">
        <v>687</v>
      </c>
      <c r="C612" t="s">
        <v>100</v>
      </c>
      <c r="D612">
        <v>300</v>
      </c>
      <c r="E612">
        <v>1</v>
      </c>
      <c r="F612">
        <v>0</v>
      </c>
      <c r="G612">
        <v>30</v>
      </c>
      <c r="H612">
        <v>0</v>
      </c>
      <c r="I612">
        <v>0</v>
      </c>
      <c r="J612">
        <v>0</v>
      </c>
    </row>
    <row r="613" spans="1:10" x14ac:dyDescent="0.25">
      <c r="A613">
        <v>71300815</v>
      </c>
      <c r="B613">
        <v>709</v>
      </c>
      <c r="C613" t="s">
        <v>97</v>
      </c>
      <c r="D613">
        <v>300</v>
      </c>
      <c r="E613">
        <v>1</v>
      </c>
      <c r="F613">
        <v>0</v>
      </c>
      <c r="G613">
        <v>10</v>
      </c>
      <c r="H613">
        <v>0</v>
      </c>
      <c r="I613">
        <v>0</v>
      </c>
      <c r="J613">
        <v>0</v>
      </c>
    </row>
    <row r="614" spans="1:10" x14ac:dyDescent="0.25">
      <c r="A614">
        <v>71300818</v>
      </c>
      <c r="B614">
        <v>742</v>
      </c>
      <c r="C614" t="s">
        <v>94</v>
      </c>
      <c r="D614">
        <v>300</v>
      </c>
      <c r="E614">
        <v>1</v>
      </c>
      <c r="F614">
        <v>0</v>
      </c>
      <c r="G614">
        <v>200</v>
      </c>
      <c r="H614">
        <v>0</v>
      </c>
      <c r="I614">
        <v>0</v>
      </c>
      <c r="J614">
        <v>0</v>
      </c>
    </row>
    <row r="615" spans="1:10" x14ac:dyDescent="0.25">
      <c r="A615">
        <v>71300820</v>
      </c>
      <c r="B615">
        <v>609</v>
      </c>
      <c r="C615" t="s">
        <v>95</v>
      </c>
      <c r="D615">
        <v>300</v>
      </c>
      <c r="E615">
        <v>1</v>
      </c>
      <c r="F615">
        <v>0</v>
      </c>
      <c r="G615">
        <v>13</v>
      </c>
      <c r="H615">
        <v>15</v>
      </c>
      <c r="I615">
        <v>0</v>
      </c>
      <c r="J615">
        <v>0</v>
      </c>
    </row>
    <row r="616" spans="1:10" x14ac:dyDescent="0.25">
      <c r="A616">
        <v>71300827</v>
      </c>
      <c r="B616">
        <v>610</v>
      </c>
      <c r="C616" t="s">
        <v>95</v>
      </c>
      <c r="D616">
        <v>300</v>
      </c>
      <c r="E616">
        <v>1</v>
      </c>
      <c r="F616">
        <v>0</v>
      </c>
      <c r="G616">
        <v>0</v>
      </c>
      <c r="H616">
        <v>20</v>
      </c>
      <c r="I616">
        <v>0</v>
      </c>
      <c r="J616">
        <v>0</v>
      </c>
    </row>
    <row r="617" spans="1:10" x14ac:dyDescent="0.25">
      <c r="A617">
        <v>71301001</v>
      </c>
      <c r="B617">
        <v>286</v>
      </c>
      <c r="C617" t="s">
        <v>113</v>
      </c>
      <c r="D617">
        <v>300</v>
      </c>
      <c r="E617">
        <v>1</v>
      </c>
      <c r="F617">
        <v>0</v>
      </c>
      <c r="G617">
        <v>160</v>
      </c>
      <c r="H617">
        <v>150</v>
      </c>
      <c r="I617">
        <v>0</v>
      </c>
      <c r="J617">
        <v>0</v>
      </c>
    </row>
    <row r="618" spans="1:10" x14ac:dyDescent="0.25">
      <c r="A618">
        <v>71301003</v>
      </c>
      <c r="B618">
        <v>287</v>
      </c>
      <c r="C618" t="s">
        <v>113</v>
      </c>
      <c r="D618">
        <v>300</v>
      </c>
      <c r="E618">
        <v>1</v>
      </c>
      <c r="F618">
        <v>0</v>
      </c>
      <c r="G618">
        <v>80</v>
      </c>
      <c r="H618">
        <v>0</v>
      </c>
      <c r="I618">
        <v>0</v>
      </c>
      <c r="J618">
        <v>0</v>
      </c>
    </row>
    <row r="619" spans="1:10" x14ac:dyDescent="0.25">
      <c r="A619">
        <v>71301007</v>
      </c>
      <c r="B619">
        <v>288</v>
      </c>
      <c r="C619" t="s">
        <v>113</v>
      </c>
      <c r="D619">
        <v>300</v>
      </c>
      <c r="E619">
        <v>1</v>
      </c>
      <c r="F619">
        <v>0</v>
      </c>
      <c r="G619">
        <v>35</v>
      </c>
      <c r="H619">
        <v>50</v>
      </c>
      <c r="I619">
        <v>0</v>
      </c>
      <c r="J619">
        <v>0</v>
      </c>
    </row>
    <row r="620" spans="1:10" x14ac:dyDescent="0.25">
      <c r="A620">
        <v>71301025</v>
      </c>
      <c r="B620">
        <v>621</v>
      </c>
      <c r="C620" t="s">
        <v>92</v>
      </c>
      <c r="D620">
        <v>300</v>
      </c>
      <c r="E620">
        <v>1</v>
      </c>
      <c r="F620">
        <v>0</v>
      </c>
      <c r="G620">
        <v>10</v>
      </c>
      <c r="H620">
        <v>0</v>
      </c>
      <c r="I620">
        <v>0</v>
      </c>
      <c r="J620">
        <v>0</v>
      </c>
    </row>
    <row r="621" spans="1:10" x14ac:dyDescent="0.25">
      <c r="A621">
        <v>71301026</v>
      </c>
      <c r="B621">
        <v>229</v>
      </c>
      <c r="C621" t="s">
        <v>153</v>
      </c>
      <c r="D621">
        <v>300</v>
      </c>
      <c r="E621">
        <v>1</v>
      </c>
      <c r="F621">
        <v>0</v>
      </c>
      <c r="G621">
        <v>120</v>
      </c>
      <c r="H621">
        <v>0</v>
      </c>
      <c r="I621">
        <v>0</v>
      </c>
      <c r="J621">
        <v>0</v>
      </c>
    </row>
    <row r="622" spans="1:10" x14ac:dyDescent="0.25">
      <c r="A622">
        <v>71301027</v>
      </c>
      <c r="B622">
        <v>230</v>
      </c>
      <c r="C622" t="s">
        <v>153</v>
      </c>
      <c r="D622">
        <v>300</v>
      </c>
      <c r="E622">
        <v>1</v>
      </c>
      <c r="F622">
        <v>0</v>
      </c>
      <c r="G622">
        <v>120</v>
      </c>
      <c r="H622">
        <v>0</v>
      </c>
      <c r="I622">
        <v>0</v>
      </c>
      <c r="J622">
        <v>0</v>
      </c>
    </row>
    <row r="623" spans="1:10" x14ac:dyDescent="0.25">
      <c r="A623">
        <v>71301029</v>
      </c>
      <c r="B623">
        <v>231</v>
      </c>
      <c r="C623" t="s">
        <v>153</v>
      </c>
      <c r="D623">
        <v>300</v>
      </c>
      <c r="E623">
        <v>1</v>
      </c>
      <c r="F623">
        <v>0</v>
      </c>
      <c r="G623">
        <v>75</v>
      </c>
      <c r="H623">
        <v>0</v>
      </c>
      <c r="I623">
        <v>0</v>
      </c>
      <c r="J623">
        <v>0</v>
      </c>
    </row>
    <row r="624" spans="1:10" x14ac:dyDescent="0.25">
      <c r="A624">
        <v>71301030</v>
      </c>
      <c r="B624">
        <v>232</v>
      </c>
      <c r="C624" t="s">
        <v>153</v>
      </c>
      <c r="D624">
        <v>300</v>
      </c>
      <c r="E624">
        <v>1</v>
      </c>
      <c r="F624">
        <v>0</v>
      </c>
      <c r="G624">
        <v>62</v>
      </c>
      <c r="H624">
        <v>0</v>
      </c>
      <c r="I624">
        <v>0</v>
      </c>
      <c r="J624">
        <v>0</v>
      </c>
    </row>
    <row r="625" spans="1:10" x14ac:dyDescent="0.25">
      <c r="A625">
        <v>71301036</v>
      </c>
      <c r="B625">
        <v>346</v>
      </c>
      <c r="C625" t="s">
        <v>154</v>
      </c>
      <c r="D625">
        <v>300</v>
      </c>
      <c r="E625">
        <v>1</v>
      </c>
      <c r="F625">
        <v>0</v>
      </c>
      <c r="G625">
        <v>15</v>
      </c>
      <c r="H625">
        <v>0</v>
      </c>
      <c r="I625">
        <v>0</v>
      </c>
      <c r="J625">
        <v>0</v>
      </c>
    </row>
    <row r="626" spans="1:10" x14ac:dyDescent="0.25">
      <c r="A626">
        <v>71301037</v>
      </c>
      <c r="B626">
        <v>347</v>
      </c>
      <c r="C626" t="s">
        <v>154</v>
      </c>
      <c r="D626">
        <v>300</v>
      </c>
      <c r="E626">
        <v>1</v>
      </c>
      <c r="F626">
        <v>0</v>
      </c>
      <c r="G626">
        <v>50</v>
      </c>
      <c r="H626">
        <v>0</v>
      </c>
      <c r="I626">
        <v>0</v>
      </c>
      <c r="J626">
        <v>0</v>
      </c>
    </row>
    <row r="627" spans="1:10" x14ac:dyDescent="0.25">
      <c r="A627">
        <v>71301044</v>
      </c>
      <c r="B627">
        <v>225</v>
      </c>
      <c r="C627" t="s">
        <v>147</v>
      </c>
      <c r="D627">
        <v>300</v>
      </c>
      <c r="E627">
        <v>1</v>
      </c>
      <c r="F627">
        <v>0</v>
      </c>
      <c r="G627">
        <v>13</v>
      </c>
      <c r="H627">
        <v>55</v>
      </c>
      <c r="I627">
        <v>0</v>
      </c>
      <c r="J627">
        <v>0</v>
      </c>
    </row>
    <row r="628" spans="1:10" x14ac:dyDescent="0.25">
      <c r="A628">
        <v>71301054</v>
      </c>
      <c r="B628">
        <v>226</v>
      </c>
      <c r="C628" t="s">
        <v>147</v>
      </c>
      <c r="D628">
        <v>300</v>
      </c>
      <c r="E628">
        <v>1</v>
      </c>
      <c r="F628">
        <v>0</v>
      </c>
      <c r="G628">
        <v>25</v>
      </c>
      <c r="H628">
        <v>0</v>
      </c>
      <c r="I628">
        <v>0</v>
      </c>
      <c r="J628">
        <v>0</v>
      </c>
    </row>
    <row r="629" spans="1:10" x14ac:dyDescent="0.25">
      <c r="A629">
        <v>71301060</v>
      </c>
      <c r="B629">
        <v>1134</v>
      </c>
      <c r="C629" t="s">
        <v>147</v>
      </c>
      <c r="D629">
        <v>300</v>
      </c>
      <c r="E629">
        <v>1</v>
      </c>
      <c r="F629">
        <v>0</v>
      </c>
      <c r="G629">
        <v>250</v>
      </c>
      <c r="H629">
        <v>0</v>
      </c>
      <c r="I629">
        <v>0</v>
      </c>
      <c r="J629">
        <v>0</v>
      </c>
    </row>
    <row r="630" spans="1:10" x14ac:dyDescent="0.25">
      <c r="A630">
        <v>71301063</v>
      </c>
      <c r="B630">
        <v>202</v>
      </c>
      <c r="C630" t="s">
        <v>91</v>
      </c>
      <c r="D630">
        <v>300</v>
      </c>
      <c r="E630">
        <v>1</v>
      </c>
      <c r="F630">
        <v>0</v>
      </c>
      <c r="G630">
        <v>0</v>
      </c>
      <c r="H630">
        <v>6</v>
      </c>
      <c r="I630">
        <v>0</v>
      </c>
      <c r="J630">
        <v>0</v>
      </c>
    </row>
    <row r="631" spans="1:10" x14ac:dyDescent="0.25">
      <c r="A631">
        <v>71301068</v>
      </c>
      <c r="B631">
        <v>1135</v>
      </c>
      <c r="C631" t="s">
        <v>91</v>
      </c>
      <c r="D631">
        <v>300</v>
      </c>
      <c r="E631">
        <v>1</v>
      </c>
      <c r="F631">
        <v>0</v>
      </c>
      <c r="G631">
        <v>0</v>
      </c>
      <c r="H631">
        <v>180</v>
      </c>
      <c r="I631">
        <v>0</v>
      </c>
      <c r="J631">
        <v>0</v>
      </c>
    </row>
    <row r="632" spans="1:10" x14ac:dyDescent="0.25">
      <c r="A632">
        <v>71301069</v>
      </c>
      <c r="B632">
        <v>1181</v>
      </c>
      <c r="C632" t="s">
        <v>91</v>
      </c>
      <c r="D632">
        <v>300</v>
      </c>
      <c r="E632">
        <v>1</v>
      </c>
      <c r="F632">
        <v>0</v>
      </c>
      <c r="G632">
        <v>180</v>
      </c>
      <c r="H632">
        <v>0</v>
      </c>
      <c r="I632">
        <v>0</v>
      </c>
      <c r="J632">
        <v>0</v>
      </c>
    </row>
    <row r="633" spans="1:10" x14ac:dyDescent="0.25">
      <c r="A633">
        <v>71301071</v>
      </c>
      <c r="B633">
        <v>1137</v>
      </c>
      <c r="C633" t="s">
        <v>91</v>
      </c>
      <c r="D633">
        <v>300</v>
      </c>
      <c r="E633">
        <v>1</v>
      </c>
      <c r="F633">
        <v>0</v>
      </c>
      <c r="G633">
        <v>60</v>
      </c>
      <c r="H633">
        <v>0</v>
      </c>
      <c r="I633">
        <v>0</v>
      </c>
      <c r="J633">
        <v>0</v>
      </c>
    </row>
    <row r="634" spans="1:10" x14ac:dyDescent="0.25">
      <c r="A634">
        <v>71301072</v>
      </c>
      <c r="B634">
        <v>203</v>
      </c>
      <c r="C634" t="s">
        <v>91</v>
      </c>
      <c r="D634">
        <v>300</v>
      </c>
      <c r="E634">
        <v>1</v>
      </c>
      <c r="F634">
        <v>0</v>
      </c>
      <c r="G634">
        <v>60</v>
      </c>
      <c r="H634">
        <v>0</v>
      </c>
      <c r="I634">
        <v>0</v>
      </c>
      <c r="J634">
        <v>0</v>
      </c>
    </row>
    <row r="635" spans="1:10" x14ac:dyDescent="0.25">
      <c r="A635">
        <v>71301075</v>
      </c>
      <c r="B635">
        <v>1138</v>
      </c>
      <c r="C635" t="s">
        <v>91</v>
      </c>
      <c r="D635">
        <v>300</v>
      </c>
      <c r="E635">
        <v>1</v>
      </c>
      <c r="F635">
        <v>0</v>
      </c>
      <c r="G635">
        <v>0</v>
      </c>
      <c r="H635">
        <v>70</v>
      </c>
      <c r="I635">
        <v>0</v>
      </c>
      <c r="J635">
        <v>0</v>
      </c>
    </row>
    <row r="636" spans="1:10" x14ac:dyDescent="0.25">
      <c r="A636">
        <v>71301076</v>
      </c>
      <c r="B636">
        <v>1139</v>
      </c>
      <c r="C636" t="s">
        <v>91</v>
      </c>
      <c r="D636">
        <v>300</v>
      </c>
      <c r="E636">
        <v>1</v>
      </c>
      <c r="F636">
        <v>0</v>
      </c>
      <c r="G636">
        <v>0</v>
      </c>
      <c r="H636">
        <v>260</v>
      </c>
      <c r="I636">
        <v>0</v>
      </c>
      <c r="J636">
        <v>0</v>
      </c>
    </row>
    <row r="637" spans="1:10" x14ac:dyDescent="0.25">
      <c r="A637">
        <v>71301086</v>
      </c>
      <c r="B637">
        <v>237</v>
      </c>
      <c r="C637" t="s">
        <v>148</v>
      </c>
      <c r="D637">
        <v>300</v>
      </c>
      <c r="E637">
        <v>1</v>
      </c>
      <c r="F637">
        <v>0</v>
      </c>
      <c r="G637">
        <v>190</v>
      </c>
      <c r="H637">
        <v>0</v>
      </c>
      <c r="I637">
        <v>0</v>
      </c>
      <c r="J637">
        <v>0</v>
      </c>
    </row>
    <row r="638" spans="1:10" x14ac:dyDescent="0.25">
      <c r="A638">
        <v>71301091</v>
      </c>
      <c r="B638">
        <v>292</v>
      </c>
      <c r="C638" t="s">
        <v>111</v>
      </c>
      <c r="D638">
        <v>300</v>
      </c>
      <c r="E638">
        <v>1</v>
      </c>
      <c r="F638">
        <v>0</v>
      </c>
      <c r="G638">
        <v>120</v>
      </c>
      <c r="H638">
        <v>10</v>
      </c>
      <c r="I638">
        <v>0</v>
      </c>
      <c r="J638">
        <v>0</v>
      </c>
    </row>
    <row r="639" spans="1:10" x14ac:dyDescent="0.25">
      <c r="A639">
        <v>71301092</v>
      </c>
      <c r="B639">
        <v>293</v>
      </c>
      <c r="C639" t="s">
        <v>111</v>
      </c>
      <c r="D639">
        <v>300</v>
      </c>
      <c r="E639">
        <v>1</v>
      </c>
      <c r="F639">
        <v>0</v>
      </c>
      <c r="G639">
        <v>50</v>
      </c>
      <c r="H639">
        <v>0</v>
      </c>
      <c r="I639">
        <v>0</v>
      </c>
      <c r="J639">
        <v>0</v>
      </c>
    </row>
    <row r="640" spans="1:10" x14ac:dyDescent="0.25">
      <c r="A640">
        <v>71301093</v>
      </c>
      <c r="B640">
        <v>294</v>
      </c>
      <c r="C640" t="s">
        <v>111</v>
      </c>
      <c r="D640">
        <v>300</v>
      </c>
      <c r="E640">
        <v>1</v>
      </c>
      <c r="F640">
        <v>0</v>
      </c>
      <c r="G640">
        <v>0</v>
      </c>
      <c r="H640">
        <v>120</v>
      </c>
      <c r="I640">
        <v>0</v>
      </c>
      <c r="J640">
        <v>0</v>
      </c>
    </row>
    <row r="641" spans="1:10" x14ac:dyDescent="0.25">
      <c r="A641">
        <v>71301104</v>
      </c>
      <c r="B641">
        <v>295</v>
      </c>
      <c r="C641" t="s">
        <v>111</v>
      </c>
      <c r="D641">
        <v>300</v>
      </c>
      <c r="E641">
        <v>1</v>
      </c>
      <c r="F641">
        <v>0</v>
      </c>
      <c r="G641">
        <v>0</v>
      </c>
      <c r="H641">
        <v>120</v>
      </c>
      <c r="I641">
        <v>0</v>
      </c>
      <c r="J641">
        <v>0</v>
      </c>
    </row>
    <row r="642" spans="1:10" x14ac:dyDescent="0.25">
      <c r="A642">
        <v>71301107</v>
      </c>
      <c r="B642">
        <v>289</v>
      </c>
      <c r="C642" t="s">
        <v>113</v>
      </c>
      <c r="D642">
        <v>300</v>
      </c>
      <c r="E642">
        <v>1</v>
      </c>
      <c r="F642">
        <v>4</v>
      </c>
      <c r="G642">
        <v>26</v>
      </c>
      <c r="H642">
        <v>28</v>
      </c>
      <c r="I642">
        <v>0</v>
      </c>
      <c r="J642">
        <v>0</v>
      </c>
    </row>
    <row r="643" spans="1:10" x14ac:dyDescent="0.25">
      <c r="A643">
        <v>71301118</v>
      </c>
      <c r="B643">
        <v>1140</v>
      </c>
      <c r="C643" t="s">
        <v>91</v>
      </c>
      <c r="D643">
        <v>300</v>
      </c>
      <c r="E643">
        <v>1</v>
      </c>
      <c r="F643">
        <v>0</v>
      </c>
      <c r="G643">
        <v>0</v>
      </c>
      <c r="H643">
        <v>40</v>
      </c>
      <c r="I643">
        <v>0</v>
      </c>
      <c r="J643">
        <v>0</v>
      </c>
    </row>
    <row r="644" spans="1:10" x14ac:dyDescent="0.25">
      <c r="A644">
        <v>71301119</v>
      </c>
      <c r="B644">
        <v>1141</v>
      </c>
      <c r="C644" t="s">
        <v>91</v>
      </c>
      <c r="D644">
        <v>300</v>
      </c>
      <c r="E644">
        <v>1</v>
      </c>
      <c r="F644">
        <v>0</v>
      </c>
      <c r="G644">
        <v>10</v>
      </c>
      <c r="H644">
        <v>30</v>
      </c>
      <c r="I644">
        <v>0</v>
      </c>
      <c r="J644">
        <v>0</v>
      </c>
    </row>
    <row r="645" spans="1:10" x14ac:dyDescent="0.25">
      <c r="A645">
        <v>71301127</v>
      </c>
      <c r="B645">
        <v>296</v>
      </c>
      <c r="C645" t="s">
        <v>111</v>
      </c>
      <c r="D645">
        <v>300</v>
      </c>
      <c r="E645">
        <v>1</v>
      </c>
      <c r="F645">
        <v>0</v>
      </c>
      <c r="G645">
        <v>40</v>
      </c>
      <c r="H645">
        <v>5</v>
      </c>
      <c r="I645">
        <v>0</v>
      </c>
      <c r="J645">
        <v>0</v>
      </c>
    </row>
    <row r="646" spans="1:10" x14ac:dyDescent="0.25">
      <c r="A646">
        <v>71301130</v>
      </c>
      <c r="B646">
        <v>227</v>
      </c>
      <c r="C646" t="s">
        <v>147</v>
      </c>
      <c r="D646">
        <v>300</v>
      </c>
      <c r="E646">
        <v>1</v>
      </c>
      <c r="F646">
        <v>0</v>
      </c>
      <c r="G646">
        <v>200</v>
      </c>
      <c r="H646">
        <v>0</v>
      </c>
      <c r="I646">
        <v>0</v>
      </c>
      <c r="J646">
        <v>0</v>
      </c>
    </row>
    <row r="647" spans="1:10" x14ac:dyDescent="0.25">
      <c r="A647">
        <v>71301132</v>
      </c>
      <c r="B647">
        <v>1142</v>
      </c>
      <c r="C647" t="s">
        <v>148</v>
      </c>
      <c r="D647">
        <v>300</v>
      </c>
      <c r="E647">
        <v>1</v>
      </c>
      <c r="F647">
        <v>0</v>
      </c>
      <c r="G647">
        <v>30</v>
      </c>
      <c r="H647">
        <v>50</v>
      </c>
      <c r="I647">
        <v>0</v>
      </c>
      <c r="J647">
        <v>0</v>
      </c>
    </row>
    <row r="648" spans="1:10" x14ac:dyDescent="0.25">
      <c r="A648">
        <v>71301136</v>
      </c>
      <c r="B648">
        <v>314</v>
      </c>
      <c r="C648" t="s">
        <v>149</v>
      </c>
      <c r="D648">
        <v>300</v>
      </c>
      <c r="E648">
        <v>1</v>
      </c>
      <c r="F648">
        <v>0</v>
      </c>
      <c r="G648">
        <v>0</v>
      </c>
      <c r="H648">
        <v>65</v>
      </c>
      <c r="I648">
        <v>0</v>
      </c>
      <c r="J648">
        <v>0</v>
      </c>
    </row>
    <row r="649" spans="1:10" x14ac:dyDescent="0.25">
      <c r="A649">
        <v>71301140</v>
      </c>
      <c r="B649">
        <v>204</v>
      </c>
      <c r="C649" t="s">
        <v>91</v>
      </c>
      <c r="D649">
        <v>300</v>
      </c>
      <c r="E649">
        <v>1</v>
      </c>
      <c r="F649">
        <v>0</v>
      </c>
      <c r="G649">
        <v>120</v>
      </c>
      <c r="H649">
        <v>0</v>
      </c>
      <c r="I649">
        <v>0</v>
      </c>
      <c r="J649">
        <v>0</v>
      </c>
    </row>
    <row r="650" spans="1:10" x14ac:dyDescent="0.25">
      <c r="A650">
        <v>71301505</v>
      </c>
      <c r="B650">
        <v>614</v>
      </c>
      <c r="C650" t="s">
        <v>120</v>
      </c>
      <c r="D650">
        <v>300</v>
      </c>
      <c r="E650">
        <v>1</v>
      </c>
      <c r="F650">
        <v>0</v>
      </c>
      <c r="G650">
        <v>115</v>
      </c>
      <c r="H650">
        <v>15</v>
      </c>
      <c r="I650">
        <v>0</v>
      </c>
      <c r="J650">
        <v>0</v>
      </c>
    </row>
    <row r="651" spans="1:10" x14ac:dyDescent="0.25">
      <c r="A651">
        <v>71301507</v>
      </c>
      <c r="B651">
        <v>643</v>
      </c>
      <c r="C651" t="s">
        <v>155</v>
      </c>
      <c r="D651">
        <v>300</v>
      </c>
      <c r="E651">
        <v>1</v>
      </c>
      <c r="F651">
        <v>0</v>
      </c>
      <c r="G651">
        <v>150</v>
      </c>
      <c r="H651">
        <v>10</v>
      </c>
      <c r="I651">
        <v>0</v>
      </c>
      <c r="J651">
        <v>0</v>
      </c>
    </row>
    <row r="652" spans="1:10" x14ac:dyDescent="0.25">
      <c r="A652">
        <v>71301516</v>
      </c>
      <c r="B652">
        <v>644</v>
      </c>
      <c r="C652" t="s">
        <v>155</v>
      </c>
      <c r="D652">
        <v>300</v>
      </c>
      <c r="E652">
        <v>1</v>
      </c>
      <c r="F652">
        <v>0</v>
      </c>
      <c r="G652">
        <v>100</v>
      </c>
      <c r="H652">
        <v>0</v>
      </c>
      <c r="I652">
        <v>0</v>
      </c>
      <c r="J652">
        <v>0</v>
      </c>
    </row>
    <row r="653" spans="1:10" x14ac:dyDescent="0.25">
      <c r="A653">
        <v>71301519</v>
      </c>
      <c r="B653">
        <v>637</v>
      </c>
      <c r="C653" t="s">
        <v>156</v>
      </c>
      <c r="D653">
        <v>300</v>
      </c>
      <c r="E653">
        <v>1</v>
      </c>
      <c r="F653">
        <v>0</v>
      </c>
      <c r="G653">
        <v>70</v>
      </c>
      <c r="H653">
        <v>30</v>
      </c>
      <c r="I653">
        <v>0</v>
      </c>
      <c r="J653">
        <v>0</v>
      </c>
    </row>
    <row r="654" spans="1:10" x14ac:dyDescent="0.25">
      <c r="A654">
        <v>71301524</v>
      </c>
      <c r="B654">
        <v>638</v>
      </c>
      <c r="C654" t="s">
        <v>156</v>
      </c>
      <c r="D654">
        <v>300</v>
      </c>
      <c r="E654">
        <v>1</v>
      </c>
      <c r="F654">
        <v>0</v>
      </c>
      <c r="G654">
        <v>105</v>
      </c>
      <c r="H654">
        <v>10</v>
      </c>
      <c r="I654">
        <v>0</v>
      </c>
      <c r="J654">
        <v>0</v>
      </c>
    </row>
    <row r="655" spans="1:10" x14ac:dyDescent="0.25">
      <c r="A655">
        <v>71301538</v>
      </c>
      <c r="B655">
        <v>584</v>
      </c>
      <c r="C655" t="s">
        <v>119</v>
      </c>
      <c r="D655">
        <v>300</v>
      </c>
      <c r="E655">
        <v>1</v>
      </c>
      <c r="F655">
        <v>0</v>
      </c>
      <c r="G655">
        <v>20</v>
      </c>
      <c r="H655">
        <v>19</v>
      </c>
      <c r="I655">
        <v>0</v>
      </c>
      <c r="J655">
        <v>0</v>
      </c>
    </row>
    <row r="656" spans="1:10" x14ac:dyDescent="0.25">
      <c r="A656">
        <v>71301547</v>
      </c>
      <c r="B656">
        <v>743</v>
      </c>
      <c r="C656" t="s">
        <v>157</v>
      </c>
      <c r="D656">
        <v>300</v>
      </c>
      <c r="E656">
        <v>1</v>
      </c>
      <c r="F656">
        <v>0</v>
      </c>
      <c r="G656">
        <v>19</v>
      </c>
      <c r="H656">
        <v>55</v>
      </c>
      <c r="I656">
        <v>0</v>
      </c>
      <c r="J656">
        <v>0</v>
      </c>
    </row>
    <row r="657" spans="1:10" x14ac:dyDescent="0.25">
      <c r="A657">
        <v>71301551</v>
      </c>
      <c r="B657">
        <v>744</v>
      </c>
      <c r="C657" t="s">
        <v>157</v>
      </c>
      <c r="D657">
        <v>300</v>
      </c>
      <c r="E657">
        <v>1</v>
      </c>
      <c r="F657">
        <v>0</v>
      </c>
      <c r="G657">
        <v>0</v>
      </c>
      <c r="H657">
        <v>102</v>
      </c>
      <c r="I657">
        <v>0</v>
      </c>
      <c r="J657">
        <v>0</v>
      </c>
    </row>
    <row r="658" spans="1:10" x14ac:dyDescent="0.25">
      <c r="A658">
        <v>71301555</v>
      </c>
      <c r="B658">
        <v>619</v>
      </c>
      <c r="C658" t="s">
        <v>158</v>
      </c>
      <c r="D658">
        <v>300</v>
      </c>
      <c r="E658">
        <v>1</v>
      </c>
      <c r="F658">
        <v>0</v>
      </c>
      <c r="G658">
        <v>0</v>
      </c>
      <c r="H658">
        <v>90</v>
      </c>
      <c r="I658">
        <v>0</v>
      </c>
      <c r="J658">
        <v>0</v>
      </c>
    </row>
    <row r="659" spans="1:10" x14ac:dyDescent="0.25">
      <c r="A659">
        <v>71301559</v>
      </c>
      <c r="B659">
        <v>622</v>
      </c>
      <c r="C659" t="s">
        <v>92</v>
      </c>
      <c r="D659">
        <v>300</v>
      </c>
      <c r="E659">
        <v>1</v>
      </c>
      <c r="F659">
        <v>0</v>
      </c>
      <c r="G659">
        <v>20</v>
      </c>
      <c r="H659">
        <v>0</v>
      </c>
      <c r="I659">
        <v>0</v>
      </c>
      <c r="J659">
        <v>0</v>
      </c>
    </row>
    <row r="660" spans="1:10" x14ac:dyDescent="0.25">
      <c r="A660">
        <v>71301560</v>
      </c>
      <c r="B660">
        <v>623</v>
      </c>
      <c r="C660" t="s">
        <v>92</v>
      </c>
      <c r="D660">
        <v>300</v>
      </c>
      <c r="E660">
        <v>1</v>
      </c>
      <c r="F660">
        <v>0</v>
      </c>
      <c r="G660">
        <v>55</v>
      </c>
      <c r="H660">
        <v>0</v>
      </c>
      <c r="I660">
        <v>0</v>
      </c>
      <c r="J660">
        <v>0</v>
      </c>
    </row>
    <row r="661" spans="1:10" x14ac:dyDescent="0.25">
      <c r="A661">
        <v>71301561</v>
      </c>
      <c r="B661">
        <v>624</v>
      </c>
      <c r="C661" t="s">
        <v>92</v>
      </c>
      <c r="D661">
        <v>300</v>
      </c>
      <c r="E661">
        <v>1</v>
      </c>
      <c r="F661">
        <v>0</v>
      </c>
      <c r="G661">
        <v>10</v>
      </c>
      <c r="H661">
        <v>0</v>
      </c>
      <c r="I661">
        <v>0</v>
      </c>
      <c r="J661">
        <v>0</v>
      </c>
    </row>
    <row r="662" spans="1:10" x14ac:dyDescent="0.25">
      <c r="A662">
        <v>71301562</v>
      </c>
      <c r="B662">
        <v>625</v>
      </c>
      <c r="C662" t="s">
        <v>92</v>
      </c>
      <c r="D662">
        <v>300</v>
      </c>
      <c r="E662">
        <v>1</v>
      </c>
      <c r="F662">
        <v>0</v>
      </c>
      <c r="G662">
        <v>0</v>
      </c>
      <c r="H662">
        <v>310</v>
      </c>
      <c r="I662">
        <v>0</v>
      </c>
      <c r="J662">
        <v>0</v>
      </c>
    </row>
    <row r="663" spans="1:10" x14ac:dyDescent="0.25">
      <c r="A663">
        <v>71301570</v>
      </c>
      <c r="B663">
        <v>626</v>
      </c>
      <c r="C663" t="s">
        <v>92</v>
      </c>
      <c r="D663">
        <v>300</v>
      </c>
      <c r="E663">
        <v>1</v>
      </c>
      <c r="F663">
        <v>0</v>
      </c>
      <c r="G663">
        <v>0</v>
      </c>
      <c r="H663">
        <v>75</v>
      </c>
      <c r="I663">
        <v>0</v>
      </c>
      <c r="J663">
        <v>0</v>
      </c>
    </row>
    <row r="664" spans="1:10" x14ac:dyDescent="0.25">
      <c r="A664">
        <v>71301573</v>
      </c>
      <c r="B664">
        <v>639</v>
      </c>
      <c r="C664" t="s">
        <v>156</v>
      </c>
      <c r="D664">
        <v>300</v>
      </c>
      <c r="E664">
        <v>1</v>
      </c>
      <c r="F664">
        <v>0</v>
      </c>
      <c r="G664">
        <v>0</v>
      </c>
      <c r="H664">
        <v>5</v>
      </c>
      <c r="I664">
        <v>0</v>
      </c>
      <c r="J664">
        <v>0</v>
      </c>
    </row>
    <row r="665" spans="1:10" x14ac:dyDescent="0.25">
      <c r="A665">
        <v>71301578</v>
      </c>
      <c r="B665">
        <v>627</v>
      </c>
      <c r="C665" t="s">
        <v>92</v>
      </c>
      <c r="D665">
        <v>300</v>
      </c>
      <c r="E665">
        <v>1</v>
      </c>
      <c r="F665">
        <v>0</v>
      </c>
      <c r="G665">
        <v>0</v>
      </c>
      <c r="H665">
        <v>110</v>
      </c>
      <c r="I665">
        <v>0</v>
      </c>
      <c r="J665">
        <v>0</v>
      </c>
    </row>
    <row r="666" spans="1:10" x14ac:dyDescent="0.25">
      <c r="A666">
        <v>71301582</v>
      </c>
      <c r="B666">
        <v>640</v>
      </c>
      <c r="C666" t="s">
        <v>156</v>
      </c>
      <c r="D666">
        <v>300</v>
      </c>
      <c r="E666">
        <v>1</v>
      </c>
      <c r="F666">
        <v>0</v>
      </c>
      <c r="G666">
        <v>170</v>
      </c>
      <c r="H666">
        <v>0</v>
      </c>
      <c r="I666">
        <v>0</v>
      </c>
      <c r="J666">
        <v>0</v>
      </c>
    </row>
    <row r="667" spans="1:10" x14ac:dyDescent="0.25">
      <c r="A667">
        <v>71301583</v>
      </c>
      <c r="B667">
        <v>585</v>
      </c>
      <c r="C667" t="s">
        <v>119</v>
      </c>
      <c r="D667">
        <v>300</v>
      </c>
      <c r="E667">
        <v>1</v>
      </c>
      <c r="F667">
        <v>0</v>
      </c>
      <c r="G667">
        <v>80</v>
      </c>
      <c r="H667">
        <v>0</v>
      </c>
      <c r="I667">
        <v>0</v>
      </c>
      <c r="J667">
        <v>0</v>
      </c>
    </row>
    <row r="668" spans="1:10" x14ac:dyDescent="0.25">
      <c r="A668">
        <v>71301585</v>
      </c>
      <c r="B668">
        <v>1182</v>
      </c>
      <c r="C668" t="s">
        <v>156</v>
      </c>
      <c r="D668">
        <v>300</v>
      </c>
      <c r="E668">
        <v>1</v>
      </c>
      <c r="F668">
        <v>0</v>
      </c>
      <c r="G668">
        <v>200</v>
      </c>
      <c r="H668">
        <v>0</v>
      </c>
      <c r="I668">
        <v>0</v>
      </c>
      <c r="J668">
        <v>0</v>
      </c>
    </row>
    <row r="669" spans="1:10" x14ac:dyDescent="0.25">
      <c r="A669">
        <v>71301591</v>
      </c>
      <c r="B669">
        <v>645</v>
      </c>
      <c r="C669" t="s">
        <v>155</v>
      </c>
      <c r="D669">
        <v>300</v>
      </c>
      <c r="E669">
        <v>1</v>
      </c>
      <c r="F669">
        <v>0</v>
      </c>
      <c r="G669">
        <v>0</v>
      </c>
      <c r="H669">
        <v>110</v>
      </c>
      <c r="I669">
        <v>0</v>
      </c>
      <c r="J669">
        <v>0</v>
      </c>
    </row>
    <row r="670" spans="1:10" x14ac:dyDescent="0.25">
      <c r="A670">
        <v>71301603</v>
      </c>
      <c r="B670">
        <v>563</v>
      </c>
      <c r="C670" t="s">
        <v>105</v>
      </c>
      <c r="D670">
        <v>300</v>
      </c>
      <c r="E670">
        <v>1</v>
      </c>
      <c r="F670">
        <v>0</v>
      </c>
      <c r="G670">
        <v>0</v>
      </c>
      <c r="H670">
        <v>25</v>
      </c>
      <c r="I670">
        <v>0</v>
      </c>
      <c r="J670">
        <v>0</v>
      </c>
    </row>
    <row r="671" spans="1:10" x14ac:dyDescent="0.25">
      <c r="A671">
        <v>71301604</v>
      </c>
      <c r="B671">
        <v>646</v>
      </c>
      <c r="C671" t="s">
        <v>155</v>
      </c>
      <c r="D671">
        <v>300</v>
      </c>
      <c r="E671">
        <v>1</v>
      </c>
      <c r="F671">
        <v>0</v>
      </c>
      <c r="G671">
        <v>0</v>
      </c>
      <c r="H671">
        <v>55</v>
      </c>
      <c r="I671">
        <v>0</v>
      </c>
      <c r="J671">
        <v>0</v>
      </c>
    </row>
    <row r="672" spans="1:10" x14ac:dyDescent="0.25">
      <c r="A672">
        <v>71301609</v>
      </c>
      <c r="B672">
        <v>641</v>
      </c>
      <c r="C672" t="s">
        <v>156</v>
      </c>
      <c r="D672">
        <v>300</v>
      </c>
      <c r="E672">
        <v>1</v>
      </c>
      <c r="F672">
        <v>0</v>
      </c>
      <c r="G672">
        <v>120</v>
      </c>
      <c r="H672">
        <v>0</v>
      </c>
      <c r="I672">
        <v>0</v>
      </c>
      <c r="J672">
        <v>0</v>
      </c>
    </row>
    <row r="673" spans="1:10" x14ac:dyDescent="0.25">
      <c r="A673">
        <v>71301611</v>
      </c>
      <c r="B673">
        <v>586</v>
      </c>
      <c r="C673" t="s">
        <v>119</v>
      </c>
      <c r="D673">
        <v>300</v>
      </c>
      <c r="E673">
        <v>1</v>
      </c>
      <c r="F673">
        <v>0</v>
      </c>
      <c r="G673">
        <v>70</v>
      </c>
      <c r="H673">
        <v>0</v>
      </c>
      <c r="I673">
        <v>0</v>
      </c>
      <c r="J673">
        <v>0</v>
      </c>
    </row>
    <row r="674" spans="1:10" x14ac:dyDescent="0.25">
      <c r="A674">
        <v>71301615</v>
      </c>
      <c r="B674">
        <v>615</v>
      </c>
      <c r="C674" t="s">
        <v>120</v>
      </c>
      <c r="D674">
        <v>300</v>
      </c>
      <c r="E674">
        <v>1</v>
      </c>
      <c r="F674">
        <v>0</v>
      </c>
      <c r="G674">
        <v>85</v>
      </c>
      <c r="H674">
        <v>0</v>
      </c>
      <c r="I674">
        <v>0</v>
      </c>
      <c r="J674">
        <v>0</v>
      </c>
    </row>
    <row r="675" spans="1:10" x14ac:dyDescent="0.25">
      <c r="A675">
        <v>71301617</v>
      </c>
      <c r="B675">
        <v>647</v>
      </c>
      <c r="C675" t="s">
        <v>155</v>
      </c>
      <c r="D675">
        <v>300</v>
      </c>
      <c r="E675">
        <v>1</v>
      </c>
      <c r="F675">
        <v>0</v>
      </c>
      <c r="G675">
        <v>100</v>
      </c>
      <c r="H675">
        <v>0</v>
      </c>
      <c r="I675">
        <v>0</v>
      </c>
      <c r="J675">
        <v>0</v>
      </c>
    </row>
    <row r="676" spans="1:10" x14ac:dyDescent="0.25">
      <c r="A676">
        <v>71301618</v>
      </c>
      <c r="B676">
        <v>642</v>
      </c>
      <c r="C676" t="s">
        <v>156</v>
      </c>
      <c r="D676">
        <v>300</v>
      </c>
      <c r="E676">
        <v>1</v>
      </c>
      <c r="F676">
        <v>0</v>
      </c>
      <c r="G676">
        <v>0</v>
      </c>
      <c r="H676">
        <v>5</v>
      </c>
      <c r="I676">
        <v>0</v>
      </c>
      <c r="J676">
        <v>0</v>
      </c>
    </row>
    <row r="677" spans="1:10" x14ac:dyDescent="0.25">
      <c r="A677">
        <v>71301619</v>
      </c>
      <c r="B677">
        <v>587</v>
      </c>
      <c r="C677" t="s">
        <v>119</v>
      </c>
      <c r="D677">
        <v>300</v>
      </c>
      <c r="E677">
        <v>1</v>
      </c>
      <c r="F677">
        <v>0</v>
      </c>
      <c r="G677">
        <v>8</v>
      </c>
      <c r="H677">
        <v>0</v>
      </c>
      <c r="I677">
        <v>0</v>
      </c>
      <c r="J677">
        <v>0</v>
      </c>
    </row>
    <row r="678" spans="1:10" x14ac:dyDescent="0.25">
      <c r="A678">
        <v>71301624</v>
      </c>
      <c r="B678">
        <v>616</v>
      </c>
      <c r="C678" t="s">
        <v>120</v>
      </c>
      <c r="D678">
        <v>300</v>
      </c>
      <c r="E678">
        <v>1</v>
      </c>
      <c r="F678">
        <v>0</v>
      </c>
      <c r="G678">
        <v>45</v>
      </c>
      <c r="H678">
        <v>0</v>
      </c>
      <c r="I678">
        <v>0</v>
      </c>
      <c r="J678">
        <v>0</v>
      </c>
    </row>
    <row r="679" spans="1:10" x14ac:dyDescent="0.25">
      <c r="A679">
        <v>71301625</v>
      </c>
      <c r="B679">
        <v>628</v>
      </c>
      <c r="C679" t="s">
        <v>92</v>
      </c>
      <c r="D679">
        <v>300</v>
      </c>
      <c r="E679">
        <v>1</v>
      </c>
      <c r="F679">
        <v>0</v>
      </c>
      <c r="G679">
        <v>10</v>
      </c>
      <c r="H679">
        <v>0</v>
      </c>
      <c r="I679">
        <v>0</v>
      </c>
      <c r="J679">
        <v>0</v>
      </c>
    </row>
    <row r="680" spans="1:10" x14ac:dyDescent="0.25">
      <c r="A680">
        <v>71301627</v>
      </c>
      <c r="B680">
        <v>617</v>
      </c>
      <c r="C680" t="s">
        <v>120</v>
      </c>
      <c r="D680">
        <v>300</v>
      </c>
      <c r="E680">
        <v>1</v>
      </c>
      <c r="F680">
        <v>0</v>
      </c>
      <c r="G680">
        <v>15</v>
      </c>
      <c r="H680">
        <v>0</v>
      </c>
      <c r="I680">
        <v>0</v>
      </c>
      <c r="J680">
        <v>0</v>
      </c>
    </row>
    <row r="681" spans="1:10" x14ac:dyDescent="0.25">
      <c r="A681">
        <v>71301629</v>
      </c>
      <c r="B681">
        <v>618</v>
      </c>
      <c r="C681" t="s">
        <v>120</v>
      </c>
      <c r="D681">
        <v>300</v>
      </c>
      <c r="E681">
        <v>1</v>
      </c>
      <c r="F681">
        <v>0</v>
      </c>
      <c r="G681">
        <v>0</v>
      </c>
      <c r="H681">
        <v>20</v>
      </c>
      <c r="I681">
        <v>0</v>
      </c>
      <c r="J681">
        <v>0</v>
      </c>
    </row>
    <row r="682" spans="1:10" x14ac:dyDescent="0.25">
      <c r="A682">
        <v>71301631</v>
      </c>
      <c r="B682">
        <v>588</v>
      </c>
      <c r="C682" t="s">
        <v>119</v>
      </c>
      <c r="D682">
        <v>300</v>
      </c>
      <c r="E682">
        <v>1</v>
      </c>
      <c r="F682">
        <v>0</v>
      </c>
      <c r="G682">
        <v>10</v>
      </c>
      <c r="H682">
        <v>0</v>
      </c>
      <c r="I682">
        <v>0</v>
      </c>
      <c r="J682">
        <v>0</v>
      </c>
    </row>
    <row r="683" spans="1:10" x14ac:dyDescent="0.25">
      <c r="A683">
        <v>71302008</v>
      </c>
      <c r="B683">
        <v>1183</v>
      </c>
      <c r="C683" t="s">
        <v>159</v>
      </c>
      <c r="D683">
        <v>300</v>
      </c>
      <c r="E683">
        <v>1</v>
      </c>
      <c r="F683">
        <v>0</v>
      </c>
      <c r="G683">
        <v>0</v>
      </c>
      <c r="H683">
        <v>25</v>
      </c>
      <c r="I683">
        <v>0</v>
      </c>
      <c r="J683">
        <v>0</v>
      </c>
    </row>
    <row r="684" spans="1:10" x14ac:dyDescent="0.25">
      <c r="A684">
        <v>71302013</v>
      </c>
      <c r="B684">
        <v>698</v>
      </c>
      <c r="C684" t="s">
        <v>109</v>
      </c>
      <c r="D684">
        <v>300</v>
      </c>
      <c r="E684">
        <v>1</v>
      </c>
      <c r="F684">
        <v>0</v>
      </c>
      <c r="G684">
        <v>72</v>
      </c>
      <c r="H684">
        <v>0</v>
      </c>
      <c r="I684">
        <v>0</v>
      </c>
      <c r="J684">
        <v>0</v>
      </c>
    </row>
    <row r="685" spans="1:10" x14ac:dyDescent="0.25">
      <c r="A685">
        <v>71302015</v>
      </c>
      <c r="B685">
        <v>1184</v>
      </c>
      <c r="C685" t="s">
        <v>108</v>
      </c>
      <c r="D685">
        <v>300</v>
      </c>
      <c r="E685">
        <v>1</v>
      </c>
      <c r="F685">
        <v>0</v>
      </c>
      <c r="G685">
        <v>80</v>
      </c>
      <c r="H685">
        <v>10</v>
      </c>
      <c r="I685">
        <v>0</v>
      </c>
      <c r="J685">
        <v>0</v>
      </c>
    </row>
    <row r="686" spans="1:10" x14ac:dyDescent="0.25">
      <c r="A686">
        <v>71302016</v>
      </c>
      <c r="B686">
        <v>1185</v>
      </c>
      <c r="C686" t="s">
        <v>108</v>
      </c>
      <c r="D686">
        <v>300</v>
      </c>
      <c r="E686">
        <v>1</v>
      </c>
      <c r="F686">
        <v>0</v>
      </c>
      <c r="G686">
        <v>75</v>
      </c>
      <c r="H686">
        <v>0</v>
      </c>
      <c r="I686">
        <v>0</v>
      </c>
      <c r="J686">
        <v>0</v>
      </c>
    </row>
    <row r="687" spans="1:10" x14ac:dyDescent="0.25">
      <c r="A687">
        <v>71302018</v>
      </c>
      <c r="B687">
        <v>1186</v>
      </c>
      <c r="C687" t="s">
        <v>108</v>
      </c>
      <c r="D687">
        <v>300</v>
      </c>
      <c r="E687">
        <v>1</v>
      </c>
      <c r="F687">
        <v>0</v>
      </c>
      <c r="G687">
        <v>210</v>
      </c>
      <c r="H687">
        <v>0</v>
      </c>
      <c r="I687">
        <v>0</v>
      </c>
      <c r="J687">
        <v>0</v>
      </c>
    </row>
    <row r="688" spans="1:10" x14ac:dyDescent="0.25">
      <c r="A688">
        <v>71302021</v>
      </c>
      <c r="B688">
        <v>594</v>
      </c>
      <c r="C688" t="s">
        <v>44</v>
      </c>
      <c r="D688">
        <v>300</v>
      </c>
      <c r="E688">
        <v>1</v>
      </c>
      <c r="F688">
        <v>0</v>
      </c>
      <c r="G688">
        <v>0</v>
      </c>
      <c r="H688">
        <v>200</v>
      </c>
      <c r="I688">
        <v>0</v>
      </c>
      <c r="J688">
        <v>0</v>
      </c>
    </row>
    <row r="689" spans="1:10" x14ac:dyDescent="0.25">
      <c r="A689">
        <v>71302022</v>
      </c>
      <c r="B689">
        <v>595</v>
      </c>
      <c r="C689" t="s">
        <v>44</v>
      </c>
      <c r="D689">
        <v>300</v>
      </c>
      <c r="E689">
        <v>1</v>
      </c>
      <c r="F689">
        <v>0</v>
      </c>
      <c r="G689">
        <v>70</v>
      </c>
      <c r="H689">
        <v>5</v>
      </c>
      <c r="I689">
        <v>0</v>
      </c>
      <c r="J689">
        <v>0</v>
      </c>
    </row>
    <row r="690" spans="1:10" x14ac:dyDescent="0.25">
      <c r="A690">
        <v>71302023</v>
      </c>
      <c r="B690">
        <v>1205</v>
      </c>
      <c r="C690" t="s">
        <v>44</v>
      </c>
      <c r="D690">
        <v>300</v>
      </c>
      <c r="E690">
        <v>1</v>
      </c>
      <c r="F690">
        <v>0</v>
      </c>
      <c r="G690">
        <v>10</v>
      </c>
      <c r="H690">
        <v>0</v>
      </c>
      <c r="I690">
        <v>0</v>
      </c>
      <c r="J690">
        <v>0</v>
      </c>
    </row>
    <row r="691" spans="1:10" x14ac:dyDescent="0.25">
      <c r="A691">
        <v>71302024</v>
      </c>
      <c r="B691">
        <v>693</v>
      </c>
      <c r="C691" t="s">
        <v>160</v>
      </c>
      <c r="D691">
        <v>300</v>
      </c>
      <c r="E691">
        <v>1</v>
      </c>
      <c r="F691">
        <v>0</v>
      </c>
      <c r="G691">
        <v>0</v>
      </c>
      <c r="H691">
        <v>400</v>
      </c>
      <c r="I691">
        <v>0</v>
      </c>
      <c r="J691">
        <v>0</v>
      </c>
    </row>
    <row r="692" spans="1:10" x14ac:dyDescent="0.25">
      <c r="A692">
        <v>71302025</v>
      </c>
      <c r="B692">
        <v>694</v>
      </c>
      <c r="C692" t="s">
        <v>160</v>
      </c>
      <c r="D692">
        <v>300</v>
      </c>
      <c r="E692">
        <v>1</v>
      </c>
      <c r="F692">
        <v>0</v>
      </c>
      <c r="G692">
        <v>0</v>
      </c>
      <c r="H692">
        <v>210</v>
      </c>
      <c r="I692">
        <v>0</v>
      </c>
      <c r="J692">
        <v>0</v>
      </c>
    </row>
    <row r="693" spans="1:10" x14ac:dyDescent="0.25">
      <c r="A693">
        <v>71302032</v>
      </c>
      <c r="B693">
        <v>688</v>
      </c>
      <c r="C693" t="s">
        <v>161</v>
      </c>
      <c r="D693">
        <v>300</v>
      </c>
      <c r="E693">
        <v>1</v>
      </c>
      <c r="F693">
        <v>0</v>
      </c>
      <c r="G693">
        <v>392</v>
      </c>
      <c r="H693">
        <v>0</v>
      </c>
      <c r="I693">
        <v>0</v>
      </c>
      <c r="J693">
        <v>0</v>
      </c>
    </row>
    <row r="694" spans="1:10" x14ac:dyDescent="0.25">
      <c r="A694">
        <v>71302034</v>
      </c>
      <c r="B694">
        <v>689</v>
      </c>
      <c r="C694" t="s">
        <v>161</v>
      </c>
      <c r="D694">
        <v>300</v>
      </c>
      <c r="E694">
        <v>1</v>
      </c>
      <c r="F694">
        <v>0</v>
      </c>
      <c r="G694">
        <v>155</v>
      </c>
      <c r="H694">
        <v>0</v>
      </c>
      <c r="I694">
        <v>0</v>
      </c>
      <c r="J694">
        <v>0</v>
      </c>
    </row>
    <row r="695" spans="1:10" x14ac:dyDescent="0.25">
      <c r="A695">
        <v>71302035</v>
      </c>
      <c r="B695">
        <v>690</v>
      </c>
      <c r="C695" t="s">
        <v>161</v>
      </c>
      <c r="D695">
        <v>300</v>
      </c>
      <c r="E695">
        <v>1</v>
      </c>
      <c r="F695">
        <v>0</v>
      </c>
      <c r="G695">
        <v>62</v>
      </c>
      <c r="H695">
        <v>0</v>
      </c>
      <c r="I695">
        <v>0</v>
      </c>
      <c r="J695">
        <v>0</v>
      </c>
    </row>
    <row r="696" spans="1:10" x14ac:dyDescent="0.25">
      <c r="A696">
        <v>71302036</v>
      </c>
      <c r="B696">
        <v>691</v>
      </c>
      <c r="C696" t="s">
        <v>161</v>
      </c>
      <c r="D696">
        <v>300</v>
      </c>
      <c r="E696">
        <v>1</v>
      </c>
      <c r="F696">
        <v>0</v>
      </c>
      <c r="G696">
        <v>70</v>
      </c>
      <c r="H696">
        <v>0</v>
      </c>
      <c r="I696">
        <v>0</v>
      </c>
      <c r="J696">
        <v>0</v>
      </c>
    </row>
    <row r="697" spans="1:10" x14ac:dyDescent="0.25">
      <c r="A697">
        <v>71302042</v>
      </c>
      <c r="B697">
        <v>575</v>
      </c>
      <c r="C697" t="s">
        <v>162</v>
      </c>
      <c r="D697">
        <v>300</v>
      </c>
      <c r="E697">
        <v>1</v>
      </c>
      <c r="F697">
        <v>0</v>
      </c>
      <c r="G697">
        <v>185</v>
      </c>
      <c r="H697">
        <v>0</v>
      </c>
      <c r="I697">
        <v>0</v>
      </c>
      <c r="J697">
        <v>0</v>
      </c>
    </row>
    <row r="698" spans="1:10" x14ac:dyDescent="0.25">
      <c r="A698">
        <v>71302046</v>
      </c>
      <c r="B698">
        <v>576</v>
      </c>
      <c r="C698" t="s">
        <v>162</v>
      </c>
      <c r="D698">
        <v>300</v>
      </c>
      <c r="E698">
        <v>1</v>
      </c>
      <c r="F698">
        <v>0</v>
      </c>
      <c r="G698">
        <v>185</v>
      </c>
      <c r="H698">
        <v>0</v>
      </c>
      <c r="I698">
        <v>0</v>
      </c>
      <c r="J698">
        <v>0</v>
      </c>
    </row>
    <row r="699" spans="1:10" x14ac:dyDescent="0.25">
      <c r="A699">
        <v>71302065</v>
      </c>
      <c r="B699">
        <v>1188</v>
      </c>
      <c r="C699" t="s">
        <v>159</v>
      </c>
      <c r="D699">
        <v>300</v>
      </c>
      <c r="E699">
        <v>1</v>
      </c>
      <c r="F699">
        <v>0</v>
      </c>
      <c r="G699">
        <v>0</v>
      </c>
      <c r="H699">
        <v>100</v>
      </c>
      <c r="I699">
        <v>0</v>
      </c>
      <c r="J699">
        <v>0</v>
      </c>
    </row>
    <row r="700" spans="1:10" x14ac:dyDescent="0.25">
      <c r="A700">
        <v>71302066</v>
      </c>
      <c r="B700">
        <v>596</v>
      </c>
      <c r="C700" t="s">
        <v>44</v>
      </c>
      <c r="D700">
        <v>300</v>
      </c>
      <c r="E700">
        <v>1</v>
      </c>
      <c r="F700">
        <v>0</v>
      </c>
      <c r="G700">
        <v>250</v>
      </c>
      <c r="H700">
        <v>0</v>
      </c>
      <c r="I700">
        <v>0</v>
      </c>
      <c r="J700">
        <v>0</v>
      </c>
    </row>
    <row r="701" spans="1:10" x14ac:dyDescent="0.25">
      <c r="A701">
        <v>71302067</v>
      </c>
      <c r="B701">
        <v>577</v>
      </c>
      <c r="C701" t="s">
        <v>162</v>
      </c>
      <c r="D701">
        <v>300</v>
      </c>
      <c r="E701">
        <v>1</v>
      </c>
      <c r="F701">
        <v>0</v>
      </c>
      <c r="G701">
        <v>20</v>
      </c>
      <c r="H701">
        <v>0</v>
      </c>
      <c r="I701">
        <v>0</v>
      </c>
      <c r="J701">
        <v>0</v>
      </c>
    </row>
    <row r="702" spans="1:10" x14ac:dyDescent="0.25">
      <c r="A702">
        <v>71302078</v>
      </c>
      <c r="B702">
        <v>699</v>
      </c>
      <c r="C702" t="s">
        <v>109</v>
      </c>
      <c r="D702">
        <v>300</v>
      </c>
      <c r="E702">
        <v>1</v>
      </c>
      <c r="F702">
        <v>0</v>
      </c>
      <c r="G702">
        <v>120</v>
      </c>
      <c r="H702">
        <v>0</v>
      </c>
      <c r="I702">
        <v>0</v>
      </c>
      <c r="J702">
        <v>0</v>
      </c>
    </row>
    <row r="703" spans="1:10" x14ac:dyDescent="0.25">
      <c r="A703">
        <v>71302079</v>
      </c>
      <c r="B703">
        <v>700</v>
      </c>
      <c r="C703" t="s">
        <v>109</v>
      </c>
      <c r="D703">
        <v>300</v>
      </c>
      <c r="E703">
        <v>1</v>
      </c>
      <c r="F703">
        <v>0</v>
      </c>
      <c r="G703">
        <v>120</v>
      </c>
      <c r="H703">
        <v>0</v>
      </c>
      <c r="I703">
        <v>0</v>
      </c>
      <c r="J703">
        <v>0</v>
      </c>
    </row>
    <row r="704" spans="1:10" x14ac:dyDescent="0.25">
      <c r="A704">
        <v>71302080</v>
      </c>
      <c r="B704">
        <v>578</v>
      </c>
      <c r="C704" t="s">
        <v>162</v>
      </c>
      <c r="D704">
        <v>300</v>
      </c>
      <c r="E704">
        <v>1</v>
      </c>
      <c r="F704">
        <v>0</v>
      </c>
      <c r="G704">
        <v>35</v>
      </c>
      <c r="H704">
        <v>0</v>
      </c>
      <c r="I704">
        <v>0</v>
      </c>
      <c r="J704">
        <v>0</v>
      </c>
    </row>
    <row r="705" spans="1:10" x14ac:dyDescent="0.25">
      <c r="A705">
        <v>71302083</v>
      </c>
      <c r="B705">
        <v>569</v>
      </c>
      <c r="C705" t="s">
        <v>107</v>
      </c>
      <c r="D705">
        <v>300</v>
      </c>
      <c r="E705">
        <v>1</v>
      </c>
      <c r="F705">
        <v>0</v>
      </c>
      <c r="G705">
        <v>40</v>
      </c>
      <c r="H705">
        <v>10</v>
      </c>
      <c r="I705">
        <v>0</v>
      </c>
      <c r="J705">
        <v>0</v>
      </c>
    </row>
    <row r="706" spans="1:10" x14ac:dyDescent="0.25">
      <c r="A706">
        <v>71302084</v>
      </c>
      <c r="B706">
        <v>570</v>
      </c>
      <c r="C706" t="s">
        <v>107</v>
      </c>
      <c r="D706">
        <v>300</v>
      </c>
      <c r="E706">
        <v>1</v>
      </c>
      <c r="F706">
        <v>0</v>
      </c>
      <c r="G706">
        <v>80</v>
      </c>
      <c r="H706">
        <v>0</v>
      </c>
      <c r="I706">
        <v>0</v>
      </c>
      <c r="J706">
        <v>0</v>
      </c>
    </row>
    <row r="707" spans="1:10" x14ac:dyDescent="0.25">
      <c r="A707">
        <v>71302085</v>
      </c>
      <c r="B707">
        <v>579</v>
      </c>
      <c r="C707" t="s">
        <v>162</v>
      </c>
      <c r="D707">
        <v>300</v>
      </c>
      <c r="E707">
        <v>1</v>
      </c>
      <c r="F707">
        <v>0</v>
      </c>
      <c r="G707">
        <v>0</v>
      </c>
      <c r="H707">
        <v>10</v>
      </c>
      <c r="I707">
        <v>0</v>
      </c>
      <c r="J707">
        <v>0</v>
      </c>
    </row>
    <row r="708" spans="1:10" x14ac:dyDescent="0.25">
      <c r="A708">
        <v>71302090</v>
      </c>
      <c r="B708">
        <v>580</v>
      </c>
      <c r="C708" t="s">
        <v>162</v>
      </c>
      <c r="D708">
        <v>300</v>
      </c>
      <c r="E708">
        <v>1</v>
      </c>
      <c r="F708">
        <v>0</v>
      </c>
      <c r="G708">
        <v>0</v>
      </c>
      <c r="H708">
        <v>15</v>
      </c>
      <c r="I708">
        <v>0</v>
      </c>
      <c r="J708">
        <v>0</v>
      </c>
    </row>
    <row r="709" spans="1:10" x14ac:dyDescent="0.25">
      <c r="A709">
        <v>71302091</v>
      </c>
      <c r="B709">
        <v>1189</v>
      </c>
      <c r="C709" t="s">
        <v>159</v>
      </c>
      <c r="D709">
        <v>300</v>
      </c>
      <c r="E709">
        <v>1</v>
      </c>
      <c r="F709">
        <v>0</v>
      </c>
      <c r="G709">
        <v>0</v>
      </c>
      <c r="H709">
        <v>25</v>
      </c>
      <c r="I709">
        <v>0</v>
      </c>
      <c r="J709">
        <v>0</v>
      </c>
    </row>
    <row r="710" spans="1:10" x14ac:dyDescent="0.25">
      <c r="A710">
        <v>71302093</v>
      </c>
      <c r="B710">
        <v>2175</v>
      </c>
      <c r="C710" t="s">
        <v>44</v>
      </c>
      <c r="D710">
        <v>300</v>
      </c>
      <c r="E710">
        <v>1</v>
      </c>
      <c r="F710">
        <v>0</v>
      </c>
      <c r="G710">
        <v>13</v>
      </c>
      <c r="H710">
        <v>10</v>
      </c>
      <c r="I710">
        <v>0</v>
      </c>
      <c r="J710">
        <v>0</v>
      </c>
    </row>
    <row r="711" spans="1:10" x14ac:dyDescent="0.25">
      <c r="A711">
        <v>71302094</v>
      </c>
      <c r="B711">
        <v>701</v>
      </c>
      <c r="C711" t="s">
        <v>109</v>
      </c>
      <c r="D711">
        <v>300</v>
      </c>
      <c r="E711">
        <v>1</v>
      </c>
      <c r="F711">
        <v>0</v>
      </c>
      <c r="G711">
        <v>55</v>
      </c>
      <c r="H711">
        <v>0</v>
      </c>
      <c r="I711">
        <v>0</v>
      </c>
      <c r="J711">
        <v>0</v>
      </c>
    </row>
    <row r="712" spans="1:10" x14ac:dyDescent="0.25">
      <c r="A712">
        <v>71302096</v>
      </c>
      <c r="B712">
        <v>692</v>
      </c>
      <c r="C712" t="s">
        <v>161</v>
      </c>
      <c r="D712">
        <v>300</v>
      </c>
      <c r="E712">
        <v>1</v>
      </c>
      <c r="F712">
        <v>0</v>
      </c>
      <c r="G712">
        <v>310</v>
      </c>
      <c r="H712">
        <v>0</v>
      </c>
      <c r="I712">
        <v>0</v>
      </c>
      <c r="J712">
        <v>0</v>
      </c>
    </row>
    <row r="713" spans="1:10" x14ac:dyDescent="0.25">
      <c r="A713">
        <v>71302100</v>
      </c>
      <c r="B713">
        <v>571</v>
      </c>
      <c r="C713" t="s">
        <v>107</v>
      </c>
      <c r="D713">
        <v>300</v>
      </c>
      <c r="E713">
        <v>1</v>
      </c>
      <c r="F713">
        <v>0</v>
      </c>
      <c r="G713">
        <v>0</v>
      </c>
      <c r="H713">
        <v>25</v>
      </c>
      <c r="I713">
        <v>0</v>
      </c>
      <c r="J713">
        <v>0</v>
      </c>
    </row>
    <row r="714" spans="1:10" x14ac:dyDescent="0.25">
      <c r="A714">
        <v>71302101</v>
      </c>
      <c r="B714">
        <v>1190</v>
      </c>
      <c r="C714" t="s">
        <v>108</v>
      </c>
      <c r="D714">
        <v>300</v>
      </c>
      <c r="E714">
        <v>1</v>
      </c>
      <c r="F714">
        <v>0</v>
      </c>
      <c r="G714">
        <v>320</v>
      </c>
      <c r="H714">
        <v>0</v>
      </c>
      <c r="I714">
        <v>0</v>
      </c>
      <c r="J714">
        <v>0</v>
      </c>
    </row>
    <row r="715" spans="1:10" x14ac:dyDescent="0.25">
      <c r="A715">
        <v>71302102</v>
      </c>
      <c r="B715">
        <v>572</v>
      </c>
      <c r="C715" t="s">
        <v>107</v>
      </c>
      <c r="D715">
        <v>300</v>
      </c>
      <c r="E715">
        <v>1</v>
      </c>
      <c r="F715">
        <v>0</v>
      </c>
      <c r="G715">
        <v>5</v>
      </c>
      <c r="H715">
        <v>0</v>
      </c>
      <c r="I715">
        <v>0</v>
      </c>
      <c r="J715">
        <v>0</v>
      </c>
    </row>
    <row r="716" spans="1:10" x14ac:dyDescent="0.25">
      <c r="A716">
        <v>71302110</v>
      </c>
      <c r="B716">
        <v>573</v>
      </c>
      <c r="C716" t="s">
        <v>107</v>
      </c>
      <c r="D716">
        <v>300</v>
      </c>
      <c r="E716">
        <v>1</v>
      </c>
      <c r="F716">
        <v>0</v>
      </c>
      <c r="G716">
        <v>90</v>
      </c>
      <c r="H716">
        <v>0</v>
      </c>
      <c r="I716">
        <v>0</v>
      </c>
      <c r="J716">
        <v>0</v>
      </c>
    </row>
    <row r="717" spans="1:10" x14ac:dyDescent="0.25">
      <c r="A717">
        <v>71302113</v>
      </c>
      <c r="B717">
        <v>2176</v>
      </c>
      <c r="C717" t="s">
        <v>44</v>
      </c>
      <c r="D717">
        <v>300</v>
      </c>
      <c r="E717">
        <v>1</v>
      </c>
      <c r="F717">
        <v>0</v>
      </c>
      <c r="G717">
        <v>250</v>
      </c>
      <c r="H717">
        <v>0</v>
      </c>
      <c r="I717">
        <v>0</v>
      </c>
      <c r="J717">
        <v>0</v>
      </c>
    </row>
    <row r="718" spans="1:10" x14ac:dyDescent="0.25">
      <c r="A718">
        <v>71302202</v>
      </c>
      <c r="B718">
        <v>597</v>
      </c>
      <c r="C718" t="s">
        <v>44</v>
      </c>
      <c r="D718">
        <v>300</v>
      </c>
      <c r="E718">
        <v>1</v>
      </c>
      <c r="F718">
        <v>0</v>
      </c>
      <c r="G718">
        <v>70</v>
      </c>
      <c r="H718">
        <v>0</v>
      </c>
      <c r="I718">
        <v>0</v>
      </c>
      <c r="J718">
        <v>0</v>
      </c>
    </row>
    <row r="719" spans="1:10" x14ac:dyDescent="0.25">
      <c r="A719">
        <v>71302501</v>
      </c>
      <c r="B719">
        <v>1028</v>
      </c>
      <c r="C719" t="s">
        <v>121</v>
      </c>
      <c r="D719">
        <v>300</v>
      </c>
      <c r="E719">
        <v>1</v>
      </c>
      <c r="F719">
        <v>0</v>
      </c>
      <c r="G719">
        <v>0</v>
      </c>
      <c r="H719">
        <v>280</v>
      </c>
      <c r="I719">
        <v>0</v>
      </c>
      <c r="J719">
        <v>0</v>
      </c>
    </row>
    <row r="720" spans="1:10" x14ac:dyDescent="0.25">
      <c r="A720">
        <v>71302502</v>
      </c>
      <c r="B720">
        <v>1029</v>
      </c>
      <c r="C720" t="s">
        <v>121</v>
      </c>
      <c r="D720">
        <v>300</v>
      </c>
      <c r="E720">
        <v>1</v>
      </c>
      <c r="F720">
        <v>0</v>
      </c>
      <c r="G720">
        <v>0</v>
      </c>
      <c r="H720">
        <v>100</v>
      </c>
      <c r="I720">
        <v>0</v>
      </c>
      <c r="J720">
        <v>0</v>
      </c>
    </row>
    <row r="721" spans="1:10" x14ac:dyDescent="0.25">
      <c r="A721">
        <v>71302503</v>
      </c>
      <c r="B721">
        <v>1030</v>
      </c>
      <c r="C721" t="s">
        <v>121</v>
      </c>
      <c r="D721">
        <v>300</v>
      </c>
      <c r="E721">
        <v>1</v>
      </c>
      <c r="F721">
        <v>0</v>
      </c>
      <c r="G721">
        <v>0</v>
      </c>
      <c r="H721">
        <v>150</v>
      </c>
      <c r="I721">
        <v>0</v>
      </c>
      <c r="J721">
        <v>0</v>
      </c>
    </row>
    <row r="722" spans="1:10" x14ac:dyDescent="0.25">
      <c r="A722">
        <v>71302504</v>
      </c>
      <c r="B722">
        <v>1031</v>
      </c>
      <c r="C722" t="s">
        <v>121</v>
      </c>
      <c r="D722">
        <v>300</v>
      </c>
      <c r="E722">
        <v>1</v>
      </c>
      <c r="F722">
        <v>0</v>
      </c>
      <c r="G722">
        <v>0</v>
      </c>
      <c r="H722">
        <v>85</v>
      </c>
      <c r="I722">
        <v>0</v>
      </c>
      <c r="J722">
        <v>0</v>
      </c>
    </row>
    <row r="723" spans="1:10" x14ac:dyDescent="0.25">
      <c r="A723">
        <v>71302505</v>
      </c>
      <c r="B723">
        <v>1032</v>
      </c>
      <c r="C723" t="s">
        <v>121</v>
      </c>
      <c r="D723">
        <v>300</v>
      </c>
      <c r="E723">
        <v>1</v>
      </c>
      <c r="F723">
        <v>0</v>
      </c>
      <c r="G723">
        <v>0</v>
      </c>
      <c r="H723">
        <v>170</v>
      </c>
      <c r="I723">
        <v>0</v>
      </c>
      <c r="J723">
        <v>0</v>
      </c>
    </row>
    <row r="724" spans="1:10" x14ac:dyDescent="0.25">
      <c r="A724">
        <v>71302508</v>
      </c>
      <c r="B724">
        <v>1033</v>
      </c>
      <c r="C724" t="s">
        <v>121</v>
      </c>
      <c r="D724">
        <v>300</v>
      </c>
      <c r="E724">
        <v>1</v>
      </c>
      <c r="F724">
        <v>0</v>
      </c>
      <c r="G724">
        <v>0</v>
      </c>
      <c r="H724">
        <v>180</v>
      </c>
      <c r="I724">
        <v>0</v>
      </c>
      <c r="J724">
        <v>0</v>
      </c>
    </row>
    <row r="725" spans="1:10" x14ac:dyDescent="0.25">
      <c r="A725">
        <v>71302523</v>
      </c>
      <c r="B725">
        <v>1034</v>
      </c>
      <c r="C725" t="s">
        <v>121</v>
      </c>
      <c r="D725">
        <v>300</v>
      </c>
      <c r="E725">
        <v>1</v>
      </c>
      <c r="F725">
        <v>0</v>
      </c>
      <c r="G725">
        <v>75</v>
      </c>
      <c r="H725">
        <v>270</v>
      </c>
      <c r="I725">
        <v>0</v>
      </c>
      <c r="J725">
        <v>0</v>
      </c>
    </row>
    <row r="726" spans="1:10" x14ac:dyDescent="0.25">
      <c r="A726">
        <v>71302526</v>
      </c>
      <c r="B726">
        <v>1035</v>
      </c>
      <c r="C726" t="s">
        <v>121</v>
      </c>
      <c r="D726">
        <v>300</v>
      </c>
      <c r="E726">
        <v>1</v>
      </c>
      <c r="F726">
        <v>0</v>
      </c>
      <c r="G726">
        <v>0</v>
      </c>
      <c r="H726">
        <v>70</v>
      </c>
      <c r="I726">
        <v>0</v>
      </c>
      <c r="J726">
        <v>0</v>
      </c>
    </row>
    <row r="727" spans="1:10" x14ac:dyDescent="0.25">
      <c r="A727">
        <v>71302527</v>
      </c>
      <c r="B727">
        <v>1036</v>
      </c>
      <c r="C727" t="s">
        <v>121</v>
      </c>
      <c r="D727">
        <v>300</v>
      </c>
      <c r="E727">
        <v>1</v>
      </c>
      <c r="F727">
        <v>0</v>
      </c>
      <c r="G727">
        <v>130</v>
      </c>
      <c r="H727">
        <v>10</v>
      </c>
      <c r="I727">
        <v>0</v>
      </c>
      <c r="J727">
        <v>0</v>
      </c>
    </row>
    <row r="728" spans="1:10" x14ac:dyDescent="0.25">
      <c r="A728">
        <v>71302529</v>
      </c>
      <c r="B728">
        <v>1037</v>
      </c>
      <c r="C728" t="s">
        <v>121</v>
      </c>
      <c r="D728">
        <v>300</v>
      </c>
      <c r="E728">
        <v>1</v>
      </c>
      <c r="F728">
        <v>0</v>
      </c>
      <c r="G728">
        <v>0</v>
      </c>
      <c r="H728">
        <v>280</v>
      </c>
      <c r="I728">
        <v>0</v>
      </c>
      <c r="J728">
        <v>0</v>
      </c>
    </row>
    <row r="729" spans="1:10" x14ac:dyDescent="0.25">
      <c r="A729">
        <v>71302530</v>
      </c>
      <c r="B729">
        <v>1038</v>
      </c>
      <c r="C729" t="s">
        <v>121</v>
      </c>
      <c r="D729">
        <v>300</v>
      </c>
      <c r="E729">
        <v>1</v>
      </c>
      <c r="F729">
        <v>0</v>
      </c>
      <c r="G729">
        <v>300</v>
      </c>
      <c r="H729">
        <v>0</v>
      </c>
      <c r="I729">
        <v>0</v>
      </c>
      <c r="J729">
        <v>0</v>
      </c>
    </row>
    <row r="730" spans="1:10" x14ac:dyDescent="0.25">
      <c r="A730">
        <v>71302535</v>
      </c>
      <c r="B730">
        <v>1039</v>
      </c>
      <c r="C730" t="s">
        <v>121</v>
      </c>
      <c r="D730">
        <v>300</v>
      </c>
      <c r="E730">
        <v>1</v>
      </c>
      <c r="F730">
        <v>0</v>
      </c>
      <c r="G730">
        <v>0</v>
      </c>
      <c r="H730">
        <v>22</v>
      </c>
      <c r="I730">
        <v>0</v>
      </c>
      <c r="J730">
        <v>0</v>
      </c>
    </row>
    <row r="731" spans="1:10" x14ac:dyDescent="0.25">
      <c r="A731">
        <v>71302539</v>
      </c>
      <c r="B731">
        <v>1040</v>
      </c>
      <c r="C731" t="s">
        <v>121</v>
      </c>
      <c r="D731">
        <v>300</v>
      </c>
      <c r="E731">
        <v>1</v>
      </c>
      <c r="F731">
        <v>0</v>
      </c>
      <c r="G731">
        <v>200</v>
      </c>
      <c r="H731">
        <v>0</v>
      </c>
      <c r="I731">
        <v>0</v>
      </c>
      <c r="J731">
        <v>0</v>
      </c>
    </row>
    <row r="732" spans="1:10" x14ac:dyDescent="0.25">
      <c r="A732">
        <v>71302541</v>
      </c>
      <c r="B732">
        <v>846</v>
      </c>
      <c r="C732" t="s">
        <v>70</v>
      </c>
      <c r="D732">
        <v>300</v>
      </c>
      <c r="E732">
        <v>1</v>
      </c>
      <c r="F732">
        <v>0</v>
      </c>
      <c r="G732">
        <v>180</v>
      </c>
      <c r="H732">
        <v>60</v>
      </c>
      <c r="I732">
        <v>0</v>
      </c>
      <c r="J732">
        <v>0</v>
      </c>
    </row>
    <row r="733" spans="1:10" x14ac:dyDescent="0.25">
      <c r="A733">
        <v>71302546</v>
      </c>
      <c r="B733">
        <v>847</v>
      </c>
      <c r="C733" t="s">
        <v>70</v>
      </c>
      <c r="D733">
        <v>300</v>
      </c>
      <c r="E733">
        <v>1</v>
      </c>
      <c r="F733">
        <v>0</v>
      </c>
      <c r="G733">
        <v>0</v>
      </c>
      <c r="H733">
        <v>170</v>
      </c>
      <c r="I733">
        <v>0</v>
      </c>
      <c r="J733">
        <v>0</v>
      </c>
    </row>
    <row r="734" spans="1:10" x14ac:dyDescent="0.25">
      <c r="A734">
        <v>71302550</v>
      </c>
      <c r="B734">
        <v>769</v>
      </c>
      <c r="C734" t="s">
        <v>71</v>
      </c>
      <c r="D734">
        <v>300</v>
      </c>
      <c r="E734">
        <v>1</v>
      </c>
      <c r="F734">
        <v>0</v>
      </c>
      <c r="G734">
        <v>0</v>
      </c>
      <c r="H734">
        <v>270</v>
      </c>
      <c r="I734">
        <v>0</v>
      </c>
      <c r="J734">
        <v>0</v>
      </c>
    </row>
    <row r="735" spans="1:10" x14ac:dyDescent="0.25">
      <c r="A735">
        <v>71302553</v>
      </c>
      <c r="B735">
        <v>770</v>
      </c>
      <c r="C735" t="s">
        <v>71</v>
      </c>
      <c r="D735">
        <v>300</v>
      </c>
      <c r="E735">
        <v>1</v>
      </c>
      <c r="F735">
        <v>0</v>
      </c>
      <c r="G735">
        <v>0</v>
      </c>
      <c r="H735">
        <v>530</v>
      </c>
      <c r="I735">
        <v>0</v>
      </c>
      <c r="J735">
        <v>0</v>
      </c>
    </row>
    <row r="736" spans="1:10" x14ac:dyDescent="0.25">
      <c r="A736">
        <v>71302554</v>
      </c>
      <c r="B736">
        <v>771</v>
      </c>
      <c r="C736" t="s">
        <v>71</v>
      </c>
      <c r="D736">
        <v>300</v>
      </c>
      <c r="E736">
        <v>1</v>
      </c>
      <c r="F736">
        <v>0</v>
      </c>
      <c r="G736">
        <v>0</v>
      </c>
      <c r="H736">
        <v>270</v>
      </c>
      <c r="I736">
        <v>0</v>
      </c>
      <c r="J736">
        <v>0</v>
      </c>
    </row>
    <row r="737" spans="1:10" x14ac:dyDescent="0.25">
      <c r="A737">
        <v>71302555</v>
      </c>
      <c r="B737">
        <v>772</v>
      </c>
      <c r="C737" t="s">
        <v>71</v>
      </c>
      <c r="D737">
        <v>300</v>
      </c>
      <c r="E737">
        <v>1</v>
      </c>
      <c r="F737">
        <v>0</v>
      </c>
      <c r="G737">
        <v>150</v>
      </c>
      <c r="H737">
        <v>0</v>
      </c>
      <c r="I737">
        <v>0</v>
      </c>
      <c r="J737">
        <v>0</v>
      </c>
    </row>
    <row r="738" spans="1:10" x14ac:dyDescent="0.25">
      <c r="A738">
        <v>71302558</v>
      </c>
      <c r="B738">
        <v>773</v>
      </c>
      <c r="C738" t="s">
        <v>71</v>
      </c>
      <c r="D738">
        <v>300</v>
      </c>
      <c r="E738">
        <v>1</v>
      </c>
      <c r="F738">
        <v>0</v>
      </c>
      <c r="G738">
        <v>74</v>
      </c>
      <c r="H738">
        <v>0</v>
      </c>
      <c r="I738">
        <v>0</v>
      </c>
      <c r="J738">
        <v>0</v>
      </c>
    </row>
    <row r="739" spans="1:10" x14ac:dyDescent="0.25">
      <c r="A739">
        <v>71302560</v>
      </c>
      <c r="B739">
        <v>774</v>
      </c>
      <c r="C739" t="s">
        <v>71</v>
      </c>
      <c r="D739">
        <v>300</v>
      </c>
      <c r="E739">
        <v>1</v>
      </c>
      <c r="F739">
        <v>0</v>
      </c>
      <c r="G739">
        <v>0</v>
      </c>
      <c r="H739">
        <v>340</v>
      </c>
      <c r="I739">
        <v>0</v>
      </c>
      <c r="J739">
        <v>0</v>
      </c>
    </row>
    <row r="740" spans="1:10" x14ac:dyDescent="0.25">
      <c r="A740">
        <v>71302561</v>
      </c>
      <c r="B740">
        <v>775</v>
      </c>
      <c r="C740" t="s">
        <v>71</v>
      </c>
      <c r="D740">
        <v>300</v>
      </c>
      <c r="E740">
        <v>1</v>
      </c>
      <c r="F740">
        <v>0</v>
      </c>
      <c r="G740">
        <v>0</v>
      </c>
      <c r="H740">
        <v>40</v>
      </c>
      <c r="I740">
        <v>0</v>
      </c>
      <c r="J740">
        <v>0</v>
      </c>
    </row>
    <row r="741" spans="1:10" x14ac:dyDescent="0.25">
      <c r="A741">
        <v>71302564</v>
      </c>
      <c r="B741">
        <v>776</v>
      </c>
      <c r="C741" t="s">
        <v>71</v>
      </c>
      <c r="D741">
        <v>300</v>
      </c>
      <c r="E741">
        <v>1</v>
      </c>
      <c r="F741">
        <v>0</v>
      </c>
      <c r="G741">
        <v>0</v>
      </c>
      <c r="H741">
        <v>230</v>
      </c>
      <c r="I741">
        <v>0</v>
      </c>
      <c r="J741">
        <v>0</v>
      </c>
    </row>
    <row r="742" spans="1:10" x14ac:dyDescent="0.25">
      <c r="A742">
        <v>71302569</v>
      </c>
      <c r="B742">
        <v>1206</v>
      </c>
      <c r="C742" t="s">
        <v>71</v>
      </c>
      <c r="D742">
        <v>300</v>
      </c>
      <c r="E742">
        <v>1</v>
      </c>
      <c r="F742">
        <v>0</v>
      </c>
      <c r="G742">
        <v>0</v>
      </c>
      <c r="H742">
        <v>200</v>
      </c>
      <c r="I742">
        <v>0</v>
      </c>
      <c r="J742">
        <v>0</v>
      </c>
    </row>
    <row r="743" spans="1:10" x14ac:dyDescent="0.25">
      <c r="A743">
        <v>71302570</v>
      </c>
      <c r="B743">
        <v>532</v>
      </c>
      <c r="C743" t="s">
        <v>67</v>
      </c>
      <c r="D743">
        <v>300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71302577</v>
      </c>
      <c r="B744">
        <v>777</v>
      </c>
      <c r="C744" t="s">
        <v>71</v>
      </c>
      <c r="D744">
        <v>300</v>
      </c>
      <c r="E744">
        <v>1</v>
      </c>
      <c r="F744">
        <v>0</v>
      </c>
      <c r="G744">
        <v>0</v>
      </c>
      <c r="H744">
        <v>0</v>
      </c>
      <c r="I744">
        <v>190</v>
      </c>
      <c r="J744">
        <v>0</v>
      </c>
    </row>
    <row r="745" spans="1:10" x14ac:dyDescent="0.25">
      <c r="A745">
        <v>71302581</v>
      </c>
      <c r="B745">
        <v>817</v>
      </c>
      <c r="C745" t="s">
        <v>128</v>
      </c>
      <c r="D745">
        <v>300</v>
      </c>
      <c r="E745">
        <v>1</v>
      </c>
      <c r="F745">
        <v>0</v>
      </c>
      <c r="G745">
        <v>40</v>
      </c>
      <c r="H745">
        <v>46</v>
      </c>
      <c r="I745">
        <v>0</v>
      </c>
      <c r="J745">
        <v>0</v>
      </c>
    </row>
    <row r="746" spans="1:10" x14ac:dyDescent="0.25">
      <c r="A746">
        <v>71302592</v>
      </c>
      <c r="B746">
        <v>1041</v>
      </c>
      <c r="C746" t="s">
        <v>121</v>
      </c>
      <c r="D746">
        <v>300</v>
      </c>
      <c r="E746">
        <v>1</v>
      </c>
      <c r="F746">
        <v>0</v>
      </c>
      <c r="G746">
        <v>0</v>
      </c>
      <c r="H746">
        <v>260</v>
      </c>
      <c r="I746">
        <v>0</v>
      </c>
      <c r="J746">
        <v>0</v>
      </c>
    </row>
    <row r="747" spans="1:10" x14ac:dyDescent="0.25">
      <c r="A747">
        <v>71302594</v>
      </c>
      <c r="B747">
        <v>967</v>
      </c>
      <c r="C747" t="s">
        <v>69</v>
      </c>
      <c r="D747">
        <v>300</v>
      </c>
      <c r="E747">
        <v>1</v>
      </c>
      <c r="F747">
        <v>0</v>
      </c>
      <c r="G747">
        <v>75</v>
      </c>
      <c r="H747">
        <v>0</v>
      </c>
      <c r="I747">
        <v>0</v>
      </c>
      <c r="J747">
        <v>0</v>
      </c>
    </row>
    <row r="748" spans="1:10" x14ac:dyDescent="0.25">
      <c r="A748">
        <v>71302598</v>
      </c>
      <c r="B748">
        <v>1207</v>
      </c>
      <c r="C748" t="s">
        <v>69</v>
      </c>
      <c r="D748">
        <v>300</v>
      </c>
      <c r="E748">
        <v>1</v>
      </c>
      <c r="F748">
        <v>0</v>
      </c>
      <c r="G748">
        <v>100</v>
      </c>
      <c r="H748">
        <v>0</v>
      </c>
      <c r="I748">
        <v>0</v>
      </c>
      <c r="J748">
        <v>0</v>
      </c>
    </row>
    <row r="749" spans="1:10" x14ac:dyDescent="0.25">
      <c r="A749">
        <v>71302602</v>
      </c>
      <c r="B749">
        <v>968</v>
      </c>
      <c r="C749" t="s">
        <v>69</v>
      </c>
      <c r="D749">
        <v>300</v>
      </c>
      <c r="E749">
        <v>1</v>
      </c>
      <c r="F749">
        <v>0</v>
      </c>
      <c r="G749">
        <v>45</v>
      </c>
      <c r="H749">
        <v>145</v>
      </c>
      <c r="I749">
        <v>0</v>
      </c>
      <c r="J749">
        <v>0</v>
      </c>
    </row>
    <row r="750" spans="1:10" x14ac:dyDescent="0.25">
      <c r="A750">
        <v>71302604</v>
      </c>
      <c r="B750">
        <v>969</v>
      </c>
      <c r="C750" t="s">
        <v>69</v>
      </c>
      <c r="D750">
        <v>300</v>
      </c>
      <c r="E750">
        <v>1</v>
      </c>
      <c r="F750">
        <v>0</v>
      </c>
      <c r="G750">
        <v>180</v>
      </c>
      <c r="H750">
        <v>250</v>
      </c>
      <c r="I750">
        <v>0</v>
      </c>
      <c r="J750">
        <v>0</v>
      </c>
    </row>
    <row r="751" spans="1:10" x14ac:dyDescent="0.25">
      <c r="A751">
        <v>71302606</v>
      </c>
      <c r="B751">
        <v>970</v>
      </c>
      <c r="C751" t="s">
        <v>69</v>
      </c>
      <c r="D751">
        <v>300</v>
      </c>
      <c r="E751">
        <v>1</v>
      </c>
      <c r="F751">
        <v>0</v>
      </c>
      <c r="G751">
        <v>0</v>
      </c>
      <c r="H751">
        <v>250</v>
      </c>
      <c r="I751">
        <v>0</v>
      </c>
      <c r="J751">
        <v>0</v>
      </c>
    </row>
    <row r="752" spans="1:10" x14ac:dyDescent="0.25">
      <c r="A752">
        <v>71302609</v>
      </c>
      <c r="B752">
        <v>971</v>
      </c>
      <c r="C752" t="s">
        <v>69</v>
      </c>
      <c r="D752">
        <v>300</v>
      </c>
      <c r="E752">
        <v>1</v>
      </c>
      <c r="F752">
        <v>0</v>
      </c>
      <c r="G752">
        <v>0</v>
      </c>
      <c r="H752">
        <v>150</v>
      </c>
      <c r="I752">
        <v>0</v>
      </c>
      <c r="J752">
        <v>0</v>
      </c>
    </row>
    <row r="753" spans="1:10" x14ac:dyDescent="0.25">
      <c r="A753">
        <v>71302613</v>
      </c>
      <c r="B753">
        <v>972</v>
      </c>
      <c r="C753" t="s">
        <v>69</v>
      </c>
      <c r="D753">
        <v>300</v>
      </c>
      <c r="E753">
        <v>1</v>
      </c>
      <c r="F753">
        <v>0</v>
      </c>
      <c r="G753">
        <v>0</v>
      </c>
      <c r="H753">
        <v>265</v>
      </c>
      <c r="I753">
        <v>0</v>
      </c>
      <c r="J753">
        <v>0</v>
      </c>
    </row>
    <row r="754" spans="1:10" x14ac:dyDescent="0.25">
      <c r="A754">
        <v>71302616</v>
      </c>
      <c r="B754">
        <v>973</v>
      </c>
      <c r="C754" t="s">
        <v>69</v>
      </c>
      <c r="D754">
        <v>300</v>
      </c>
      <c r="E754">
        <v>1</v>
      </c>
      <c r="F754">
        <v>0</v>
      </c>
      <c r="G754">
        <v>115</v>
      </c>
      <c r="H754">
        <v>0</v>
      </c>
      <c r="I754">
        <v>0</v>
      </c>
      <c r="J754">
        <v>0</v>
      </c>
    </row>
    <row r="755" spans="1:10" x14ac:dyDescent="0.25">
      <c r="A755">
        <v>71302617</v>
      </c>
      <c r="B755">
        <v>974</v>
      </c>
      <c r="C755" t="s">
        <v>69</v>
      </c>
      <c r="D755">
        <v>300</v>
      </c>
      <c r="E755">
        <v>1</v>
      </c>
      <c r="F755">
        <v>12</v>
      </c>
      <c r="G755">
        <v>32</v>
      </c>
      <c r="H755">
        <v>0</v>
      </c>
      <c r="I755">
        <v>0</v>
      </c>
      <c r="J755">
        <v>0</v>
      </c>
    </row>
    <row r="756" spans="1:10" x14ac:dyDescent="0.25">
      <c r="A756">
        <v>71302619</v>
      </c>
      <c r="B756">
        <v>1042</v>
      </c>
      <c r="C756" t="s">
        <v>121</v>
      </c>
      <c r="D756">
        <v>300</v>
      </c>
      <c r="E756">
        <v>1</v>
      </c>
      <c r="F756">
        <v>0</v>
      </c>
      <c r="G756">
        <v>0</v>
      </c>
      <c r="H756">
        <v>70</v>
      </c>
      <c r="I756">
        <v>0</v>
      </c>
      <c r="J756">
        <v>0</v>
      </c>
    </row>
    <row r="757" spans="1:10" x14ac:dyDescent="0.25">
      <c r="A757">
        <v>71302638</v>
      </c>
      <c r="B757">
        <v>1208</v>
      </c>
      <c r="C757" t="s">
        <v>72</v>
      </c>
      <c r="D757">
        <v>300</v>
      </c>
      <c r="E757">
        <v>1</v>
      </c>
      <c r="F757">
        <v>0</v>
      </c>
      <c r="G757">
        <v>0</v>
      </c>
      <c r="H757">
        <v>50</v>
      </c>
      <c r="I757">
        <v>0</v>
      </c>
      <c r="J757">
        <v>0</v>
      </c>
    </row>
    <row r="758" spans="1:10" x14ac:dyDescent="0.25">
      <c r="A758">
        <v>71302643</v>
      </c>
      <c r="B758">
        <v>842</v>
      </c>
      <c r="C758" t="s">
        <v>72</v>
      </c>
      <c r="D758">
        <v>300</v>
      </c>
      <c r="E758">
        <v>1</v>
      </c>
      <c r="F758">
        <v>0</v>
      </c>
      <c r="G758">
        <v>0</v>
      </c>
      <c r="H758">
        <v>6</v>
      </c>
      <c r="I758">
        <v>0</v>
      </c>
      <c r="J758">
        <v>0</v>
      </c>
    </row>
    <row r="759" spans="1:10" x14ac:dyDescent="0.25">
      <c r="A759">
        <v>71302655</v>
      </c>
      <c r="B759">
        <v>824</v>
      </c>
      <c r="C759" t="s">
        <v>122</v>
      </c>
      <c r="D759">
        <v>300</v>
      </c>
      <c r="E759">
        <v>1</v>
      </c>
      <c r="F759">
        <v>0</v>
      </c>
      <c r="G759">
        <v>34</v>
      </c>
      <c r="H759">
        <v>350</v>
      </c>
      <c r="I759">
        <v>0</v>
      </c>
      <c r="J759">
        <v>0</v>
      </c>
    </row>
    <row r="760" spans="1:10" x14ac:dyDescent="0.25">
      <c r="A760">
        <v>71302659</v>
      </c>
      <c r="B760">
        <v>747</v>
      </c>
      <c r="C760" t="s">
        <v>76</v>
      </c>
      <c r="D760">
        <v>300</v>
      </c>
      <c r="E760">
        <v>1</v>
      </c>
      <c r="F760">
        <v>0</v>
      </c>
      <c r="G760">
        <v>150</v>
      </c>
      <c r="H760">
        <v>0</v>
      </c>
      <c r="I760">
        <v>0</v>
      </c>
      <c r="J760">
        <v>0</v>
      </c>
    </row>
    <row r="761" spans="1:10" x14ac:dyDescent="0.25">
      <c r="A761">
        <v>71302660</v>
      </c>
      <c r="B761">
        <v>748</v>
      </c>
      <c r="C761" t="s">
        <v>76</v>
      </c>
      <c r="D761">
        <v>300</v>
      </c>
      <c r="E761">
        <v>1</v>
      </c>
      <c r="F761">
        <v>0</v>
      </c>
      <c r="G761">
        <v>0</v>
      </c>
      <c r="H761">
        <v>60</v>
      </c>
      <c r="I761">
        <v>0</v>
      </c>
      <c r="J761">
        <v>0</v>
      </c>
    </row>
    <row r="762" spans="1:10" x14ac:dyDescent="0.25">
      <c r="A762">
        <v>71302665</v>
      </c>
      <c r="B762">
        <v>749</v>
      </c>
      <c r="C762" t="s">
        <v>76</v>
      </c>
      <c r="D762">
        <v>300</v>
      </c>
      <c r="E762">
        <v>1</v>
      </c>
      <c r="F762">
        <v>0</v>
      </c>
      <c r="G762">
        <v>60</v>
      </c>
      <c r="H762">
        <v>0</v>
      </c>
      <c r="I762">
        <v>0</v>
      </c>
      <c r="J762">
        <v>0</v>
      </c>
    </row>
    <row r="763" spans="1:10" x14ac:dyDescent="0.25">
      <c r="A763">
        <v>71302666</v>
      </c>
      <c r="B763">
        <v>750</v>
      </c>
      <c r="C763" t="s">
        <v>76</v>
      </c>
      <c r="D763">
        <v>300</v>
      </c>
      <c r="E763">
        <v>1</v>
      </c>
      <c r="F763">
        <v>0</v>
      </c>
      <c r="G763">
        <v>100</v>
      </c>
      <c r="H763">
        <v>0</v>
      </c>
      <c r="I763">
        <v>0</v>
      </c>
      <c r="J763">
        <v>0</v>
      </c>
    </row>
    <row r="764" spans="1:10" x14ac:dyDescent="0.25">
      <c r="A764">
        <v>71302667</v>
      </c>
      <c r="B764">
        <v>751</v>
      </c>
      <c r="C764" t="s">
        <v>76</v>
      </c>
      <c r="D764">
        <v>300</v>
      </c>
      <c r="E764">
        <v>1</v>
      </c>
      <c r="F764">
        <v>0</v>
      </c>
      <c r="G764">
        <v>162</v>
      </c>
      <c r="H764">
        <v>0</v>
      </c>
      <c r="I764">
        <v>0</v>
      </c>
      <c r="J764">
        <v>0</v>
      </c>
    </row>
    <row r="765" spans="1:10" x14ac:dyDescent="0.25">
      <c r="A765">
        <v>71302669</v>
      </c>
      <c r="B765">
        <v>752</v>
      </c>
      <c r="C765" t="s">
        <v>76</v>
      </c>
      <c r="D765">
        <v>300</v>
      </c>
      <c r="E765">
        <v>1</v>
      </c>
      <c r="F765">
        <v>0</v>
      </c>
      <c r="G765">
        <v>0</v>
      </c>
      <c r="H765">
        <v>170</v>
      </c>
      <c r="I765">
        <v>0</v>
      </c>
      <c r="J765">
        <v>0</v>
      </c>
    </row>
    <row r="766" spans="1:10" x14ac:dyDescent="0.25">
      <c r="A766">
        <v>71302671</v>
      </c>
      <c r="B766">
        <v>753</v>
      </c>
      <c r="C766" t="s">
        <v>76</v>
      </c>
      <c r="D766">
        <v>300</v>
      </c>
      <c r="E766">
        <v>1</v>
      </c>
      <c r="F766">
        <v>0</v>
      </c>
      <c r="G766">
        <v>0</v>
      </c>
      <c r="H766">
        <v>140</v>
      </c>
      <c r="I766">
        <v>0</v>
      </c>
      <c r="J766">
        <v>0</v>
      </c>
    </row>
    <row r="767" spans="1:10" x14ac:dyDescent="0.25">
      <c r="A767">
        <v>71302672</v>
      </c>
      <c r="B767">
        <v>945</v>
      </c>
      <c r="C767" t="s">
        <v>74</v>
      </c>
      <c r="D767">
        <v>300</v>
      </c>
      <c r="E767">
        <v>1</v>
      </c>
      <c r="F767">
        <v>0</v>
      </c>
      <c r="G767">
        <v>160</v>
      </c>
      <c r="H767">
        <v>0</v>
      </c>
      <c r="I767">
        <v>0</v>
      </c>
      <c r="J767">
        <v>0</v>
      </c>
    </row>
    <row r="768" spans="1:10" x14ac:dyDescent="0.25">
      <c r="A768">
        <v>71302682</v>
      </c>
      <c r="B768">
        <v>931</v>
      </c>
      <c r="C768" t="s">
        <v>163</v>
      </c>
      <c r="D768">
        <v>300</v>
      </c>
      <c r="E768">
        <v>1</v>
      </c>
      <c r="F768">
        <v>0</v>
      </c>
      <c r="G768">
        <v>7</v>
      </c>
      <c r="H768">
        <v>460</v>
      </c>
      <c r="I768">
        <v>0</v>
      </c>
      <c r="J768">
        <v>0</v>
      </c>
    </row>
    <row r="769" spans="1:10" x14ac:dyDescent="0.25">
      <c r="A769">
        <v>71302683</v>
      </c>
      <c r="B769">
        <v>932</v>
      </c>
      <c r="C769" t="s">
        <v>163</v>
      </c>
      <c r="D769">
        <v>300</v>
      </c>
      <c r="E769">
        <v>1</v>
      </c>
      <c r="F769">
        <v>0</v>
      </c>
      <c r="G769">
        <v>0</v>
      </c>
      <c r="H769">
        <v>300</v>
      </c>
      <c r="I769">
        <v>0</v>
      </c>
      <c r="J769">
        <v>0</v>
      </c>
    </row>
    <row r="770" spans="1:10" x14ac:dyDescent="0.25">
      <c r="A770">
        <v>71302685</v>
      </c>
      <c r="B770">
        <v>933</v>
      </c>
      <c r="C770" t="s">
        <v>163</v>
      </c>
      <c r="D770">
        <v>300</v>
      </c>
      <c r="E770">
        <v>1</v>
      </c>
      <c r="F770">
        <v>0</v>
      </c>
      <c r="G770">
        <v>0</v>
      </c>
      <c r="H770">
        <v>230</v>
      </c>
      <c r="I770">
        <v>0</v>
      </c>
      <c r="J770">
        <v>0</v>
      </c>
    </row>
    <row r="771" spans="1:10" x14ac:dyDescent="0.25">
      <c r="A771">
        <v>71302688</v>
      </c>
      <c r="B771">
        <v>934</v>
      </c>
      <c r="C771" t="s">
        <v>163</v>
      </c>
      <c r="D771">
        <v>300</v>
      </c>
      <c r="E771">
        <v>1</v>
      </c>
      <c r="F771">
        <v>0</v>
      </c>
      <c r="G771">
        <v>0</v>
      </c>
      <c r="H771">
        <v>15</v>
      </c>
      <c r="I771">
        <v>0</v>
      </c>
      <c r="J771">
        <v>0</v>
      </c>
    </row>
    <row r="772" spans="1:10" x14ac:dyDescent="0.25">
      <c r="A772">
        <v>71302694</v>
      </c>
      <c r="B772">
        <v>857</v>
      </c>
      <c r="C772" t="s">
        <v>164</v>
      </c>
      <c r="D772">
        <v>300</v>
      </c>
      <c r="E772">
        <v>1</v>
      </c>
      <c r="F772">
        <v>0</v>
      </c>
      <c r="G772">
        <v>70</v>
      </c>
      <c r="H772">
        <v>160</v>
      </c>
      <c r="I772">
        <v>0</v>
      </c>
      <c r="J772">
        <v>0</v>
      </c>
    </row>
    <row r="773" spans="1:10" x14ac:dyDescent="0.25">
      <c r="A773">
        <v>71302695</v>
      </c>
      <c r="B773">
        <v>858</v>
      </c>
      <c r="C773" t="s">
        <v>164</v>
      </c>
      <c r="D773">
        <v>300</v>
      </c>
      <c r="E773">
        <v>1</v>
      </c>
      <c r="F773">
        <v>0</v>
      </c>
      <c r="G773">
        <v>160</v>
      </c>
      <c r="H773">
        <v>0</v>
      </c>
      <c r="I773">
        <v>0</v>
      </c>
      <c r="J773">
        <v>0</v>
      </c>
    </row>
    <row r="774" spans="1:10" x14ac:dyDescent="0.25">
      <c r="A774">
        <v>71302699</v>
      </c>
      <c r="B774">
        <v>859</v>
      </c>
      <c r="C774" t="s">
        <v>164</v>
      </c>
      <c r="D774">
        <v>300</v>
      </c>
      <c r="E774">
        <v>1</v>
      </c>
      <c r="F774">
        <v>0</v>
      </c>
      <c r="G774">
        <v>0</v>
      </c>
      <c r="H774">
        <v>30</v>
      </c>
      <c r="I774">
        <v>0</v>
      </c>
      <c r="J774">
        <v>0</v>
      </c>
    </row>
    <row r="775" spans="1:10" x14ac:dyDescent="0.25">
      <c r="A775">
        <v>71302708</v>
      </c>
      <c r="B775">
        <v>829</v>
      </c>
      <c r="C775" t="s">
        <v>165</v>
      </c>
      <c r="D775">
        <v>300</v>
      </c>
      <c r="E775">
        <v>1</v>
      </c>
      <c r="F775">
        <v>0</v>
      </c>
      <c r="G775">
        <v>40</v>
      </c>
      <c r="H775">
        <v>0</v>
      </c>
      <c r="I775">
        <v>0</v>
      </c>
      <c r="J775">
        <v>0</v>
      </c>
    </row>
    <row r="776" spans="1:10" x14ac:dyDescent="0.25">
      <c r="A776">
        <v>71302709</v>
      </c>
      <c r="B776">
        <v>830</v>
      </c>
      <c r="C776" t="s">
        <v>165</v>
      </c>
      <c r="D776">
        <v>300</v>
      </c>
      <c r="E776">
        <v>1</v>
      </c>
      <c r="F776">
        <v>0</v>
      </c>
      <c r="G776">
        <v>50</v>
      </c>
      <c r="H776">
        <v>0</v>
      </c>
      <c r="I776">
        <v>0</v>
      </c>
      <c r="J776">
        <v>0</v>
      </c>
    </row>
    <row r="777" spans="1:10" x14ac:dyDescent="0.25">
      <c r="A777">
        <v>71302710</v>
      </c>
      <c r="B777">
        <v>831</v>
      </c>
      <c r="C777" t="s">
        <v>165</v>
      </c>
      <c r="D777">
        <v>300</v>
      </c>
      <c r="E777">
        <v>1</v>
      </c>
      <c r="F777">
        <v>0</v>
      </c>
      <c r="G777">
        <v>60</v>
      </c>
      <c r="H777">
        <v>150</v>
      </c>
      <c r="I777">
        <v>0</v>
      </c>
      <c r="J777">
        <v>0</v>
      </c>
    </row>
    <row r="778" spans="1:10" x14ac:dyDescent="0.25">
      <c r="A778">
        <v>71302711</v>
      </c>
      <c r="B778">
        <v>2222</v>
      </c>
      <c r="C778" t="s">
        <v>165</v>
      </c>
      <c r="D778">
        <v>300</v>
      </c>
      <c r="E778">
        <v>1</v>
      </c>
      <c r="F778">
        <v>0</v>
      </c>
      <c r="G778">
        <v>0</v>
      </c>
      <c r="H778">
        <v>50</v>
      </c>
      <c r="I778">
        <v>0</v>
      </c>
      <c r="J778">
        <v>0</v>
      </c>
    </row>
    <row r="779" spans="1:10" x14ac:dyDescent="0.25">
      <c r="A779">
        <v>71302713</v>
      </c>
      <c r="B779">
        <v>832</v>
      </c>
      <c r="C779" t="s">
        <v>165</v>
      </c>
      <c r="D779">
        <v>300</v>
      </c>
      <c r="E779">
        <v>1</v>
      </c>
      <c r="F779">
        <v>0</v>
      </c>
      <c r="G779">
        <v>0</v>
      </c>
      <c r="H779">
        <v>10</v>
      </c>
      <c r="I779">
        <v>0</v>
      </c>
      <c r="J779">
        <v>0</v>
      </c>
    </row>
    <row r="780" spans="1:10" x14ac:dyDescent="0.25">
      <c r="A780">
        <v>71302719</v>
      </c>
      <c r="B780">
        <v>754</v>
      </c>
      <c r="C780" t="s">
        <v>76</v>
      </c>
      <c r="D780">
        <v>300</v>
      </c>
      <c r="E780">
        <v>1</v>
      </c>
      <c r="F780">
        <v>0</v>
      </c>
      <c r="G780">
        <v>215</v>
      </c>
      <c r="H780">
        <v>0</v>
      </c>
      <c r="I780">
        <v>0</v>
      </c>
      <c r="J780">
        <v>0</v>
      </c>
    </row>
    <row r="781" spans="1:10" x14ac:dyDescent="0.25">
      <c r="A781">
        <v>71302720</v>
      </c>
      <c r="B781">
        <v>833</v>
      </c>
      <c r="C781" t="s">
        <v>165</v>
      </c>
      <c r="D781">
        <v>300</v>
      </c>
      <c r="E781">
        <v>1</v>
      </c>
      <c r="F781">
        <v>0</v>
      </c>
      <c r="G781">
        <v>40</v>
      </c>
      <c r="H781">
        <v>20</v>
      </c>
      <c r="I781">
        <v>0</v>
      </c>
      <c r="J781">
        <v>0</v>
      </c>
    </row>
    <row r="782" spans="1:10" x14ac:dyDescent="0.25">
      <c r="A782">
        <v>71302724</v>
      </c>
      <c r="B782">
        <v>834</v>
      </c>
      <c r="C782" t="s">
        <v>165</v>
      </c>
      <c r="D782">
        <v>300</v>
      </c>
      <c r="E782">
        <v>1</v>
      </c>
      <c r="F782">
        <v>0</v>
      </c>
      <c r="G782">
        <v>35</v>
      </c>
      <c r="H782">
        <v>80</v>
      </c>
      <c r="I782">
        <v>0</v>
      </c>
      <c r="J782">
        <v>0</v>
      </c>
    </row>
    <row r="783" spans="1:10" x14ac:dyDescent="0.25">
      <c r="A783">
        <v>71302734</v>
      </c>
      <c r="B783">
        <v>860</v>
      </c>
      <c r="C783" t="s">
        <v>164</v>
      </c>
      <c r="D783">
        <v>300</v>
      </c>
      <c r="E783">
        <v>1</v>
      </c>
      <c r="F783">
        <v>0</v>
      </c>
      <c r="G783">
        <v>0</v>
      </c>
      <c r="H783">
        <v>190</v>
      </c>
      <c r="I783">
        <v>0</v>
      </c>
      <c r="J783">
        <v>0</v>
      </c>
    </row>
    <row r="784" spans="1:10" x14ac:dyDescent="0.25">
      <c r="A784">
        <v>71302735</v>
      </c>
      <c r="B784">
        <v>835</v>
      </c>
      <c r="C784" t="s">
        <v>165</v>
      </c>
      <c r="D784">
        <v>300</v>
      </c>
      <c r="E784">
        <v>1</v>
      </c>
      <c r="F784">
        <v>0</v>
      </c>
      <c r="G784">
        <v>105</v>
      </c>
      <c r="H784">
        <v>180</v>
      </c>
      <c r="I784">
        <v>0</v>
      </c>
      <c r="J784">
        <v>0</v>
      </c>
    </row>
    <row r="785" spans="1:10" x14ac:dyDescent="0.25">
      <c r="A785">
        <v>71302737</v>
      </c>
      <c r="B785">
        <v>900</v>
      </c>
      <c r="C785" t="s">
        <v>125</v>
      </c>
      <c r="D785">
        <v>300</v>
      </c>
      <c r="E785">
        <v>1</v>
      </c>
      <c r="F785">
        <v>0</v>
      </c>
      <c r="G785">
        <v>0</v>
      </c>
      <c r="H785">
        <v>130</v>
      </c>
      <c r="I785">
        <v>0</v>
      </c>
      <c r="J785">
        <v>0</v>
      </c>
    </row>
    <row r="786" spans="1:10" x14ac:dyDescent="0.25">
      <c r="A786">
        <v>71302739</v>
      </c>
      <c r="B786">
        <v>901</v>
      </c>
      <c r="C786" t="s">
        <v>125</v>
      </c>
      <c r="D786">
        <v>300</v>
      </c>
      <c r="E786">
        <v>1</v>
      </c>
      <c r="F786">
        <v>0</v>
      </c>
      <c r="G786">
        <v>150</v>
      </c>
      <c r="H786">
        <v>0</v>
      </c>
      <c r="I786">
        <v>0</v>
      </c>
      <c r="J786">
        <v>0</v>
      </c>
    </row>
    <row r="787" spans="1:10" x14ac:dyDescent="0.25">
      <c r="A787">
        <v>71302744</v>
      </c>
      <c r="B787">
        <v>902</v>
      </c>
      <c r="C787" t="s">
        <v>125</v>
      </c>
      <c r="D787">
        <v>300</v>
      </c>
      <c r="E787">
        <v>1</v>
      </c>
      <c r="F787">
        <v>0</v>
      </c>
      <c r="G787">
        <v>0</v>
      </c>
      <c r="H787">
        <v>50</v>
      </c>
      <c r="I787">
        <v>0</v>
      </c>
      <c r="J787">
        <v>0</v>
      </c>
    </row>
    <row r="788" spans="1:10" x14ac:dyDescent="0.25">
      <c r="A788">
        <v>71302745</v>
      </c>
      <c r="B788">
        <v>903</v>
      </c>
      <c r="C788" t="s">
        <v>125</v>
      </c>
      <c r="D788">
        <v>300</v>
      </c>
      <c r="E788">
        <v>1</v>
      </c>
      <c r="F788">
        <v>0</v>
      </c>
      <c r="G788">
        <v>60</v>
      </c>
      <c r="H788">
        <v>0</v>
      </c>
      <c r="I788">
        <v>0</v>
      </c>
      <c r="J788">
        <v>0</v>
      </c>
    </row>
    <row r="789" spans="1:10" x14ac:dyDescent="0.25">
      <c r="A789">
        <v>71302748</v>
      </c>
      <c r="B789">
        <v>946</v>
      </c>
      <c r="C789" t="s">
        <v>74</v>
      </c>
      <c r="D789">
        <v>300</v>
      </c>
      <c r="E789">
        <v>1</v>
      </c>
      <c r="F789">
        <v>0</v>
      </c>
      <c r="G789">
        <v>35</v>
      </c>
      <c r="H789">
        <v>270</v>
      </c>
      <c r="I789">
        <v>0</v>
      </c>
      <c r="J789">
        <v>0</v>
      </c>
    </row>
    <row r="790" spans="1:10" x14ac:dyDescent="0.25">
      <c r="A790">
        <v>71302750</v>
      </c>
      <c r="B790">
        <v>947</v>
      </c>
      <c r="C790" t="s">
        <v>74</v>
      </c>
      <c r="D790">
        <v>300</v>
      </c>
      <c r="E790">
        <v>1</v>
      </c>
      <c r="F790">
        <v>0</v>
      </c>
      <c r="G790">
        <v>245</v>
      </c>
      <c r="H790">
        <v>5</v>
      </c>
      <c r="I790">
        <v>0</v>
      </c>
      <c r="J790">
        <v>0</v>
      </c>
    </row>
    <row r="791" spans="1:10" x14ac:dyDescent="0.25">
      <c r="A791">
        <v>71302751</v>
      </c>
      <c r="B791">
        <v>948</v>
      </c>
      <c r="C791" t="s">
        <v>74</v>
      </c>
      <c r="D791">
        <v>300</v>
      </c>
      <c r="E791">
        <v>1</v>
      </c>
      <c r="F791">
        <v>0</v>
      </c>
      <c r="G791">
        <v>30</v>
      </c>
      <c r="H791">
        <v>130</v>
      </c>
      <c r="I791">
        <v>0</v>
      </c>
      <c r="J791">
        <v>0</v>
      </c>
    </row>
    <row r="792" spans="1:10" x14ac:dyDescent="0.25">
      <c r="A792">
        <v>71302752</v>
      </c>
      <c r="B792">
        <v>949</v>
      </c>
      <c r="C792" t="s">
        <v>74</v>
      </c>
      <c r="D792">
        <v>300</v>
      </c>
      <c r="E792">
        <v>1</v>
      </c>
      <c r="F792">
        <v>0</v>
      </c>
      <c r="G792">
        <v>0</v>
      </c>
      <c r="H792">
        <v>450</v>
      </c>
      <c r="I792">
        <v>0</v>
      </c>
      <c r="J792">
        <v>0</v>
      </c>
    </row>
    <row r="793" spans="1:10" x14ac:dyDescent="0.25">
      <c r="A793">
        <v>71302754</v>
      </c>
      <c r="B793">
        <v>950</v>
      </c>
      <c r="C793" t="s">
        <v>74</v>
      </c>
      <c r="D793">
        <v>300</v>
      </c>
      <c r="E793">
        <v>1</v>
      </c>
      <c r="F793">
        <v>0</v>
      </c>
      <c r="G793">
        <v>90</v>
      </c>
      <c r="H793">
        <v>0</v>
      </c>
      <c r="I793">
        <v>0</v>
      </c>
      <c r="J793">
        <v>0</v>
      </c>
    </row>
    <row r="794" spans="1:10" x14ac:dyDescent="0.25">
      <c r="A794">
        <v>71302755</v>
      </c>
      <c r="B794">
        <v>951</v>
      </c>
      <c r="C794" t="s">
        <v>74</v>
      </c>
      <c r="D794">
        <v>300</v>
      </c>
      <c r="E794">
        <v>1</v>
      </c>
      <c r="F794">
        <v>0</v>
      </c>
      <c r="G794">
        <v>170</v>
      </c>
      <c r="H794">
        <v>10</v>
      </c>
      <c r="I794">
        <v>0</v>
      </c>
      <c r="J794">
        <v>0</v>
      </c>
    </row>
    <row r="795" spans="1:10" x14ac:dyDescent="0.25">
      <c r="A795">
        <v>71302757</v>
      </c>
      <c r="B795">
        <v>952</v>
      </c>
      <c r="C795" t="s">
        <v>74</v>
      </c>
      <c r="D795">
        <v>300</v>
      </c>
      <c r="E795">
        <v>1</v>
      </c>
      <c r="F795">
        <v>0</v>
      </c>
      <c r="G795">
        <v>270</v>
      </c>
      <c r="H795">
        <v>30</v>
      </c>
      <c r="I795">
        <v>0</v>
      </c>
      <c r="J795">
        <v>0</v>
      </c>
    </row>
    <row r="796" spans="1:10" x14ac:dyDescent="0.25">
      <c r="A796">
        <v>71302761</v>
      </c>
      <c r="B796">
        <v>953</v>
      </c>
      <c r="C796" t="s">
        <v>74</v>
      </c>
      <c r="D796">
        <v>300</v>
      </c>
      <c r="E796">
        <v>1</v>
      </c>
      <c r="F796">
        <v>0</v>
      </c>
      <c r="G796">
        <v>5</v>
      </c>
      <c r="H796">
        <v>0</v>
      </c>
      <c r="I796">
        <v>0</v>
      </c>
      <c r="J796">
        <v>0</v>
      </c>
    </row>
    <row r="797" spans="1:10" x14ac:dyDescent="0.25">
      <c r="A797">
        <v>71302762</v>
      </c>
      <c r="B797">
        <v>954</v>
      </c>
      <c r="C797" t="s">
        <v>74</v>
      </c>
      <c r="D797">
        <v>300</v>
      </c>
      <c r="E797">
        <v>1</v>
      </c>
      <c r="F797">
        <v>0</v>
      </c>
      <c r="G797">
        <v>120</v>
      </c>
      <c r="H797">
        <v>0</v>
      </c>
      <c r="I797">
        <v>0</v>
      </c>
      <c r="J797">
        <v>0</v>
      </c>
    </row>
    <row r="798" spans="1:10" x14ac:dyDescent="0.25">
      <c r="A798">
        <v>71302763</v>
      </c>
      <c r="B798">
        <v>955</v>
      </c>
      <c r="C798" t="s">
        <v>74</v>
      </c>
      <c r="D798">
        <v>300</v>
      </c>
      <c r="E798">
        <v>1</v>
      </c>
      <c r="F798">
        <v>0</v>
      </c>
      <c r="G798">
        <v>215</v>
      </c>
      <c r="H798">
        <v>20</v>
      </c>
      <c r="I798">
        <v>0</v>
      </c>
      <c r="J798">
        <v>0</v>
      </c>
    </row>
    <row r="799" spans="1:10" x14ac:dyDescent="0.25">
      <c r="A799">
        <v>71302764</v>
      </c>
      <c r="B799">
        <v>956</v>
      </c>
      <c r="C799" t="s">
        <v>74</v>
      </c>
      <c r="D799">
        <v>300</v>
      </c>
      <c r="E799">
        <v>1</v>
      </c>
      <c r="F799">
        <v>0</v>
      </c>
      <c r="G799">
        <v>130</v>
      </c>
      <c r="H799">
        <v>0</v>
      </c>
      <c r="I799">
        <v>0</v>
      </c>
      <c r="J799">
        <v>0</v>
      </c>
    </row>
    <row r="800" spans="1:10" x14ac:dyDescent="0.25">
      <c r="A800">
        <v>71302766</v>
      </c>
      <c r="B800">
        <v>957</v>
      </c>
      <c r="C800" t="s">
        <v>74</v>
      </c>
      <c r="D800">
        <v>300</v>
      </c>
      <c r="E800">
        <v>1</v>
      </c>
      <c r="F800">
        <v>0</v>
      </c>
      <c r="G800">
        <v>270</v>
      </c>
      <c r="H800">
        <v>0</v>
      </c>
      <c r="I800">
        <v>0</v>
      </c>
      <c r="J800">
        <v>0</v>
      </c>
    </row>
    <row r="801" spans="1:10" x14ac:dyDescent="0.25">
      <c r="A801">
        <v>71302767</v>
      </c>
      <c r="B801">
        <v>958</v>
      </c>
      <c r="C801" t="s">
        <v>74</v>
      </c>
      <c r="D801">
        <v>300</v>
      </c>
      <c r="E801">
        <v>1</v>
      </c>
      <c r="F801">
        <v>0</v>
      </c>
      <c r="G801">
        <v>200</v>
      </c>
      <c r="H801">
        <v>8</v>
      </c>
      <c r="I801">
        <v>0</v>
      </c>
      <c r="J801">
        <v>0</v>
      </c>
    </row>
    <row r="802" spans="1:10" x14ac:dyDescent="0.25">
      <c r="A802">
        <v>71302768</v>
      </c>
      <c r="B802">
        <v>959</v>
      </c>
      <c r="C802" t="s">
        <v>74</v>
      </c>
      <c r="D802">
        <v>300</v>
      </c>
      <c r="E802">
        <v>1</v>
      </c>
      <c r="F802">
        <v>0</v>
      </c>
      <c r="G802">
        <v>30</v>
      </c>
      <c r="H802">
        <v>5</v>
      </c>
      <c r="I802">
        <v>0</v>
      </c>
      <c r="J802">
        <v>0</v>
      </c>
    </row>
    <row r="803" spans="1:10" x14ac:dyDescent="0.25">
      <c r="A803">
        <v>71302771</v>
      </c>
      <c r="B803">
        <v>960</v>
      </c>
      <c r="C803" t="s">
        <v>74</v>
      </c>
      <c r="D803">
        <v>300</v>
      </c>
      <c r="E803">
        <v>1</v>
      </c>
      <c r="F803">
        <v>0</v>
      </c>
      <c r="G803">
        <v>160</v>
      </c>
      <c r="H803">
        <v>15</v>
      </c>
      <c r="I803">
        <v>0</v>
      </c>
      <c r="J803">
        <v>0</v>
      </c>
    </row>
    <row r="804" spans="1:10" x14ac:dyDescent="0.25">
      <c r="A804">
        <v>71302772</v>
      </c>
      <c r="B804">
        <v>961</v>
      </c>
      <c r="C804" t="s">
        <v>74</v>
      </c>
      <c r="D804">
        <v>300</v>
      </c>
      <c r="E804">
        <v>1</v>
      </c>
      <c r="F804">
        <v>0</v>
      </c>
      <c r="G804">
        <v>420</v>
      </c>
      <c r="H804">
        <v>35</v>
      </c>
      <c r="I804">
        <v>0</v>
      </c>
      <c r="J804">
        <v>0</v>
      </c>
    </row>
    <row r="805" spans="1:10" x14ac:dyDescent="0.25">
      <c r="A805">
        <v>71302781</v>
      </c>
      <c r="B805">
        <v>820</v>
      </c>
      <c r="C805" t="s">
        <v>79</v>
      </c>
      <c r="D805">
        <v>300</v>
      </c>
      <c r="E805">
        <v>1</v>
      </c>
      <c r="F805">
        <v>0</v>
      </c>
      <c r="G805">
        <v>250</v>
      </c>
      <c r="H805">
        <v>0</v>
      </c>
      <c r="I805">
        <v>0</v>
      </c>
      <c r="J805">
        <v>0</v>
      </c>
    </row>
    <row r="806" spans="1:10" x14ac:dyDescent="0.25">
      <c r="A806">
        <v>71302782</v>
      </c>
      <c r="B806">
        <v>821</v>
      </c>
      <c r="C806" t="s">
        <v>79</v>
      </c>
      <c r="D806">
        <v>300</v>
      </c>
      <c r="E806">
        <v>1</v>
      </c>
      <c r="F806">
        <v>0</v>
      </c>
      <c r="G806">
        <v>180</v>
      </c>
      <c r="H806">
        <v>0</v>
      </c>
      <c r="I806">
        <v>0</v>
      </c>
      <c r="J806">
        <v>0</v>
      </c>
    </row>
    <row r="807" spans="1:10" x14ac:dyDescent="0.25">
      <c r="A807">
        <v>71302815</v>
      </c>
      <c r="B807">
        <v>761</v>
      </c>
      <c r="C807" t="s">
        <v>78</v>
      </c>
      <c r="D807">
        <v>300</v>
      </c>
      <c r="E807">
        <v>1</v>
      </c>
      <c r="F807">
        <v>0</v>
      </c>
      <c r="G807">
        <v>34</v>
      </c>
      <c r="H807">
        <v>0</v>
      </c>
      <c r="I807">
        <v>0</v>
      </c>
      <c r="J807">
        <v>0</v>
      </c>
    </row>
    <row r="808" spans="1:10" x14ac:dyDescent="0.25">
      <c r="A808">
        <v>71302818</v>
      </c>
      <c r="B808">
        <v>765</v>
      </c>
      <c r="C808" t="s">
        <v>83</v>
      </c>
      <c r="D808">
        <v>300</v>
      </c>
      <c r="E808">
        <v>1</v>
      </c>
      <c r="F808">
        <v>0</v>
      </c>
      <c r="G808">
        <v>175</v>
      </c>
      <c r="H808">
        <v>5</v>
      </c>
      <c r="I808">
        <v>0</v>
      </c>
      <c r="J808">
        <v>0</v>
      </c>
    </row>
    <row r="809" spans="1:10" x14ac:dyDescent="0.25">
      <c r="A809">
        <v>71302819</v>
      </c>
      <c r="B809">
        <v>766</v>
      </c>
      <c r="C809" t="s">
        <v>83</v>
      </c>
      <c r="D809">
        <v>300</v>
      </c>
      <c r="E809">
        <v>1</v>
      </c>
      <c r="F809">
        <v>6</v>
      </c>
      <c r="G809">
        <v>0</v>
      </c>
      <c r="H809">
        <v>391</v>
      </c>
      <c r="I809">
        <v>0</v>
      </c>
      <c r="J809">
        <v>0</v>
      </c>
    </row>
    <row r="810" spans="1:10" x14ac:dyDescent="0.25">
      <c r="A810">
        <v>71302821</v>
      </c>
      <c r="B810">
        <v>767</v>
      </c>
      <c r="C810" t="s">
        <v>83</v>
      </c>
      <c r="D810">
        <v>300</v>
      </c>
      <c r="E810">
        <v>1</v>
      </c>
      <c r="F810">
        <v>0</v>
      </c>
      <c r="G810">
        <v>77</v>
      </c>
      <c r="H810">
        <v>3</v>
      </c>
      <c r="I810">
        <v>0</v>
      </c>
      <c r="J810">
        <v>0</v>
      </c>
    </row>
    <row r="811" spans="1:10" x14ac:dyDescent="0.25">
      <c r="A811">
        <v>71302834</v>
      </c>
      <c r="B811">
        <v>1020</v>
      </c>
      <c r="C811" t="s">
        <v>73</v>
      </c>
      <c r="D811">
        <v>300</v>
      </c>
      <c r="E811">
        <v>1</v>
      </c>
      <c r="F811">
        <v>0</v>
      </c>
      <c r="G811">
        <v>0</v>
      </c>
      <c r="H811">
        <v>200</v>
      </c>
      <c r="I811">
        <v>0</v>
      </c>
      <c r="J811">
        <v>0</v>
      </c>
    </row>
    <row r="812" spans="1:10" x14ac:dyDescent="0.25">
      <c r="A812">
        <v>71302838</v>
      </c>
      <c r="B812">
        <v>1021</v>
      </c>
      <c r="C812" t="s">
        <v>73</v>
      </c>
      <c r="D812">
        <v>300</v>
      </c>
      <c r="E812">
        <v>1</v>
      </c>
      <c r="F812">
        <v>0</v>
      </c>
      <c r="G812">
        <v>0</v>
      </c>
      <c r="H812">
        <v>180</v>
      </c>
      <c r="I812">
        <v>0</v>
      </c>
      <c r="J812">
        <v>0</v>
      </c>
    </row>
    <row r="813" spans="1:10" x14ac:dyDescent="0.25">
      <c r="A813">
        <v>71302858</v>
      </c>
      <c r="B813">
        <v>930</v>
      </c>
      <c r="C813" t="s">
        <v>82</v>
      </c>
      <c r="D813">
        <v>300</v>
      </c>
      <c r="E813">
        <v>1</v>
      </c>
      <c r="F813">
        <v>0</v>
      </c>
      <c r="G813">
        <v>80</v>
      </c>
      <c r="H813">
        <v>0</v>
      </c>
      <c r="I813">
        <v>0</v>
      </c>
      <c r="J813">
        <v>0</v>
      </c>
    </row>
    <row r="814" spans="1:10" x14ac:dyDescent="0.25">
      <c r="A814">
        <v>71302859</v>
      </c>
      <c r="B814">
        <v>356</v>
      </c>
      <c r="C814" t="s">
        <v>68</v>
      </c>
      <c r="D814">
        <v>300</v>
      </c>
      <c r="E814">
        <v>1</v>
      </c>
      <c r="F814">
        <v>0</v>
      </c>
      <c r="G814">
        <v>150</v>
      </c>
      <c r="H814">
        <v>0</v>
      </c>
      <c r="I814">
        <v>0</v>
      </c>
      <c r="J814">
        <v>0</v>
      </c>
    </row>
    <row r="815" spans="1:10" x14ac:dyDescent="0.25">
      <c r="A815">
        <v>71302877</v>
      </c>
      <c r="B815">
        <v>357</v>
      </c>
      <c r="C815" t="s">
        <v>68</v>
      </c>
      <c r="D815">
        <v>300</v>
      </c>
      <c r="E815">
        <v>1</v>
      </c>
      <c r="F815">
        <v>0</v>
      </c>
      <c r="G815">
        <v>200</v>
      </c>
      <c r="H815">
        <v>0</v>
      </c>
      <c r="I815">
        <v>0</v>
      </c>
      <c r="J815">
        <v>0</v>
      </c>
    </row>
    <row r="816" spans="1:10" x14ac:dyDescent="0.25">
      <c r="A816">
        <v>71302890</v>
      </c>
      <c r="B816">
        <v>801</v>
      </c>
      <c r="C816" t="s">
        <v>50</v>
      </c>
      <c r="D816">
        <v>300</v>
      </c>
      <c r="E816">
        <v>1</v>
      </c>
      <c r="F816">
        <v>0</v>
      </c>
      <c r="G816">
        <v>250</v>
      </c>
      <c r="H816">
        <v>0</v>
      </c>
      <c r="I816">
        <v>0</v>
      </c>
      <c r="J816">
        <v>0</v>
      </c>
    </row>
    <row r="817" spans="1:10" x14ac:dyDescent="0.25">
      <c r="A817">
        <v>71302891</v>
      </c>
      <c r="B817">
        <v>802</v>
      </c>
      <c r="C817" t="s">
        <v>50</v>
      </c>
      <c r="D817">
        <v>300</v>
      </c>
      <c r="E817">
        <v>1</v>
      </c>
      <c r="F817">
        <v>0</v>
      </c>
      <c r="G817">
        <v>80</v>
      </c>
      <c r="H817">
        <v>630</v>
      </c>
      <c r="I817">
        <v>0</v>
      </c>
      <c r="J817">
        <v>0</v>
      </c>
    </row>
    <row r="818" spans="1:10" x14ac:dyDescent="0.25">
      <c r="A818">
        <v>71302895</v>
      </c>
      <c r="B818">
        <v>803</v>
      </c>
      <c r="C818" t="s">
        <v>50</v>
      </c>
      <c r="D818">
        <v>300</v>
      </c>
      <c r="E818">
        <v>1</v>
      </c>
      <c r="F818">
        <v>0</v>
      </c>
      <c r="G818">
        <v>0</v>
      </c>
      <c r="H818">
        <v>100</v>
      </c>
      <c r="I818">
        <v>0</v>
      </c>
      <c r="J818">
        <v>0</v>
      </c>
    </row>
    <row r="819" spans="1:10" x14ac:dyDescent="0.25">
      <c r="A819">
        <v>71302896</v>
      </c>
      <c r="B819">
        <v>804</v>
      </c>
      <c r="C819" t="s">
        <v>50</v>
      </c>
      <c r="D819">
        <v>300</v>
      </c>
      <c r="E819">
        <v>1</v>
      </c>
      <c r="F819">
        <v>0</v>
      </c>
      <c r="G819">
        <v>430</v>
      </c>
      <c r="H819">
        <v>0</v>
      </c>
      <c r="I819">
        <v>0</v>
      </c>
      <c r="J819">
        <v>0</v>
      </c>
    </row>
    <row r="820" spans="1:10" x14ac:dyDescent="0.25">
      <c r="A820">
        <v>71302897</v>
      </c>
      <c r="B820">
        <v>805</v>
      </c>
      <c r="C820" t="s">
        <v>50</v>
      </c>
      <c r="D820">
        <v>300</v>
      </c>
      <c r="E820">
        <v>1</v>
      </c>
      <c r="F820">
        <v>0</v>
      </c>
      <c r="G820">
        <v>0</v>
      </c>
      <c r="H820">
        <v>200</v>
      </c>
      <c r="I820">
        <v>0</v>
      </c>
      <c r="J820">
        <v>0</v>
      </c>
    </row>
    <row r="821" spans="1:10" x14ac:dyDescent="0.25">
      <c r="A821">
        <v>71302898</v>
      </c>
      <c r="B821">
        <v>806</v>
      </c>
      <c r="C821" t="s">
        <v>50</v>
      </c>
      <c r="D821">
        <v>300</v>
      </c>
      <c r="E821">
        <v>1</v>
      </c>
      <c r="F821">
        <v>0</v>
      </c>
      <c r="G821">
        <v>220</v>
      </c>
      <c r="H821">
        <v>0</v>
      </c>
      <c r="I821">
        <v>0</v>
      </c>
      <c r="J821">
        <v>0</v>
      </c>
    </row>
    <row r="822" spans="1:10" x14ac:dyDescent="0.25">
      <c r="A822">
        <v>71302899</v>
      </c>
      <c r="B822">
        <v>1152</v>
      </c>
      <c r="C822" t="s">
        <v>50</v>
      </c>
      <c r="D822">
        <v>300</v>
      </c>
      <c r="E822">
        <v>1</v>
      </c>
      <c r="F822">
        <v>0</v>
      </c>
      <c r="G822">
        <v>0</v>
      </c>
      <c r="H822">
        <v>210</v>
      </c>
      <c r="I822">
        <v>0</v>
      </c>
      <c r="J822">
        <v>0</v>
      </c>
    </row>
    <row r="823" spans="1:10" x14ac:dyDescent="0.25">
      <c r="A823">
        <v>71302902</v>
      </c>
      <c r="B823">
        <v>807</v>
      </c>
      <c r="C823" t="s">
        <v>50</v>
      </c>
      <c r="D823">
        <v>300</v>
      </c>
      <c r="E823">
        <v>1</v>
      </c>
      <c r="F823">
        <v>0</v>
      </c>
      <c r="G823">
        <v>300</v>
      </c>
      <c r="H823">
        <v>0</v>
      </c>
      <c r="I823">
        <v>0</v>
      </c>
      <c r="J823">
        <v>0</v>
      </c>
    </row>
    <row r="824" spans="1:10" x14ac:dyDescent="0.25">
      <c r="A824">
        <v>71302903</v>
      </c>
      <c r="B824">
        <v>808</v>
      </c>
      <c r="C824" t="s">
        <v>50</v>
      </c>
      <c r="D824">
        <v>300</v>
      </c>
      <c r="E824">
        <v>1</v>
      </c>
      <c r="F824">
        <v>0</v>
      </c>
      <c r="G824">
        <v>17</v>
      </c>
      <c r="H824">
        <v>0</v>
      </c>
      <c r="I824">
        <v>0</v>
      </c>
      <c r="J824">
        <v>0</v>
      </c>
    </row>
    <row r="825" spans="1:10" x14ac:dyDescent="0.25">
      <c r="A825">
        <v>71302905</v>
      </c>
      <c r="B825">
        <v>809</v>
      </c>
      <c r="C825" t="s">
        <v>50</v>
      </c>
      <c r="D825">
        <v>300</v>
      </c>
      <c r="E825">
        <v>1</v>
      </c>
      <c r="F825">
        <v>0</v>
      </c>
      <c r="G825">
        <v>0</v>
      </c>
      <c r="H825">
        <v>300</v>
      </c>
      <c r="I825">
        <v>0</v>
      </c>
      <c r="J825">
        <v>0</v>
      </c>
    </row>
    <row r="826" spans="1:10" x14ac:dyDescent="0.25">
      <c r="A826">
        <v>71302908</v>
      </c>
      <c r="B826">
        <v>810</v>
      </c>
      <c r="C826" t="s">
        <v>50</v>
      </c>
      <c r="D826">
        <v>300</v>
      </c>
      <c r="E826">
        <v>1</v>
      </c>
      <c r="F826">
        <v>0</v>
      </c>
      <c r="G826">
        <v>15</v>
      </c>
      <c r="H826">
        <v>0</v>
      </c>
      <c r="I826">
        <v>0</v>
      </c>
      <c r="J826">
        <v>0</v>
      </c>
    </row>
    <row r="827" spans="1:10" x14ac:dyDescent="0.25">
      <c r="A827">
        <v>71302911</v>
      </c>
      <c r="B827">
        <v>811</v>
      </c>
      <c r="C827" t="s">
        <v>50</v>
      </c>
      <c r="D827">
        <v>300</v>
      </c>
      <c r="E827">
        <v>1</v>
      </c>
      <c r="F827">
        <v>0</v>
      </c>
      <c r="G827">
        <v>0</v>
      </c>
      <c r="H827">
        <v>90</v>
      </c>
      <c r="I827">
        <v>0</v>
      </c>
      <c r="J827">
        <v>0</v>
      </c>
    </row>
    <row r="828" spans="1:10" x14ac:dyDescent="0.25">
      <c r="A828">
        <v>71302912</v>
      </c>
      <c r="B828">
        <v>358</v>
      </c>
      <c r="C828" t="s">
        <v>68</v>
      </c>
      <c r="D828">
        <v>300</v>
      </c>
      <c r="E828">
        <v>1</v>
      </c>
      <c r="F828">
        <v>0</v>
      </c>
      <c r="G828">
        <v>0</v>
      </c>
      <c r="H828">
        <v>120</v>
      </c>
      <c r="I828">
        <v>0</v>
      </c>
      <c r="J828">
        <v>0</v>
      </c>
    </row>
    <row r="829" spans="1:10" x14ac:dyDescent="0.25">
      <c r="A829">
        <v>71302919</v>
      </c>
      <c r="B829">
        <v>873</v>
      </c>
      <c r="C829" t="s">
        <v>75</v>
      </c>
      <c r="D829">
        <v>300</v>
      </c>
      <c r="E829">
        <v>1</v>
      </c>
      <c r="F829">
        <v>0</v>
      </c>
      <c r="G829">
        <v>210</v>
      </c>
      <c r="H829">
        <v>30</v>
      </c>
      <c r="I829">
        <v>0</v>
      </c>
      <c r="J829">
        <v>0</v>
      </c>
    </row>
    <row r="830" spans="1:10" x14ac:dyDescent="0.25">
      <c r="A830">
        <v>71302922</v>
      </c>
      <c r="B830">
        <v>874</v>
      </c>
      <c r="C830" t="s">
        <v>75</v>
      </c>
      <c r="D830">
        <v>300</v>
      </c>
      <c r="E830">
        <v>1</v>
      </c>
      <c r="F830">
        <v>0</v>
      </c>
      <c r="G830">
        <v>250</v>
      </c>
      <c r="H830">
        <v>30</v>
      </c>
      <c r="I830">
        <v>0</v>
      </c>
      <c r="J830">
        <v>0</v>
      </c>
    </row>
    <row r="831" spans="1:10" x14ac:dyDescent="0.25">
      <c r="A831">
        <v>71302923</v>
      </c>
      <c r="B831">
        <v>875</v>
      </c>
      <c r="C831" t="s">
        <v>75</v>
      </c>
      <c r="D831">
        <v>300</v>
      </c>
      <c r="E831">
        <v>1</v>
      </c>
      <c r="F831">
        <v>0</v>
      </c>
      <c r="G831">
        <v>400</v>
      </c>
      <c r="H831">
        <v>5</v>
      </c>
      <c r="I831">
        <v>0</v>
      </c>
      <c r="J831">
        <v>0</v>
      </c>
    </row>
    <row r="832" spans="1:10" x14ac:dyDescent="0.25">
      <c r="A832">
        <v>71302926</v>
      </c>
      <c r="B832">
        <v>1210</v>
      </c>
      <c r="C832" t="s">
        <v>75</v>
      </c>
      <c r="D832">
        <v>300</v>
      </c>
      <c r="E832">
        <v>1</v>
      </c>
      <c r="F832">
        <v>0</v>
      </c>
      <c r="G832">
        <v>500</v>
      </c>
      <c r="H832">
        <v>0</v>
      </c>
      <c r="I832">
        <v>0</v>
      </c>
      <c r="J832">
        <v>0</v>
      </c>
    </row>
    <row r="833" spans="1:10" x14ac:dyDescent="0.25">
      <c r="A833">
        <v>71302931</v>
      </c>
      <c r="B833">
        <v>876</v>
      </c>
      <c r="C833" t="s">
        <v>75</v>
      </c>
      <c r="D833">
        <v>300</v>
      </c>
      <c r="E833">
        <v>1</v>
      </c>
      <c r="F833">
        <v>0</v>
      </c>
      <c r="G833">
        <v>150</v>
      </c>
      <c r="H833">
        <v>0</v>
      </c>
      <c r="I833">
        <v>0</v>
      </c>
      <c r="J833">
        <v>0</v>
      </c>
    </row>
    <row r="834" spans="1:10" x14ac:dyDescent="0.25">
      <c r="A834">
        <v>71302936</v>
      </c>
      <c r="B834">
        <v>877</v>
      </c>
      <c r="C834" t="s">
        <v>75</v>
      </c>
      <c r="D834">
        <v>300</v>
      </c>
      <c r="E834">
        <v>1</v>
      </c>
      <c r="F834">
        <v>0</v>
      </c>
      <c r="G834">
        <v>300</v>
      </c>
      <c r="H834">
        <v>0</v>
      </c>
      <c r="I834">
        <v>0</v>
      </c>
      <c r="J834">
        <v>0</v>
      </c>
    </row>
    <row r="835" spans="1:10" x14ac:dyDescent="0.25">
      <c r="A835">
        <v>71302937</v>
      </c>
      <c r="B835">
        <v>878</v>
      </c>
      <c r="C835" t="s">
        <v>75</v>
      </c>
      <c r="D835">
        <v>300</v>
      </c>
      <c r="E835">
        <v>1</v>
      </c>
      <c r="F835">
        <v>0</v>
      </c>
      <c r="G835">
        <v>340</v>
      </c>
      <c r="H835">
        <v>0</v>
      </c>
      <c r="I835">
        <v>0</v>
      </c>
      <c r="J835">
        <v>0</v>
      </c>
    </row>
    <row r="836" spans="1:10" x14ac:dyDescent="0.25">
      <c r="A836">
        <v>71302938</v>
      </c>
      <c r="B836">
        <v>879</v>
      </c>
      <c r="C836" t="s">
        <v>75</v>
      </c>
      <c r="D836">
        <v>300</v>
      </c>
      <c r="E836">
        <v>1</v>
      </c>
      <c r="F836">
        <v>0</v>
      </c>
      <c r="G836">
        <v>0</v>
      </c>
      <c r="H836">
        <v>50</v>
      </c>
      <c r="I836">
        <v>0</v>
      </c>
      <c r="J836">
        <v>0</v>
      </c>
    </row>
    <row r="837" spans="1:10" x14ac:dyDescent="0.25">
      <c r="A837">
        <v>71302939</v>
      </c>
      <c r="B837">
        <v>880</v>
      </c>
      <c r="C837" t="s">
        <v>75</v>
      </c>
      <c r="D837">
        <v>300</v>
      </c>
      <c r="E837">
        <v>1</v>
      </c>
      <c r="F837">
        <v>0</v>
      </c>
      <c r="G837">
        <v>0</v>
      </c>
      <c r="H837">
        <v>200</v>
      </c>
      <c r="I837">
        <v>0</v>
      </c>
      <c r="J837">
        <v>0</v>
      </c>
    </row>
    <row r="838" spans="1:10" x14ac:dyDescent="0.25">
      <c r="A838">
        <v>71302942</v>
      </c>
      <c r="B838">
        <v>881</v>
      </c>
      <c r="C838" t="s">
        <v>75</v>
      </c>
      <c r="D838">
        <v>300</v>
      </c>
      <c r="E838">
        <v>1</v>
      </c>
      <c r="F838">
        <v>0</v>
      </c>
      <c r="G838">
        <v>400</v>
      </c>
      <c r="H838">
        <v>10</v>
      </c>
      <c r="I838">
        <v>0</v>
      </c>
      <c r="J838">
        <v>0</v>
      </c>
    </row>
    <row r="839" spans="1:10" x14ac:dyDescent="0.25">
      <c r="A839">
        <v>71302944</v>
      </c>
      <c r="B839">
        <v>882</v>
      </c>
      <c r="C839" t="s">
        <v>75</v>
      </c>
      <c r="D839">
        <v>300</v>
      </c>
      <c r="E839">
        <v>1</v>
      </c>
      <c r="F839">
        <v>0</v>
      </c>
      <c r="G839">
        <v>0</v>
      </c>
      <c r="H839">
        <v>150</v>
      </c>
      <c r="I839">
        <v>0</v>
      </c>
      <c r="J839">
        <v>0</v>
      </c>
    </row>
    <row r="840" spans="1:10" x14ac:dyDescent="0.25">
      <c r="A840">
        <v>71302946</v>
      </c>
      <c r="B840">
        <v>883</v>
      </c>
      <c r="C840" t="s">
        <v>75</v>
      </c>
      <c r="D840">
        <v>300</v>
      </c>
      <c r="E840">
        <v>1</v>
      </c>
      <c r="F840">
        <v>0</v>
      </c>
      <c r="G840">
        <v>0</v>
      </c>
      <c r="H840">
        <v>310</v>
      </c>
      <c r="I840">
        <v>0</v>
      </c>
      <c r="J840">
        <v>0</v>
      </c>
    </row>
    <row r="841" spans="1:10" x14ac:dyDescent="0.25">
      <c r="A841">
        <v>71302947</v>
      </c>
      <c r="B841">
        <v>884</v>
      </c>
      <c r="C841" t="s">
        <v>75</v>
      </c>
      <c r="D841">
        <v>300</v>
      </c>
      <c r="E841">
        <v>1</v>
      </c>
      <c r="F841">
        <v>0</v>
      </c>
      <c r="G841">
        <v>150</v>
      </c>
      <c r="H841">
        <v>0</v>
      </c>
      <c r="I841">
        <v>0</v>
      </c>
      <c r="J841">
        <v>0</v>
      </c>
    </row>
    <row r="842" spans="1:10" x14ac:dyDescent="0.25">
      <c r="A842">
        <v>71302948</v>
      </c>
      <c r="B842">
        <v>885</v>
      </c>
      <c r="C842" t="s">
        <v>75</v>
      </c>
      <c r="D842">
        <v>300</v>
      </c>
      <c r="E842">
        <v>1</v>
      </c>
      <c r="F842">
        <v>0</v>
      </c>
      <c r="G842">
        <v>200</v>
      </c>
      <c r="H842">
        <v>0</v>
      </c>
      <c r="I842">
        <v>0</v>
      </c>
      <c r="J842">
        <v>0</v>
      </c>
    </row>
    <row r="843" spans="1:10" x14ac:dyDescent="0.25">
      <c r="A843">
        <v>71302954</v>
      </c>
      <c r="B843">
        <v>886</v>
      </c>
      <c r="C843" t="s">
        <v>75</v>
      </c>
      <c r="D843">
        <v>300</v>
      </c>
      <c r="E843">
        <v>1</v>
      </c>
      <c r="F843">
        <v>0</v>
      </c>
      <c r="G843">
        <v>0</v>
      </c>
      <c r="H843">
        <v>200</v>
      </c>
      <c r="I843">
        <v>0</v>
      </c>
      <c r="J843">
        <v>0</v>
      </c>
    </row>
    <row r="844" spans="1:10" x14ac:dyDescent="0.25">
      <c r="A844">
        <v>71302955</v>
      </c>
      <c r="B844">
        <v>887</v>
      </c>
      <c r="C844" t="s">
        <v>75</v>
      </c>
      <c r="D844">
        <v>300</v>
      </c>
      <c r="E844">
        <v>1</v>
      </c>
      <c r="F844">
        <v>0</v>
      </c>
      <c r="G844">
        <v>300</v>
      </c>
      <c r="H844">
        <v>0</v>
      </c>
      <c r="I844">
        <v>0</v>
      </c>
      <c r="J844">
        <v>0</v>
      </c>
    </row>
    <row r="845" spans="1:10" x14ac:dyDescent="0.25">
      <c r="A845">
        <v>71302956</v>
      </c>
      <c r="B845">
        <v>888</v>
      </c>
      <c r="C845" t="s">
        <v>75</v>
      </c>
      <c r="D845">
        <v>300</v>
      </c>
      <c r="E845">
        <v>1</v>
      </c>
      <c r="F845">
        <v>0</v>
      </c>
      <c r="G845">
        <v>150</v>
      </c>
      <c r="H845">
        <v>0</v>
      </c>
      <c r="I845">
        <v>0</v>
      </c>
      <c r="J845">
        <v>0</v>
      </c>
    </row>
    <row r="846" spans="1:10" x14ac:dyDescent="0.25">
      <c r="A846">
        <v>71302959</v>
      </c>
      <c r="B846">
        <v>889</v>
      </c>
      <c r="C846" t="s">
        <v>75</v>
      </c>
      <c r="D846">
        <v>300</v>
      </c>
      <c r="E846">
        <v>1</v>
      </c>
      <c r="F846">
        <v>0</v>
      </c>
      <c r="G846">
        <v>150</v>
      </c>
      <c r="H846">
        <v>0</v>
      </c>
      <c r="I846">
        <v>0</v>
      </c>
      <c r="J846">
        <v>0</v>
      </c>
    </row>
    <row r="847" spans="1:10" x14ac:dyDescent="0.25">
      <c r="A847">
        <v>71302961</v>
      </c>
      <c r="B847">
        <v>890</v>
      </c>
      <c r="C847" t="s">
        <v>75</v>
      </c>
      <c r="D847">
        <v>300</v>
      </c>
      <c r="E847">
        <v>1</v>
      </c>
      <c r="F847">
        <v>0</v>
      </c>
      <c r="G847">
        <v>220</v>
      </c>
      <c r="H847">
        <v>0</v>
      </c>
      <c r="I847">
        <v>0</v>
      </c>
      <c r="J847">
        <v>0</v>
      </c>
    </row>
    <row r="848" spans="1:10" x14ac:dyDescent="0.25">
      <c r="A848">
        <v>71303011</v>
      </c>
      <c r="B848">
        <v>1043</v>
      </c>
      <c r="C848" t="s">
        <v>121</v>
      </c>
      <c r="D848">
        <v>300</v>
      </c>
      <c r="E848">
        <v>1</v>
      </c>
      <c r="F848">
        <v>0</v>
      </c>
      <c r="G848">
        <v>0</v>
      </c>
      <c r="H848">
        <v>160</v>
      </c>
      <c r="I848">
        <v>0</v>
      </c>
      <c r="J848">
        <v>0</v>
      </c>
    </row>
    <row r="849" spans="1:10" x14ac:dyDescent="0.25">
      <c r="A849">
        <v>71303019</v>
      </c>
      <c r="B849">
        <v>936</v>
      </c>
      <c r="C849" t="s">
        <v>166</v>
      </c>
      <c r="D849">
        <v>300</v>
      </c>
      <c r="E849">
        <v>1</v>
      </c>
      <c r="F849">
        <v>0</v>
      </c>
      <c r="G849">
        <v>0</v>
      </c>
      <c r="H849">
        <v>105</v>
      </c>
      <c r="I849">
        <v>0</v>
      </c>
      <c r="J849">
        <v>0</v>
      </c>
    </row>
    <row r="850" spans="1:10" x14ac:dyDescent="0.25">
      <c r="A850">
        <v>71303020</v>
      </c>
      <c r="B850">
        <v>937</v>
      </c>
      <c r="C850" t="s">
        <v>166</v>
      </c>
      <c r="D850">
        <v>300</v>
      </c>
      <c r="E850">
        <v>1</v>
      </c>
      <c r="F850">
        <v>0</v>
      </c>
      <c r="G850">
        <v>0</v>
      </c>
      <c r="H850">
        <v>40</v>
      </c>
      <c r="I850">
        <v>0</v>
      </c>
      <c r="J850">
        <v>0</v>
      </c>
    </row>
    <row r="851" spans="1:10" x14ac:dyDescent="0.25">
      <c r="A851">
        <v>71303022</v>
      </c>
      <c r="B851">
        <v>938</v>
      </c>
      <c r="C851" t="s">
        <v>166</v>
      </c>
      <c r="D851">
        <v>300</v>
      </c>
      <c r="E851">
        <v>1</v>
      </c>
      <c r="F851">
        <v>0</v>
      </c>
      <c r="G851">
        <v>100</v>
      </c>
      <c r="H851">
        <v>0</v>
      </c>
      <c r="I851">
        <v>0</v>
      </c>
      <c r="J851">
        <v>0</v>
      </c>
    </row>
    <row r="852" spans="1:10" x14ac:dyDescent="0.25">
      <c r="A852">
        <v>71303023</v>
      </c>
      <c r="B852">
        <v>939</v>
      </c>
      <c r="C852" t="s">
        <v>166</v>
      </c>
      <c r="D852">
        <v>300</v>
      </c>
      <c r="E852">
        <v>1</v>
      </c>
      <c r="F852">
        <v>0</v>
      </c>
      <c r="G852">
        <v>0</v>
      </c>
      <c r="H852">
        <v>300</v>
      </c>
      <c r="I852">
        <v>0</v>
      </c>
      <c r="J852">
        <v>0</v>
      </c>
    </row>
    <row r="853" spans="1:10" x14ac:dyDescent="0.25">
      <c r="A853">
        <v>71303024</v>
      </c>
      <c r="B853">
        <v>940</v>
      </c>
      <c r="C853" t="s">
        <v>166</v>
      </c>
      <c r="D853">
        <v>300</v>
      </c>
      <c r="E853">
        <v>1</v>
      </c>
      <c r="F853">
        <v>0</v>
      </c>
      <c r="G853">
        <v>0</v>
      </c>
      <c r="H853">
        <v>200</v>
      </c>
      <c r="I853">
        <v>0</v>
      </c>
      <c r="J853">
        <v>0</v>
      </c>
    </row>
    <row r="854" spans="1:10" x14ac:dyDescent="0.25">
      <c r="A854">
        <v>71303025</v>
      </c>
      <c r="B854">
        <v>2218</v>
      </c>
      <c r="C854" t="s">
        <v>163</v>
      </c>
      <c r="D854">
        <v>300</v>
      </c>
      <c r="E854">
        <v>1</v>
      </c>
      <c r="F854">
        <v>0</v>
      </c>
      <c r="G854">
        <v>0</v>
      </c>
      <c r="H854">
        <v>290</v>
      </c>
      <c r="I854">
        <v>0</v>
      </c>
      <c r="J854">
        <v>0</v>
      </c>
    </row>
    <row r="855" spans="1:10" x14ac:dyDescent="0.25">
      <c r="A855">
        <v>71303026</v>
      </c>
      <c r="B855">
        <v>1211</v>
      </c>
      <c r="C855" t="s">
        <v>167</v>
      </c>
      <c r="D855">
        <v>300</v>
      </c>
      <c r="E855">
        <v>1</v>
      </c>
      <c r="F855">
        <v>0</v>
      </c>
      <c r="G855">
        <v>0</v>
      </c>
      <c r="H855">
        <v>340</v>
      </c>
      <c r="I855">
        <v>0</v>
      </c>
      <c r="J855">
        <v>0</v>
      </c>
    </row>
    <row r="856" spans="1:10" x14ac:dyDescent="0.25">
      <c r="A856">
        <v>71303027</v>
      </c>
      <c r="B856">
        <v>855</v>
      </c>
      <c r="C856" t="s">
        <v>167</v>
      </c>
      <c r="D856">
        <v>300</v>
      </c>
      <c r="E856">
        <v>1</v>
      </c>
      <c r="F856">
        <v>0</v>
      </c>
      <c r="G856">
        <v>0</v>
      </c>
      <c r="H856">
        <v>340</v>
      </c>
      <c r="I856">
        <v>0</v>
      </c>
      <c r="J856">
        <v>0</v>
      </c>
    </row>
    <row r="857" spans="1:10" x14ac:dyDescent="0.25">
      <c r="A857">
        <v>71303029</v>
      </c>
      <c r="B857">
        <v>935</v>
      </c>
      <c r="C857" t="s">
        <v>163</v>
      </c>
      <c r="D857">
        <v>300</v>
      </c>
      <c r="E857">
        <v>1</v>
      </c>
      <c r="F857">
        <v>0</v>
      </c>
      <c r="G857">
        <v>0</v>
      </c>
      <c r="H857">
        <v>280</v>
      </c>
      <c r="I857">
        <v>0</v>
      </c>
      <c r="J857">
        <v>0</v>
      </c>
    </row>
    <row r="858" spans="1:10" x14ac:dyDescent="0.25">
      <c r="A858">
        <v>71303032</v>
      </c>
      <c r="B858">
        <v>843</v>
      </c>
      <c r="C858" t="s">
        <v>168</v>
      </c>
      <c r="D858">
        <v>300</v>
      </c>
      <c r="E858">
        <v>1</v>
      </c>
      <c r="F858">
        <v>0</v>
      </c>
      <c r="G858">
        <v>0</v>
      </c>
      <c r="H858">
        <v>100</v>
      </c>
      <c r="I858">
        <v>0</v>
      </c>
      <c r="J858">
        <v>0</v>
      </c>
    </row>
    <row r="859" spans="1:10" x14ac:dyDescent="0.25">
      <c r="A859">
        <v>71303040</v>
      </c>
      <c r="B859">
        <v>975</v>
      </c>
      <c r="C859" t="s">
        <v>69</v>
      </c>
      <c r="D859">
        <v>300</v>
      </c>
      <c r="E859">
        <v>1</v>
      </c>
      <c r="F859">
        <v>0</v>
      </c>
      <c r="G859">
        <v>100</v>
      </c>
      <c r="H859">
        <v>0</v>
      </c>
      <c r="I859">
        <v>0</v>
      </c>
      <c r="J859">
        <v>0</v>
      </c>
    </row>
    <row r="860" spans="1:10" x14ac:dyDescent="0.25">
      <c r="A860">
        <v>71303043</v>
      </c>
      <c r="B860">
        <v>812</v>
      </c>
      <c r="C860" t="s">
        <v>50</v>
      </c>
      <c r="D860">
        <v>300</v>
      </c>
      <c r="E860">
        <v>1</v>
      </c>
      <c r="F860">
        <v>0</v>
      </c>
      <c r="G860">
        <v>20</v>
      </c>
      <c r="H860">
        <v>0</v>
      </c>
      <c r="I860">
        <v>0</v>
      </c>
      <c r="J860">
        <v>0</v>
      </c>
    </row>
    <row r="861" spans="1:10" x14ac:dyDescent="0.25">
      <c r="A861">
        <v>71303044</v>
      </c>
      <c r="B861">
        <v>941</v>
      </c>
      <c r="C861" t="s">
        <v>166</v>
      </c>
      <c r="D861">
        <v>300</v>
      </c>
      <c r="E861">
        <v>1</v>
      </c>
      <c r="F861">
        <v>0</v>
      </c>
      <c r="G861">
        <v>0</v>
      </c>
      <c r="H861">
        <v>55</v>
      </c>
      <c r="I861">
        <v>0</v>
      </c>
      <c r="J861">
        <v>0</v>
      </c>
    </row>
    <row r="862" spans="1:10" x14ac:dyDescent="0.25">
      <c r="A862">
        <v>71303046</v>
      </c>
      <c r="B862">
        <v>844</v>
      </c>
      <c r="C862" t="s">
        <v>168</v>
      </c>
      <c r="D862">
        <v>300</v>
      </c>
      <c r="E862">
        <v>1</v>
      </c>
      <c r="F862">
        <v>0</v>
      </c>
      <c r="G862">
        <v>0</v>
      </c>
      <c r="H862">
        <v>83</v>
      </c>
      <c r="I862">
        <v>0</v>
      </c>
      <c r="J862">
        <v>0</v>
      </c>
    </row>
    <row r="863" spans="1:10" x14ac:dyDescent="0.25">
      <c r="A863">
        <v>71303054</v>
      </c>
      <c r="B863">
        <v>789</v>
      </c>
      <c r="C863" t="s">
        <v>127</v>
      </c>
      <c r="D863">
        <v>300</v>
      </c>
      <c r="E863">
        <v>1</v>
      </c>
      <c r="F863">
        <v>0</v>
      </c>
      <c r="G863">
        <v>0</v>
      </c>
      <c r="H863">
        <v>110</v>
      </c>
      <c r="I863">
        <v>0</v>
      </c>
      <c r="J863">
        <v>0</v>
      </c>
    </row>
    <row r="864" spans="1:10" x14ac:dyDescent="0.25">
      <c r="A864">
        <v>71303061</v>
      </c>
      <c r="B864">
        <v>852</v>
      </c>
      <c r="C864" t="s">
        <v>124</v>
      </c>
      <c r="D864">
        <v>300</v>
      </c>
      <c r="E864">
        <v>1</v>
      </c>
      <c r="F864">
        <v>0</v>
      </c>
      <c r="G864">
        <v>20</v>
      </c>
      <c r="H864">
        <v>230</v>
      </c>
      <c r="I864">
        <v>0</v>
      </c>
      <c r="J864">
        <v>0</v>
      </c>
    </row>
    <row r="865" spans="1:10" x14ac:dyDescent="0.25">
      <c r="A865">
        <v>71303063</v>
      </c>
      <c r="B865">
        <v>853</v>
      </c>
      <c r="C865" t="s">
        <v>124</v>
      </c>
      <c r="D865">
        <v>300</v>
      </c>
      <c r="E865">
        <v>1</v>
      </c>
      <c r="F865">
        <v>7</v>
      </c>
      <c r="G865">
        <v>0</v>
      </c>
      <c r="H865">
        <v>46</v>
      </c>
      <c r="I865">
        <v>0</v>
      </c>
      <c r="J865">
        <v>0</v>
      </c>
    </row>
    <row r="866" spans="1:10" x14ac:dyDescent="0.25">
      <c r="A866">
        <v>71303073</v>
      </c>
      <c r="B866">
        <v>838</v>
      </c>
      <c r="C866" t="s">
        <v>169</v>
      </c>
      <c r="D866">
        <v>300</v>
      </c>
      <c r="E866">
        <v>1</v>
      </c>
      <c r="F866">
        <v>0</v>
      </c>
      <c r="G866">
        <v>0</v>
      </c>
      <c r="H866">
        <v>10</v>
      </c>
      <c r="I866">
        <v>0</v>
      </c>
      <c r="J866">
        <v>0</v>
      </c>
    </row>
    <row r="867" spans="1:10" x14ac:dyDescent="0.25">
      <c r="A867">
        <v>71303081</v>
      </c>
      <c r="B867">
        <v>1050</v>
      </c>
      <c r="C867" t="s">
        <v>126</v>
      </c>
      <c r="D867">
        <v>300</v>
      </c>
      <c r="E867">
        <v>1</v>
      </c>
      <c r="F867">
        <v>0</v>
      </c>
      <c r="G867">
        <v>0</v>
      </c>
      <c r="H867">
        <v>50</v>
      </c>
      <c r="I867">
        <v>0</v>
      </c>
      <c r="J867">
        <v>0</v>
      </c>
    </row>
    <row r="868" spans="1:10" x14ac:dyDescent="0.25">
      <c r="A868">
        <v>71303082</v>
      </c>
      <c r="B868">
        <v>1051</v>
      </c>
      <c r="C868" t="s">
        <v>126</v>
      </c>
      <c r="D868">
        <v>300</v>
      </c>
      <c r="E868">
        <v>1</v>
      </c>
      <c r="F868">
        <v>0</v>
      </c>
      <c r="G868">
        <v>235</v>
      </c>
      <c r="H868">
        <v>0</v>
      </c>
      <c r="I868">
        <v>0</v>
      </c>
      <c r="J868">
        <v>0</v>
      </c>
    </row>
    <row r="869" spans="1:10" x14ac:dyDescent="0.25">
      <c r="A869">
        <v>71303083</v>
      </c>
      <c r="B869">
        <v>1052</v>
      </c>
      <c r="C869" t="s">
        <v>126</v>
      </c>
      <c r="D869">
        <v>300</v>
      </c>
      <c r="E869">
        <v>1</v>
      </c>
      <c r="F869">
        <v>0</v>
      </c>
      <c r="G869">
        <v>10</v>
      </c>
      <c r="H869">
        <v>120</v>
      </c>
      <c r="I869">
        <v>0</v>
      </c>
      <c r="J869">
        <v>0</v>
      </c>
    </row>
    <row r="870" spans="1:10" x14ac:dyDescent="0.25">
      <c r="A870">
        <v>71303084</v>
      </c>
      <c r="B870">
        <v>1053</v>
      </c>
      <c r="C870" t="s">
        <v>126</v>
      </c>
      <c r="D870">
        <v>300</v>
      </c>
      <c r="E870">
        <v>1</v>
      </c>
      <c r="F870">
        <v>0</v>
      </c>
      <c r="G870">
        <v>0</v>
      </c>
      <c r="H870">
        <v>300</v>
      </c>
      <c r="I870">
        <v>0</v>
      </c>
      <c r="J870">
        <v>0</v>
      </c>
    </row>
    <row r="871" spans="1:10" x14ac:dyDescent="0.25">
      <c r="A871">
        <v>71303087</v>
      </c>
      <c r="B871">
        <v>1054</v>
      </c>
      <c r="C871" t="s">
        <v>126</v>
      </c>
      <c r="D871">
        <v>300</v>
      </c>
      <c r="E871">
        <v>1</v>
      </c>
      <c r="F871">
        <v>0</v>
      </c>
      <c r="G871">
        <v>0</v>
      </c>
      <c r="H871">
        <v>19</v>
      </c>
      <c r="I871">
        <v>0</v>
      </c>
      <c r="J871">
        <v>0</v>
      </c>
    </row>
    <row r="872" spans="1:10" x14ac:dyDescent="0.25">
      <c r="A872">
        <v>71303090</v>
      </c>
      <c r="B872">
        <v>1055</v>
      </c>
      <c r="C872" t="s">
        <v>126</v>
      </c>
      <c r="D872">
        <v>300</v>
      </c>
      <c r="E872">
        <v>1</v>
      </c>
      <c r="F872">
        <v>0</v>
      </c>
      <c r="G872">
        <v>110</v>
      </c>
      <c r="H872">
        <v>0</v>
      </c>
      <c r="I872">
        <v>0</v>
      </c>
      <c r="J872">
        <v>0</v>
      </c>
    </row>
    <row r="873" spans="1:10" x14ac:dyDescent="0.25">
      <c r="A873">
        <v>71303098</v>
      </c>
      <c r="B873">
        <v>1044</v>
      </c>
      <c r="C873" t="s">
        <v>121</v>
      </c>
      <c r="D873">
        <v>300</v>
      </c>
      <c r="E873">
        <v>1</v>
      </c>
      <c r="F873">
        <v>0</v>
      </c>
      <c r="G873">
        <v>100</v>
      </c>
      <c r="H873">
        <v>0</v>
      </c>
      <c r="I873">
        <v>0</v>
      </c>
      <c r="J873">
        <v>0</v>
      </c>
    </row>
    <row r="874" spans="1:10" x14ac:dyDescent="0.25">
      <c r="A874">
        <v>71303100</v>
      </c>
      <c r="B874">
        <v>2220</v>
      </c>
      <c r="C874" t="s">
        <v>165</v>
      </c>
      <c r="D874">
        <v>300</v>
      </c>
      <c r="E874">
        <v>1</v>
      </c>
      <c r="F874">
        <v>0</v>
      </c>
      <c r="G874">
        <v>70</v>
      </c>
      <c r="H874">
        <v>12</v>
      </c>
      <c r="I874">
        <v>0</v>
      </c>
      <c r="J874">
        <v>0</v>
      </c>
    </row>
    <row r="875" spans="1:10" x14ac:dyDescent="0.25">
      <c r="A875">
        <v>71303103</v>
      </c>
      <c r="B875">
        <v>1056</v>
      </c>
      <c r="C875" t="s">
        <v>126</v>
      </c>
      <c r="D875">
        <v>300</v>
      </c>
      <c r="E875">
        <v>1</v>
      </c>
      <c r="F875">
        <v>0</v>
      </c>
      <c r="G875">
        <v>0</v>
      </c>
      <c r="H875">
        <v>100</v>
      </c>
      <c r="I875">
        <v>0</v>
      </c>
      <c r="J875">
        <v>0</v>
      </c>
    </row>
    <row r="876" spans="1:10" x14ac:dyDescent="0.25">
      <c r="A876">
        <v>71303107</v>
      </c>
      <c r="B876">
        <v>942</v>
      </c>
      <c r="C876" t="s">
        <v>166</v>
      </c>
      <c r="D876">
        <v>300</v>
      </c>
      <c r="E876">
        <v>1</v>
      </c>
      <c r="F876">
        <v>0</v>
      </c>
      <c r="G876">
        <v>309</v>
      </c>
      <c r="H876">
        <v>11</v>
      </c>
      <c r="I876">
        <v>0</v>
      </c>
      <c r="J876">
        <v>0</v>
      </c>
    </row>
    <row r="877" spans="1:10" x14ac:dyDescent="0.25">
      <c r="A877">
        <v>71303110</v>
      </c>
      <c r="B877">
        <v>755</v>
      </c>
      <c r="C877" t="s">
        <v>76</v>
      </c>
      <c r="D877">
        <v>300</v>
      </c>
      <c r="E877">
        <v>1</v>
      </c>
      <c r="F877">
        <v>0</v>
      </c>
      <c r="G877">
        <v>100</v>
      </c>
      <c r="H877">
        <v>0</v>
      </c>
      <c r="I877">
        <v>0</v>
      </c>
      <c r="J877">
        <v>0</v>
      </c>
    </row>
    <row r="878" spans="1:10" x14ac:dyDescent="0.25">
      <c r="A878">
        <v>71303112</v>
      </c>
      <c r="B878">
        <v>976</v>
      </c>
      <c r="C878" t="s">
        <v>69</v>
      </c>
      <c r="D878">
        <v>300</v>
      </c>
      <c r="E878">
        <v>1</v>
      </c>
      <c r="F878">
        <v>0</v>
      </c>
      <c r="G878">
        <v>0</v>
      </c>
      <c r="H878">
        <v>163</v>
      </c>
      <c r="I878">
        <v>0</v>
      </c>
      <c r="J878">
        <v>0</v>
      </c>
    </row>
    <row r="879" spans="1:10" x14ac:dyDescent="0.25">
      <c r="A879">
        <v>71303113</v>
      </c>
      <c r="B879">
        <v>962</v>
      </c>
      <c r="C879" t="s">
        <v>74</v>
      </c>
      <c r="D879">
        <v>300</v>
      </c>
      <c r="E879">
        <v>1</v>
      </c>
      <c r="F879">
        <v>0</v>
      </c>
      <c r="G879">
        <v>120</v>
      </c>
      <c r="H879">
        <v>15</v>
      </c>
      <c r="I879">
        <v>0</v>
      </c>
      <c r="J879">
        <v>0</v>
      </c>
    </row>
    <row r="880" spans="1:10" x14ac:dyDescent="0.25">
      <c r="A880">
        <v>71303117</v>
      </c>
      <c r="B880">
        <v>891</v>
      </c>
      <c r="C880" t="s">
        <v>75</v>
      </c>
      <c r="D880">
        <v>300</v>
      </c>
      <c r="E880">
        <v>1</v>
      </c>
      <c r="F880">
        <v>0</v>
      </c>
      <c r="G880">
        <v>25</v>
      </c>
      <c r="H880">
        <v>70</v>
      </c>
      <c r="I880">
        <v>0</v>
      </c>
      <c r="J880">
        <v>0</v>
      </c>
    </row>
    <row r="881" spans="1:10" x14ac:dyDescent="0.25">
      <c r="A881">
        <v>71303118</v>
      </c>
      <c r="B881">
        <v>892</v>
      </c>
      <c r="C881" t="s">
        <v>75</v>
      </c>
      <c r="D881">
        <v>300</v>
      </c>
      <c r="E881">
        <v>1</v>
      </c>
      <c r="F881">
        <v>0</v>
      </c>
      <c r="G881">
        <v>170</v>
      </c>
      <c r="H881">
        <v>0</v>
      </c>
      <c r="I881">
        <v>0</v>
      </c>
      <c r="J881">
        <v>0</v>
      </c>
    </row>
    <row r="882" spans="1:10" x14ac:dyDescent="0.25">
      <c r="A882">
        <v>71303122</v>
      </c>
      <c r="B882">
        <v>813</v>
      </c>
      <c r="C882" t="s">
        <v>50</v>
      </c>
      <c r="D882">
        <v>300</v>
      </c>
      <c r="E882">
        <v>1</v>
      </c>
      <c r="F882">
        <v>0</v>
      </c>
      <c r="G882">
        <v>100</v>
      </c>
      <c r="H882">
        <v>60</v>
      </c>
      <c r="I882">
        <v>0</v>
      </c>
      <c r="J882">
        <v>0</v>
      </c>
    </row>
    <row r="883" spans="1:10" x14ac:dyDescent="0.25">
      <c r="A883">
        <v>71303123</v>
      </c>
      <c r="B883">
        <v>2221</v>
      </c>
      <c r="C883" t="s">
        <v>165</v>
      </c>
      <c r="D883">
        <v>300</v>
      </c>
      <c r="E883">
        <v>1</v>
      </c>
      <c r="F883">
        <v>0</v>
      </c>
      <c r="G883">
        <v>0</v>
      </c>
      <c r="H883">
        <v>50</v>
      </c>
      <c r="I883">
        <v>0</v>
      </c>
      <c r="J883">
        <v>0</v>
      </c>
    </row>
    <row r="884" spans="1:10" x14ac:dyDescent="0.25">
      <c r="A884">
        <v>71303124</v>
      </c>
      <c r="B884">
        <v>1045</v>
      </c>
      <c r="C884" t="s">
        <v>121</v>
      </c>
      <c r="D884">
        <v>300</v>
      </c>
      <c r="E884">
        <v>1</v>
      </c>
      <c r="F884">
        <v>0</v>
      </c>
      <c r="G884">
        <v>0</v>
      </c>
      <c r="H884">
        <v>36</v>
      </c>
      <c r="I884">
        <v>0</v>
      </c>
      <c r="J884">
        <v>0</v>
      </c>
    </row>
    <row r="885" spans="1:10" x14ac:dyDescent="0.25">
      <c r="A885">
        <v>71303125</v>
      </c>
      <c r="B885">
        <v>861</v>
      </c>
      <c r="C885" t="s">
        <v>164</v>
      </c>
      <c r="D885">
        <v>300</v>
      </c>
      <c r="E885">
        <v>1</v>
      </c>
      <c r="F885">
        <v>0</v>
      </c>
      <c r="G885">
        <v>0</v>
      </c>
      <c r="H885">
        <v>110</v>
      </c>
      <c r="I885">
        <v>0</v>
      </c>
      <c r="J885">
        <v>0</v>
      </c>
    </row>
    <row r="886" spans="1:10" x14ac:dyDescent="0.25">
      <c r="A886">
        <v>71303126</v>
      </c>
      <c r="B886">
        <v>848</v>
      </c>
      <c r="C886" t="s">
        <v>70</v>
      </c>
      <c r="D886">
        <v>300</v>
      </c>
      <c r="E886">
        <v>1</v>
      </c>
      <c r="F886">
        <v>0</v>
      </c>
      <c r="G886">
        <v>0</v>
      </c>
      <c r="H886">
        <v>320</v>
      </c>
      <c r="I886">
        <v>0</v>
      </c>
      <c r="J886">
        <v>0</v>
      </c>
    </row>
    <row r="887" spans="1:10" x14ac:dyDescent="0.25">
      <c r="A887">
        <v>71303129</v>
      </c>
      <c r="B887">
        <v>1057</v>
      </c>
      <c r="C887" t="s">
        <v>126</v>
      </c>
      <c r="D887">
        <v>300</v>
      </c>
      <c r="E887">
        <v>1</v>
      </c>
      <c r="F887">
        <v>0</v>
      </c>
      <c r="G887">
        <v>0</v>
      </c>
      <c r="H887">
        <v>500</v>
      </c>
      <c r="I887">
        <v>0</v>
      </c>
      <c r="J887">
        <v>0</v>
      </c>
    </row>
    <row r="888" spans="1:10" x14ac:dyDescent="0.25">
      <c r="A888">
        <v>71303132</v>
      </c>
      <c r="B888">
        <v>756</v>
      </c>
      <c r="C888" t="s">
        <v>76</v>
      </c>
      <c r="D888">
        <v>300</v>
      </c>
      <c r="E888">
        <v>1</v>
      </c>
      <c r="F888">
        <v>0</v>
      </c>
      <c r="G888">
        <v>0</v>
      </c>
      <c r="H888">
        <v>90</v>
      </c>
      <c r="I888">
        <v>0</v>
      </c>
      <c r="J888">
        <v>0</v>
      </c>
    </row>
    <row r="889" spans="1:10" x14ac:dyDescent="0.25">
      <c r="A889">
        <v>71303133</v>
      </c>
      <c r="B889">
        <v>827</v>
      </c>
      <c r="C889" t="s">
        <v>123</v>
      </c>
      <c r="D889">
        <v>300</v>
      </c>
      <c r="E889">
        <v>1</v>
      </c>
      <c r="F889">
        <v>0</v>
      </c>
      <c r="G889">
        <v>10</v>
      </c>
      <c r="H889">
        <v>15</v>
      </c>
      <c r="I889">
        <v>0</v>
      </c>
      <c r="J889">
        <v>0</v>
      </c>
    </row>
    <row r="890" spans="1:10" x14ac:dyDescent="0.25">
      <c r="A890">
        <v>71303135</v>
      </c>
      <c r="B890">
        <v>828</v>
      </c>
      <c r="C890" t="s">
        <v>123</v>
      </c>
      <c r="D890">
        <v>300</v>
      </c>
      <c r="E890">
        <v>1</v>
      </c>
      <c r="F890">
        <v>0</v>
      </c>
      <c r="G890">
        <v>0</v>
      </c>
      <c r="H890">
        <v>150</v>
      </c>
      <c r="I890">
        <v>0</v>
      </c>
      <c r="J890">
        <v>0</v>
      </c>
    </row>
    <row r="891" spans="1:10" x14ac:dyDescent="0.25">
      <c r="A891">
        <v>71303143</v>
      </c>
      <c r="B891">
        <v>849</v>
      </c>
      <c r="C891" t="s">
        <v>70</v>
      </c>
      <c r="D891">
        <v>300</v>
      </c>
      <c r="E891">
        <v>1</v>
      </c>
      <c r="F891">
        <v>0</v>
      </c>
      <c r="G891">
        <v>150</v>
      </c>
      <c r="H891">
        <v>0</v>
      </c>
      <c r="I891">
        <v>0</v>
      </c>
      <c r="J891">
        <v>0</v>
      </c>
    </row>
    <row r="892" spans="1:10" x14ac:dyDescent="0.25">
      <c r="A892">
        <v>71303151</v>
      </c>
      <c r="B892">
        <v>977</v>
      </c>
      <c r="C892" t="s">
        <v>69</v>
      </c>
      <c r="D892">
        <v>300</v>
      </c>
      <c r="E892">
        <v>1</v>
      </c>
      <c r="F892">
        <v>0</v>
      </c>
      <c r="G892">
        <v>0</v>
      </c>
      <c r="H892">
        <v>160</v>
      </c>
      <c r="I892">
        <v>0</v>
      </c>
      <c r="J892">
        <v>0</v>
      </c>
    </row>
    <row r="893" spans="1:10" x14ac:dyDescent="0.25">
      <c r="A893">
        <v>71303153</v>
      </c>
      <c r="B893">
        <v>836</v>
      </c>
      <c r="C893" t="s">
        <v>165</v>
      </c>
      <c r="D893">
        <v>300</v>
      </c>
      <c r="E893">
        <v>1</v>
      </c>
      <c r="F893">
        <v>0</v>
      </c>
      <c r="G893">
        <v>0</v>
      </c>
      <c r="H893">
        <v>190</v>
      </c>
      <c r="I893">
        <v>0</v>
      </c>
      <c r="J893">
        <v>0</v>
      </c>
    </row>
    <row r="894" spans="1:10" x14ac:dyDescent="0.25">
      <c r="A894">
        <v>71303154</v>
      </c>
      <c r="B894">
        <v>814</v>
      </c>
      <c r="C894" t="s">
        <v>50</v>
      </c>
      <c r="D894">
        <v>300</v>
      </c>
      <c r="E894">
        <v>1</v>
      </c>
      <c r="F894">
        <v>0</v>
      </c>
      <c r="G894">
        <v>100</v>
      </c>
      <c r="H894">
        <v>0</v>
      </c>
      <c r="I894">
        <v>0</v>
      </c>
      <c r="J894">
        <v>0</v>
      </c>
    </row>
    <row r="895" spans="1:10" x14ac:dyDescent="0.25">
      <c r="A895">
        <v>71303155</v>
      </c>
      <c r="B895">
        <v>815</v>
      </c>
      <c r="C895" t="s">
        <v>50</v>
      </c>
      <c r="D895">
        <v>300</v>
      </c>
      <c r="E895">
        <v>1</v>
      </c>
      <c r="F895">
        <v>0</v>
      </c>
      <c r="G895">
        <v>0</v>
      </c>
      <c r="H895">
        <v>190</v>
      </c>
      <c r="I895">
        <v>0</v>
      </c>
      <c r="J895">
        <v>0</v>
      </c>
    </row>
    <row r="896" spans="1:10" x14ac:dyDescent="0.25">
      <c r="A896">
        <v>71303156</v>
      </c>
      <c r="B896">
        <v>778</v>
      </c>
      <c r="C896" t="s">
        <v>71</v>
      </c>
      <c r="D896">
        <v>300</v>
      </c>
      <c r="E896">
        <v>1</v>
      </c>
      <c r="F896">
        <v>0</v>
      </c>
      <c r="G896">
        <v>0</v>
      </c>
      <c r="H896">
        <v>50</v>
      </c>
      <c r="I896">
        <v>0</v>
      </c>
      <c r="J896">
        <v>0</v>
      </c>
    </row>
    <row r="897" spans="1:10" x14ac:dyDescent="0.25">
      <c r="A897">
        <v>71303157</v>
      </c>
      <c r="B897">
        <v>779</v>
      </c>
      <c r="C897" t="s">
        <v>71</v>
      </c>
      <c r="D897">
        <v>300</v>
      </c>
      <c r="E897">
        <v>1</v>
      </c>
      <c r="F897">
        <v>0</v>
      </c>
      <c r="G897">
        <v>0</v>
      </c>
      <c r="H897">
        <v>90</v>
      </c>
      <c r="I897">
        <v>0</v>
      </c>
      <c r="J897">
        <v>0</v>
      </c>
    </row>
    <row r="898" spans="1:10" x14ac:dyDescent="0.25">
      <c r="A898">
        <v>71303158</v>
      </c>
      <c r="B898">
        <v>780</v>
      </c>
      <c r="C898" t="s">
        <v>71</v>
      </c>
      <c r="D898">
        <v>300</v>
      </c>
      <c r="E898">
        <v>1</v>
      </c>
      <c r="F898">
        <v>24</v>
      </c>
      <c r="G898">
        <v>0</v>
      </c>
      <c r="H898">
        <v>68</v>
      </c>
      <c r="I898">
        <v>0</v>
      </c>
      <c r="J898">
        <v>0</v>
      </c>
    </row>
    <row r="899" spans="1:10" x14ac:dyDescent="0.25">
      <c r="A899">
        <v>71303161</v>
      </c>
      <c r="B899">
        <v>893</v>
      </c>
      <c r="C899" t="s">
        <v>75</v>
      </c>
      <c r="D899">
        <v>300</v>
      </c>
      <c r="E899">
        <v>1</v>
      </c>
      <c r="F899">
        <v>0</v>
      </c>
      <c r="G899">
        <v>145</v>
      </c>
      <c r="H899">
        <v>0</v>
      </c>
      <c r="I899">
        <v>0</v>
      </c>
      <c r="J899">
        <v>0</v>
      </c>
    </row>
    <row r="900" spans="1:10" x14ac:dyDescent="0.25">
      <c r="A900">
        <v>71303171</v>
      </c>
      <c r="B900">
        <v>856</v>
      </c>
      <c r="C900" t="s">
        <v>167</v>
      </c>
      <c r="D900">
        <v>300</v>
      </c>
      <c r="E900">
        <v>1</v>
      </c>
      <c r="F900">
        <v>0</v>
      </c>
      <c r="G900">
        <v>0</v>
      </c>
      <c r="H900">
        <v>10</v>
      </c>
      <c r="I900">
        <v>0</v>
      </c>
      <c r="J900">
        <v>0</v>
      </c>
    </row>
    <row r="901" spans="1:10" x14ac:dyDescent="0.25">
      <c r="A901">
        <v>71303175</v>
      </c>
      <c r="B901">
        <v>1058</v>
      </c>
      <c r="C901" t="s">
        <v>126</v>
      </c>
      <c r="D901">
        <v>300</v>
      </c>
      <c r="E901">
        <v>1</v>
      </c>
      <c r="F901">
        <v>0</v>
      </c>
      <c r="G901">
        <v>0</v>
      </c>
      <c r="H901">
        <v>110</v>
      </c>
      <c r="I901">
        <v>0</v>
      </c>
      <c r="J901">
        <v>0</v>
      </c>
    </row>
    <row r="902" spans="1:10" x14ac:dyDescent="0.25">
      <c r="A902">
        <v>71303176</v>
      </c>
      <c r="B902">
        <v>781</v>
      </c>
      <c r="C902" t="s">
        <v>71</v>
      </c>
      <c r="D902">
        <v>300</v>
      </c>
      <c r="E902">
        <v>1</v>
      </c>
      <c r="F902">
        <v>0</v>
      </c>
      <c r="G902">
        <v>0</v>
      </c>
      <c r="H902">
        <v>18</v>
      </c>
      <c r="I902">
        <v>0</v>
      </c>
      <c r="J902">
        <v>0</v>
      </c>
    </row>
    <row r="903" spans="1:10" x14ac:dyDescent="0.25">
      <c r="A903">
        <v>71303178</v>
      </c>
      <c r="B903">
        <v>904</v>
      </c>
      <c r="C903" t="s">
        <v>125</v>
      </c>
      <c r="D903">
        <v>300</v>
      </c>
      <c r="E903">
        <v>1</v>
      </c>
      <c r="F903">
        <v>0</v>
      </c>
      <c r="G903">
        <v>150</v>
      </c>
      <c r="H903">
        <v>0</v>
      </c>
      <c r="I903">
        <v>0</v>
      </c>
      <c r="J903">
        <v>0</v>
      </c>
    </row>
    <row r="904" spans="1:10" x14ac:dyDescent="0.25">
      <c r="A904">
        <v>71303180</v>
      </c>
      <c r="B904">
        <v>894</v>
      </c>
      <c r="C904" t="s">
        <v>75</v>
      </c>
      <c r="D904">
        <v>300</v>
      </c>
      <c r="E904">
        <v>1</v>
      </c>
      <c r="F904">
        <v>0</v>
      </c>
      <c r="G904">
        <v>100</v>
      </c>
      <c r="H904">
        <v>0</v>
      </c>
      <c r="I904">
        <v>0</v>
      </c>
      <c r="J904">
        <v>0</v>
      </c>
    </row>
    <row r="905" spans="1:10" x14ac:dyDescent="0.25">
      <c r="A905">
        <v>71303181</v>
      </c>
      <c r="B905">
        <v>905</v>
      </c>
      <c r="C905" t="s">
        <v>125</v>
      </c>
      <c r="D905">
        <v>300</v>
      </c>
      <c r="E905">
        <v>1</v>
      </c>
      <c r="F905">
        <v>0</v>
      </c>
      <c r="G905">
        <v>0</v>
      </c>
      <c r="H905">
        <v>20</v>
      </c>
      <c r="I905">
        <v>0</v>
      </c>
      <c r="J905">
        <v>0</v>
      </c>
    </row>
    <row r="906" spans="1:10" x14ac:dyDescent="0.25">
      <c r="A906">
        <v>71303182</v>
      </c>
      <c r="B906">
        <v>822</v>
      </c>
      <c r="C906" t="s">
        <v>170</v>
      </c>
      <c r="D906">
        <v>300</v>
      </c>
      <c r="E906">
        <v>1</v>
      </c>
      <c r="F906">
        <v>11</v>
      </c>
      <c r="G906">
        <v>160</v>
      </c>
      <c r="H906">
        <v>0</v>
      </c>
      <c r="I906">
        <v>0</v>
      </c>
      <c r="J906">
        <v>0</v>
      </c>
    </row>
    <row r="907" spans="1:10" x14ac:dyDescent="0.25">
      <c r="A907">
        <v>71303185</v>
      </c>
      <c r="B907">
        <v>757</v>
      </c>
      <c r="C907" t="s">
        <v>76</v>
      </c>
      <c r="D907">
        <v>300</v>
      </c>
      <c r="E907">
        <v>1</v>
      </c>
      <c r="F907">
        <v>0</v>
      </c>
      <c r="G907">
        <v>0</v>
      </c>
      <c r="H907">
        <v>130</v>
      </c>
      <c r="I907">
        <v>0</v>
      </c>
      <c r="J907">
        <v>0</v>
      </c>
    </row>
    <row r="908" spans="1:10" x14ac:dyDescent="0.25">
      <c r="A908">
        <v>71303192</v>
      </c>
      <c r="B908">
        <v>782</v>
      </c>
      <c r="C908" t="s">
        <v>71</v>
      </c>
      <c r="D908">
        <v>300</v>
      </c>
      <c r="E908">
        <v>1</v>
      </c>
      <c r="F908">
        <v>0</v>
      </c>
      <c r="G908">
        <v>175</v>
      </c>
      <c r="H908">
        <v>0</v>
      </c>
      <c r="I908">
        <v>0</v>
      </c>
      <c r="J908">
        <v>0</v>
      </c>
    </row>
    <row r="909" spans="1:10" x14ac:dyDescent="0.25">
      <c r="A909">
        <v>71303211</v>
      </c>
      <c r="B909">
        <v>2170</v>
      </c>
      <c r="C909" t="s">
        <v>74</v>
      </c>
      <c r="D909">
        <v>300</v>
      </c>
      <c r="E909">
        <v>1</v>
      </c>
      <c r="F909">
        <v>0</v>
      </c>
      <c r="G909">
        <v>160</v>
      </c>
      <c r="H909">
        <v>0</v>
      </c>
      <c r="I909">
        <v>0</v>
      </c>
      <c r="J909">
        <v>0</v>
      </c>
    </row>
    <row r="910" spans="1:10" x14ac:dyDescent="0.25">
      <c r="A910">
        <v>71303217</v>
      </c>
      <c r="B910">
        <v>2219</v>
      </c>
      <c r="C910" t="s">
        <v>163</v>
      </c>
      <c r="D910">
        <v>300</v>
      </c>
      <c r="E910">
        <v>1</v>
      </c>
      <c r="F910">
        <v>0</v>
      </c>
      <c r="G910">
        <v>0</v>
      </c>
      <c r="H910">
        <v>250</v>
      </c>
      <c r="I910">
        <v>0</v>
      </c>
      <c r="J910">
        <v>0</v>
      </c>
    </row>
    <row r="911" spans="1:10" x14ac:dyDescent="0.25">
      <c r="A911">
        <v>71303224</v>
      </c>
      <c r="B911">
        <v>2217</v>
      </c>
      <c r="C911" t="s">
        <v>50</v>
      </c>
      <c r="D911">
        <v>300</v>
      </c>
      <c r="E911">
        <v>1</v>
      </c>
      <c r="F911">
        <v>0</v>
      </c>
      <c r="G911">
        <v>140</v>
      </c>
      <c r="H911">
        <v>0</v>
      </c>
      <c r="I911">
        <v>0</v>
      </c>
      <c r="J911">
        <v>0</v>
      </c>
    </row>
    <row r="912" spans="1:10" x14ac:dyDescent="0.25">
      <c r="A912">
        <v>71303234</v>
      </c>
      <c r="B912">
        <v>2216</v>
      </c>
      <c r="C912" t="s">
        <v>50</v>
      </c>
      <c r="D912">
        <v>300</v>
      </c>
      <c r="E912">
        <v>1</v>
      </c>
      <c r="F912">
        <v>0</v>
      </c>
      <c r="G912">
        <v>0</v>
      </c>
      <c r="H912">
        <v>60</v>
      </c>
      <c r="I912">
        <v>0</v>
      </c>
      <c r="J912">
        <v>0</v>
      </c>
    </row>
    <row r="913" spans="1:10" x14ac:dyDescent="0.25">
      <c r="A913">
        <v>7130326</v>
      </c>
      <c r="B913">
        <v>854</v>
      </c>
      <c r="C913" t="s">
        <v>167</v>
      </c>
      <c r="D913">
        <v>300</v>
      </c>
      <c r="E913">
        <v>1</v>
      </c>
      <c r="F913">
        <v>0</v>
      </c>
      <c r="G913">
        <v>0</v>
      </c>
      <c r="H913">
        <v>340</v>
      </c>
      <c r="I913">
        <v>0</v>
      </c>
      <c r="J913">
        <v>0</v>
      </c>
    </row>
    <row r="914" spans="1:10" x14ac:dyDescent="0.25">
      <c r="A914">
        <v>71303459</v>
      </c>
      <c r="B914">
        <v>486</v>
      </c>
      <c r="C914" t="s">
        <v>171</v>
      </c>
      <c r="D914">
        <v>300</v>
      </c>
      <c r="E914">
        <v>1</v>
      </c>
      <c r="F914">
        <v>0</v>
      </c>
      <c r="G914">
        <v>190</v>
      </c>
      <c r="H914">
        <v>0</v>
      </c>
      <c r="I914">
        <v>0</v>
      </c>
      <c r="J914">
        <v>0</v>
      </c>
    </row>
    <row r="915" spans="1:10" x14ac:dyDescent="0.25">
      <c r="A915">
        <v>71303501</v>
      </c>
      <c r="B915">
        <v>443</v>
      </c>
      <c r="C915" t="s">
        <v>64</v>
      </c>
      <c r="D915">
        <v>300</v>
      </c>
      <c r="E915">
        <v>1</v>
      </c>
      <c r="F915">
        <v>0</v>
      </c>
      <c r="G915">
        <v>370</v>
      </c>
      <c r="H915">
        <v>400</v>
      </c>
      <c r="I915">
        <v>0</v>
      </c>
      <c r="J915">
        <v>0</v>
      </c>
    </row>
    <row r="916" spans="1:10" x14ac:dyDescent="0.25">
      <c r="A916">
        <v>71303509</v>
      </c>
      <c r="B916">
        <v>444</v>
      </c>
      <c r="C916" t="s">
        <v>64</v>
      </c>
      <c r="D916">
        <v>300</v>
      </c>
      <c r="E916">
        <v>1</v>
      </c>
      <c r="F916">
        <v>0</v>
      </c>
      <c r="G916">
        <v>230</v>
      </c>
      <c r="H916">
        <v>0</v>
      </c>
      <c r="I916">
        <v>0</v>
      </c>
      <c r="J916">
        <v>0</v>
      </c>
    </row>
    <row r="917" spans="1:10" x14ac:dyDescent="0.25">
      <c r="A917">
        <v>71303510</v>
      </c>
      <c r="B917">
        <v>445</v>
      </c>
      <c r="C917" t="s">
        <v>64</v>
      </c>
      <c r="D917">
        <v>300</v>
      </c>
      <c r="E917">
        <v>1</v>
      </c>
      <c r="F917">
        <v>15</v>
      </c>
      <c r="G917">
        <v>50</v>
      </c>
      <c r="H917">
        <v>0</v>
      </c>
      <c r="I917">
        <v>0</v>
      </c>
      <c r="J917">
        <v>0</v>
      </c>
    </row>
    <row r="918" spans="1:10" x14ac:dyDescent="0.25">
      <c r="A918">
        <v>71303511</v>
      </c>
      <c r="B918">
        <v>446</v>
      </c>
      <c r="C918" t="s">
        <v>64</v>
      </c>
      <c r="D918">
        <v>300</v>
      </c>
      <c r="E918">
        <v>1</v>
      </c>
      <c r="F918">
        <v>0</v>
      </c>
      <c r="G918">
        <v>120</v>
      </c>
      <c r="H918">
        <v>0</v>
      </c>
      <c r="I918">
        <v>0</v>
      </c>
      <c r="J918">
        <v>0</v>
      </c>
    </row>
    <row r="919" spans="1:10" x14ac:dyDescent="0.25">
      <c r="A919">
        <v>71303518</v>
      </c>
      <c r="B919">
        <v>447</v>
      </c>
      <c r="C919" t="s">
        <v>64</v>
      </c>
      <c r="D919">
        <v>300</v>
      </c>
      <c r="E919">
        <v>1</v>
      </c>
      <c r="F919">
        <v>0</v>
      </c>
      <c r="G919">
        <v>0</v>
      </c>
      <c r="H919">
        <v>25</v>
      </c>
      <c r="I919">
        <v>0</v>
      </c>
      <c r="J919">
        <v>0</v>
      </c>
    </row>
    <row r="920" spans="1:10" x14ac:dyDescent="0.25">
      <c r="A920">
        <v>71303520</v>
      </c>
      <c r="B920">
        <v>448</v>
      </c>
      <c r="C920" t="s">
        <v>64</v>
      </c>
      <c r="D920">
        <v>300</v>
      </c>
      <c r="E920">
        <v>1</v>
      </c>
      <c r="F920">
        <v>0</v>
      </c>
      <c r="G920">
        <v>0</v>
      </c>
      <c r="H920">
        <v>170</v>
      </c>
      <c r="I920">
        <v>0</v>
      </c>
      <c r="J920">
        <v>0</v>
      </c>
    </row>
    <row r="921" spans="1:10" x14ac:dyDescent="0.25">
      <c r="A921">
        <v>71303521</v>
      </c>
      <c r="B921">
        <v>449</v>
      </c>
      <c r="C921" t="s">
        <v>64</v>
      </c>
      <c r="D921">
        <v>300</v>
      </c>
      <c r="E921">
        <v>1</v>
      </c>
      <c r="F921">
        <v>0</v>
      </c>
      <c r="G921">
        <v>0</v>
      </c>
      <c r="H921">
        <v>160</v>
      </c>
      <c r="I921">
        <v>0</v>
      </c>
      <c r="J921">
        <v>0</v>
      </c>
    </row>
    <row r="922" spans="1:10" x14ac:dyDescent="0.25">
      <c r="A922">
        <v>71303522</v>
      </c>
      <c r="B922">
        <v>450</v>
      </c>
      <c r="C922" t="s">
        <v>64</v>
      </c>
      <c r="D922">
        <v>300</v>
      </c>
      <c r="E922">
        <v>1</v>
      </c>
      <c r="F922">
        <v>0</v>
      </c>
      <c r="G922">
        <v>210</v>
      </c>
      <c r="H922">
        <v>0</v>
      </c>
      <c r="I922">
        <v>0</v>
      </c>
      <c r="J922">
        <v>0</v>
      </c>
    </row>
    <row r="923" spans="1:10" x14ac:dyDescent="0.25">
      <c r="A923">
        <v>71303524</v>
      </c>
      <c r="B923">
        <v>496</v>
      </c>
      <c r="C923" t="s">
        <v>172</v>
      </c>
      <c r="D923">
        <v>300</v>
      </c>
      <c r="E923">
        <v>1</v>
      </c>
      <c r="F923">
        <v>0</v>
      </c>
      <c r="G923">
        <v>0</v>
      </c>
      <c r="H923">
        <v>185</v>
      </c>
      <c r="I923">
        <v>0</v>
      </c>
      <c r="J923">
        <v>0</v>
      </c>
    </row>
    <row r="924" spans="1:10" x14ac:dyDescent="0.25">
      <c r="A924">
        <v>71303528</v>
      </c>
      <c r="B924">
        <v>451</v>
      </c>
      <c r="C924" t="s">
        <v>64</v>
      </c>
      <c r="D924">
        <v>300</v>
      </c>
      <c r="E924">
        <v>1</v>
      </c>
      <c r="F924">
        <v>0</v>
      </c>
      <c r="G924">
        <v>0</v>
      </c>
      <c r="H924">
        <v>150</v>
      </c>
      <c r="I924">
        <v>0</v>
      </c>
      <c r="J924">
        <v>0</v>
      </c>
    </row>
    <row r="925" spans="1:10" x14ac:dyDescent="0.25">
      <c r="A925">
        <v>71303533</v>
      </c>
      <c r="B925">
        <v>452</v>
      </c>
      <c r="C925" t="s">
        <v>64</v>
      </c>
      <c r="D925">
        <v>300</v>
      </c>
      <c r="E925">
        <v>1</v>
      </c>
      <c r="F925">
        <v>0</v>
      </c>
      <c r="G925">
        <v>80</v>
      </c>
      <c r="H925">
        <v>0</v>
      </c>
      <c r="I925">
        <v>0</v>
      </c>
      <c r="J925">
        <v>0</v>
      </c>
    </row>
    <row r="926" spans="1:10" x14ac:dyDescent="0.25">
      <c r="A926">
        <v>71303534</v>
      </c>
      <c r="B926">
        <v>453</v>
      </c>
      <c r="C926" t="s">
        <v>64</v>
      </c>
      <c r="D926">
        <v>300</v>
      </c>
      <c r="E926">
        <v>1</v>
      </c>
      <c r="F926">
        <v>0</v>
      </c>
      <c r="G926">
        <v>45</v>
      </c>
      <c r="H926">
        <v>0</v>
      </c>
      <c r="I926">
        <v>0</v>
      </c>
      <c r="J926">
        <v>0</v>
      </c>
    </row>
    <row r="927" spans="1:10" x14ac:dyDescent="0.25">
      <c r="A927">
        <v>71303535</v>
      </c>
      <c r="B927">
        <v>454</v>
      </c>
      <c r="C927" t="s">
        <v>64</v>
      </c>
      <c r="D927">
        <v>300</v>
      </c>
      <c r="E927">
        <v>1</v>
      </c>
      <c r="F927">
        <v>0</v>
      </c>
      <c r="G927">
        <v>65</v>
      </c>
      <c r="H927">
        <v>0</v>
      </c>
      <c r="I927">
        <v>0</v>
      </c>
      <c r="J927">
        <v>0</v>
      </c>
    </row>
    <row r="928" spans="1:10" x14ac:dyDescent="0.25">
      <c r="A928">
        <v>71303547</v>
      </c>
      <c r="B928">
        <v>359</v>
      </c>
      <c r="C928" t="s">
        <v>68</v>
      </c>
      <c r="D928">
        <v>300</v>
      </c>
      <c r="E928">
        <v>1</v>
      </c>
      <c r="F928">
        <v>0</v>
      </c>
      <c r="G928">
        <v>200</v>
      </c>
      <c r="H928">
        <v>0</v>
      </c>
      <c r="I928">
        <v>0</v>
      </c>
      <c r="J928">
        <v>0</v>
      </c>
    </row>
    <row r="929" spans="1:10" x14ac:dyDescent="0.25">
      <c r="A929">
        <v>71303549</v>
      </c>
      <c r="B929">
        <v>360</v>
      </c>
      <c r="C929" t="s">
        <v>68</v>
      </c>
      <c r="D929">
        <v>300</v>
      </c>
      <c r="E929">
        <v>1</v>
      </c>
      <c r="F929">
        <v>0</v>
      </c>
      <c r="G929">
        <v>57</v>
      </c>
      <c r="H929">
        <v>0</v>
      </c>
      <c r="I929">
        <v>0</v>
      </c>
      <c r="J929">
        <v>0</v>
      </c>
    </row>
    <row r="930" spans="1:10" x14ac:dyDescent="0.25">
      <c r="A930">
        <v>71303554</v>
      </c>
      <c r="B930">
        <v>361</v>
      </c>
      <c r="C930" t="s">
        <v>68</v>
      </c>
      <c r="D930">
        <v>300</v>
      </c>
      <c r="E930">
        <v>1</v>
      </c>
      <c r="F930">
        <v>0</v>
      </c>
      <c r="G930">
        <v>100</v>
      </c>
      <c r="H930">
        <v>15</v>
      </c>
      <c r="I930">
        <v>0</v>
      </c>
      <c r="J930">
        <v>0</v>
      </c>
    </row>
    <row r="931" spans="1:10" x14ac:dyDescent="0.25">
      <c r="A931">
        <v>71303557</v>
      </c>
      <c r="B931">
        <v>362</v>
      </c>
      <c r="C931" t="s">
        <v>68</v>
      </c>
      <c r="D931">
        <v>300</v>
      </c>
      <c r="E931">
        <v>1</v>
      </c>
      <c r="F931">
        <v>0</v>
      </c>
      <c r="G931">
        <v>15</v>
      </c>
      <c r="H931">
        <v>0</v>
      </c>
      <c r="I931">
        <v>0</v>
      </c>
      <c r="J931">
        <v>0</v>
      </c>
    </row>
    <row r="932" spans="1:10" x14ac:dyDescent="0.25">
      <c r="A932">
        <v>71303559</v>
      </c>
      <c r="B932">
        <v>533</v>
      </c>
      <c r="C932" t="s">
        <v>67</v>
      </c>
      <c r="D932">
        <v>300</v>
      </c>
      <c r="E932">
        <v>1</v>
      </c>
      <c r="F932">
        <v>0</v>
      </c>
      <c r="G932">
        <v>200</v>
      </c>
      <c r="H932">
        <v>0</v>
      </c>
      <c r="I932">
        <v>0</v>
      </c>
      <c r="J932">
        <v>0</v>
      </c>
    </row>
    <row r="933" spans="1:10" x14ac:dyDescent="0.25">
      <c r="A933">
        <v>71303560</v>
      </c>
      <c r="B933">
        <v>534</v>
      </c>
      <c r="C933" t="s">
        <v>67</v>
      </c>
      <c r="D933">
        <v>300</v>
      </c>
      <c r="E933">
        <v>1</v>
      </c>
      <c r="F933">
        <v>0</v>
      </c>
      <c r="G933">
        <v>150</v>
      </c>
      <c r="H933">
        <v>0</v>
      </c>
      <c r="I933">
        <v>0</v>
      </c>
      <c r="J933">
        <v>0</v>
      </c>
    </row>
    <row r="934" spans="1:10" x14ac:dyDescent="0.25">
      <c r="A934">
        <v>71303562</v>
      </c>
      <c r="B934">
        <v>535</v>
      </c>
      <c r="C934" t="s">
        <v>67</v>
      </c>
      <c r="D934">
        <v>300</v>
      </c>
      <c r="E934">
        <v>1</v>
      </c>
      <c r="F934">
        <v>0</v>
      </c>
      <c r="G934">
        <v>135</v>
      </c>
      <c r="H934">
        <v>0</v>
      </c>
      <c r="I934">
        <v>0</v>
      </c>
      <c r="J934">
        <v>0</v>
      </c>
    </row>
    <row r="935" spans="1:10" x14ac:dyDescent="0.25">
      <c r="A935">
        <v>71303565</v>
      </c>
      <c r="B935">
        <v>536</v>
      </c>
      <c r="C935" t="s">
        <v>67</v>
      </c>
      <c r="D935">
        <v>300</v>
      </c>
      <c r="E935">
        <v>1</v>
      </c>
      <c r="F935">
        <v>0</v>
      </c>
      <c r="G935">
        <v>400</v>
      </c>
      <c r="H935">
        <v>0</v>
      </c>
      <c r="I935">
        <v>0</v>
      </c>
      <c r="J935">
        <v>0</v>
      </c>
    </row>
    <row r="936" spans="1:10" x14ac:dyDescent="0.25">
      <c r="A936">
        <v>71303566</v>
      </c>
      <c r="B936">
        <v>537</v>
      </c>
      <c r="C936" t="s">
        <v>67</v>
      </c>
      <c r="D936">
        <v>300</v>
      </c>
      <c r="E936">
        <v>1</v>
      </c>
      <c r="F936">
        <v>0</v>
      </c>
      <c r="G936">
        <v>0</v>
      </c>
      <c r="H936">
        <v>20</v>
      </c>
      <c r="I936">
        <v>0</v>
      </c>
      <c r="J936">
        <v>0</v>
      </c>
    </row>
    <row r="937" spans="1:10" x14ac:dyDescent="0.25">
      <c r="A937">
        <v>71303570</v>
      </c>
      <c r="B937">
        <v>538</v>
      </c>
      <c r="C937" t="s">
        <v>67</v>
      </c>
      <c r="D937">
        <v>300</v>
      </c>
      <c r="E937">
        <v>1</v>
      </c>
      <c r="F937">
        <v>0</v>
      </c>
      <c r="G937">
        <v>0</v>
      </c>
      <c r="H937">
        <v>230</v>
      </c>
      <c r="I937">
        <v>0</v>
      </c>
      <c r="J937">
        <v>0</v>
      </c>
    </row>
    <row r="938" spans="1:10" x14ac:dyDescent="0.25">
      <c r="A938">
        <v>71303571</v>
      </c>
      <c r="B938">
        <v>539</v>
      </c>
      <c r="C938" t="s">
        <v>67</v>
      </c>
      <c r="D938">
        <v>300</v>
      </c>
      <c r="E938">
        <v>1</v>
      </c>
      <c r="F938">
        <v>0</v>
      </c>
      <c r="G938">
        <v>0</v>
      </c>
      <c r="H938">
        <v>230</v>
      </c>
      <c r="I938">
        <v>0</v>
      </c>
      <c r="J938">
        <v>0</v>
      </c>
    </row>
    <row r="939" spans="1:10" x14ac:dyDescent="0.25">
      <c r="A939">
        <v>71303575</v>
      </c>
      <c r="B939">
        <v>540</v>
      </c>
      <c r="C939" t="s">
        <v>67</v>
      </c>
      <c r="D939">
        <v>300</v>
      </c>
      <c r="E939">
        <v>1</v>
      </c>
      <c r="F939">
        <v>0</v>
      </c>
      <c r="G939">
        <v>0</v>
      </c>
      <c r="H939">
        <v>230</v>
      </c>
      <c r="I939">
        <v>0</v>
      </c>
      <c r="J939">
        <v>0</v>
      </c>
    </row>
    <row r="940" spans="1:10" x14ac:dyDescent="0.25">
      <c r="A940">
        <v>71303577</v>
      </c>
      <c r="B940">
        <v>783</v>
      </c>
      <c r="C940" t="s">
        <v>71</v>
      </c>
      <c r="D940">
        <v>300</v>
      </c>
      <c r="E940">
        <v>1</v>
      </c>
      <c r="F940">
        <v>0</v>
      </c>
      <c r="G940">
        <v>0</v>
      </c>
      <c r="H940">
        <v>190</v>
      </c>
      <c r="I940">
        <v>0</v>
      </c>
      <c r="J940">
        <v>0</v>
      </c>
    </row>
    <row r="941" spans="1:10" x14ac:dyDescent="0.25">
      <c r="A941">
        <v>71303592</v>
      </c>
      <c r="B941">
        <v>504</v>
      </c>
      <c r="C941" t="s">
        <v>131</v>
      </c>
      <c r="D941">
        <v>300</v>
      </c>
      <c r="E941">
        <v>1</v>
      </c>
      <c r="F941">
        <v>0</v>
      </c>
      <c r="G941">
        <v>475</v>
      </c>
      <c r="H941">
        <v>0</v>
      </c>
      <c r="I941">
        <v>0</v>
      </c>
      <c r="J941">
        <v>0</v>
      </c>
    </row>
    <row r="942" spans="1:10" x14ac:dyDescent="0.25">
      <c r="A942">
        <v>71303595</v>
      </c>
      <c r="B942">
        <v>505</v>
      </c>
      <c r="C942" t="s">
        <v>131</v>
      </c>
      <c r="D942">
        <v>300</v>
      </c>
      <c r="E942">
        <v>1</v>
      </c>
      <c r="F942">
        <v>0</v>
      </c>
      <c r="G942">
        <v>0</v>
      </c>
      <c r="H942">
        <v>390</v>
      </c>
      <c r="I942">
        <v>0</v>
      </c>
      <c r="J942">
        <v>0</v>
      </c>
    </row>
    <row r="943" spans="1:10" x14ac:dyDescent="0.25">
      <c r="A943">
        <v>71303597</v>
      </c>
      <c r="B943">
        <v>555</v>
      </c>
      <c r="C943" t="s">
        <v>132</v>
      </c>
      <c r="D943">
        <v>300</v>
      </c>
      <c r="E943">
        <v>1</v>
      </c>
      <c r="F943">
        <v>0</v>
      </c>
      <c r="G943">
        <v>0</v>
      </c>
      <c r="H943">
        <v>230</v>
      </c>
      <c r="I943">
        <v>0</v>
      </c>
      <c r="J943">
        <v>0</v>
      </c>
    </row>
    <row r="944" spans="1:10" x14ac:dyDescent="0.25">
      <c r="A944">
        <v>71303598</v>
      </c>
      <c r="B944">
        <v>556</v>
      </c>
      <c r="C944" t="s">
        <v>132</v>
      </c>
      <c r="D944">
        <v>300</v>
      </c>
      <c r="E944">
        <v>1</v>
      </c>
      <c r="F944">
        <v>0</v>
      </c>
      <c r="G944">
        <v>0</v>
      </c>
      <c r="H944">
        <v>240</v>
      </c>
      <c r="I944">
        <v>0</v>
      </c>
      <c r="J944">
        <v>0</v>
      </c>
    </row>
    <row r="945" spans="1:10" x14ac:dyDescent="0.25">
      <c r="A945">
        <v>71303601</v>
      </c>
      <c r="B945">
        <v>1212</v>
      </c>
      <c r="C945" t="s">
        <v>132</v>
      </c>
      <c r="D945">
        <v>300</v>
      </c>
      <c r="E945">
        <v>1</v>
      </c>
      <c r="F945">
        <v>0</v>
      </c>
      <c r="G945">
        <v>150</v>
      </c>
      <c r="H945">
        <v>0</v>
      </c>
      <c r="I945">
        <v>0</v>
      </c>
      <c r="J945">
        <v>0</v>
      </c>
    </row>
    <row r="946" spans="1:10" x14ac:dyDescent="0.25">
      <c r="A946">
        <v>71303602</v>
      </c>
      <c r="B946">
        <v>506</v>
      </c>
      <c r="C946" t="s">
        <v>131</v>
      </c>
      <c r="D946">
        <v>300</v>
      </c>
      <c r="E946">
        <v>1</v>
      </c>
      <c r="F946">
        <v>0</v>
      </c>
      <c r="G946">
        <v>0</v>
      </c>
      <c r="H946">
        <v>54</v>
      </c>
      <c r="I946">
        <v>0</v>
      </c>
      <c r="J946">
        <v>0</v>
      </c>
    </row>
    <row r="947" spans="1:10" x14ac:dyDescent="0.25">
      <c r="A947">
        <v>71303606</v>
      </c>
      <c r="B947">
        <v>557</v>
      </c>
      <c r="C947" t="s">
        <v>132</v>
      </c>
      <c r="D947">
        <v>300</v>
      </c>
      <c r="E947">
        <v>1</v>
      </c>
      <c r="F947">
        <v>0</v>
      </c>
      <c r="G947">
        <v>0</v>
      </c>
      <c r="H947">
        <v>400</v>
      </c>
      <c r="I947">
        <v>0</v>
      </c>
      <c r="J947">
        <v>0</v>
      </c>
    </row>
    <row r="948" spans="1:10" x14ac:dyDescent="0.25">
      <c r="A948">
        <v>71303607</v>
      </c>
      <c r="B948">
        <v>558</v>
      </c>
      <c r="C948" t="s">
        <v>132</v>
      </c>
      <c r="D948">
        <v>300</v>
      </c>
      <c r="E948">
        <v>1</v>
      </c>
      <c r="F948">
        <v>0</v>
      </c>
      <c r="G948">
        <v>0</v>
      </c>
      <c r="H948">
        <v>230</v>
      </c>
      <c r="I948">
        <v>0</v>
      </c>
      <c r="J948">
        <v>0</v>
      </c>
    </row>
    <row r="949" spans="1:10" x14ac:dyDescent="0.25">
      <c r="A949">
        <v>71303608</v>
      </c>
      <c r="B949">
        <v>507</v>
      </c>
      <c r="C949" t="s">
        <v>131</v>
      </c>
      <c r="D949">
        <v>300</v>
      </c>
      <c r="E949">
        <v>1</v>
      </c>
      <c r="F949">
        <v>0</v>
      </c>
      <c r="G949">
        <v>0</v>
      </c>
      <c r="H949">
        <v>280</v>
      </c>
      <c r="I949">
        <v>0</v>
      </c>
      <c r="J949">
        <v>0</v>
      </c>
    </row>
    <row r="950" spans="1:10" x14ac:dyDescent="0.25">
      <c r="A950">
        <v>71303615</v>
      </c>
      <c r="B950">
        <v>372</v>
      </c>
      <c r="C950" t="s">
        <v>66</v>
      </c>
      <c r="D950">
        <v>300</v>
      </c>
      <c r="E950">
        <v>1</v>
      </c>
      <c r="F950">
        <v>0</v>
      </c>
      <c r="G950">
        <v>20</v>
      </c>
      <c r="H950">
        <v>0</v>
      </c>
      <c r="I950">
        <v>0</v>
      </c>
      <c r="J950">
        <v>0</v>
      </c>
    </row>
    <row r="951" spans="1:10" x14ac:dyDescent="0.25">
      <c r="A951">
        <v>71303616</v>
      </c>
      <c r="B951">
        <v>373</v>
      </c>
      <c r="C951" t="s">
        <v>66</v>
      </c>
      <c r="D951">
        <v>300</v>
      </c>
      <c r="E951">
        <v>1</v>
      </c>
      <c r="F951">
        <v>0</v>
      </c>
      <c r="G951">
        <v>30</v>
      </c>
      <c r="H951">
        <v>15</v>
      </c>
      <c r="I951">
        <v>0</v>
      </c>
      <c r="J951">
        <v>0</v>
      </c>
    </row>
    <row r="952" spans="1:10" x14ac:dyDescent="0.25">
      <c r="A952">
        <v>71303619</v>
      </c>
      <c r="B952">
        <v>374</v>
      </c>
      <c r="C952" t="s">
        <v>66</v>
      </c>
      <c r="D952">
        <v>300</v>
      </c>
      <c r="E952">
        <v>1</v>
      </c>
      <c r="F952">
        <v>0</v>
      </c>
      <c r="G952">
        <v>380</v>
      </c>
      <c r="H952">
        <v>0</v>
      </c>
      <c r="I952">
        <v>0</v>
      </c>
      <c r="J952">
        <v>0</v>
      </c>
    </row>
    <row r="953" spans="1:10" x14ac:dyDescent="0.25">
      <c r="A953">
        <v>71303622</v>
      </c>
      <c r="B953">
        <v>375</v>
      </c>
      <c r="C953" t="s">
        <v>66</v>
      </c>
      <c r="D953">
        <v>300</v>
      </c>
      <c r="E953">
        <v>1</v>
      </c>
      <c r="F953">
        <v>0</v>
      </c>
      <c r="G953">
        <v>440</v>
      </c>
      <c r="H953">
        <v>580</v>
      </c>
      <c r="I953">
        <v>0</v>
      </c>
      <c r="J953">
        <v>0</v>
      </c>
    </row>
    <row r="954" spans="1:10" x14ac:dyDescent="0.25">
      <c r="A954">
        <v>71303625</v>
      </c>
      <c r="B954">
        <v>376</v>
      </c>
      <c r="C954" t="s">
        <v>66</v>
      </c>
      <c r="D954">
        <v>300</v>
      </c>
      <c r="E954">
        <v>1</v>
      </c>
      <c r="F954">
        <v>0</v>
      </c>
      <c r="G954">
        <v>160</v>
      </c>
      <c r="H954">
        <v>0</v>
      </c>
      <c r="I954">
        <v>0</v>
      </c>
      <c r="J954">
        <v>0</v>
      </c>
    </row>
    <row r="955" spans="1:10" x14ac:dyDescent="0.25">
      <c r="A955">
        <v>71303631</v>
      </c>
      <c r="B955">
        <v>516</v>
      </c>
      <c r="C955" t="s">
        <v>63</v>
      </c>
      <c r="D955">
        <v>300</v>
      </c>
      <c r="E955">
        <v>1</v>
      </c>
      <c r="F955">
        <v>0</v>
      </c>
      <c r="G955">
        <v>0</v>
      </c>
      <c r="H955">
        <v>90</v>
      </c>
      <c r="I955">
        <v>0</v>
      </c>
      <c r="J955">
        <v>0</v>
      </c>
    </row>
    <row r="956" spans="1:10" x14ac:dyDescent="0.25">
      <c r="A956">
        <v>71303651</v>
      </c>
      <c r="B956">
        <v>559</v>
      </c>
      <c r="C956" t="s">
        <v>132</v>
      </c>
      <c r="D956">
        <v>300</v>
      </c>
      <c r="E956">
        <v>1</v>
      </c>
      <c r="F956">
        <v>0</v>
      </c>
      <c r="G956">
        <v>0</v>
      </c>
      <c r="H956">
        <v>150</v>
      </c>
      <c r="I956">
        <v>0</v>
      </c>
      <c r="J956">
        <v>0</v>
      </c>
    </row>
    <row r="957" spans="1:10" x14ac:dyDescent="0.25">
      <c r="A957">
        <v>71303652</v>
      </c>
      <c r="B957">
        <v>1154</v>
      </c>
      <c r="C957" t="s">
        <v>173</v>
      </c>
      <c r="D957">
        <v>300</v>
      </c>
      <c r="E957">
        <v>1</v>
      </c>
      <c r="F957">
        <v>0</v>
      </c>
      <c r="G957">
        <v>5</v>
      </c>
      <c r="H957">
        <v>0</v>
      </c>
      <c r="I957">
        <v>0</v>
      </c>
      <c r="J957">
        <v>0</v>
      </c>
    </row>
    <row r="958" spans="1:10" x14ac:dyDescent="0.25">
      <c r="A958">
        <v>71303655</v>
      </c>
      <c r="B958">
        <v>500</v>
      </c>
      <c r="C958" t="s">
        <v>173</v>
      </c>
      <c r="D958">
        <v>300</v>
      </c>
      <c r="E958">
        <v>1</v>
      </c>
      <c r="F958">
        <v>0</v>
      </c>
      <c r="G958">
        <v>100</v>
      </c>
      <c r="H958">
        <v>0</v>
      </c>
      <c r="I958">
        <v>0</v>
      </c>
      <c r="J958">
        <v>0</v>
      </c>
    </row>
    <row r="959" spans="1:10" x14ac:dyDescent="0.25">
      <c r="A959">
        <v>71303659</v>
      </c>
      <c r="B959">
        <v>487</v>
      </c>
      <c r="C959" t="s">
        <v>171</v>
      </c>
      <c r="D959">
        <v>300</v>
      </c>
      <c r="E959">
        <v>1</v>
      </c>
      <c r="F959">
        <v>0</v>
      </c>
      <c r="G959">
        <v>100</v>
      </c>
      <c r="H959">
        <v>0</v>
      </c>
      <c r="I959">
        <v>0</v>
      </c>
      <c r="J959">
        <v>0</v>
      </c>
    </row>
    <row r="960" spans="1:10" x14ac:dyDescent="0.25">
      <c r="A960">
        <v>71303663</v>
      </c>
      <c r="B960">
        <v>455</v>
      </c>
      <c r="C960" t="s">
        <v>64</v>
      </c>
      <c r="D960">
        <v>300</v>
      </c>
      <c r="E960">
        <v>1</v>
      </c>
      <c r="F960">
        <v>0</v>
      </c>
      <c r="G960">
        <v>0</v>
      </c>
      <c r="H960">
        <v>80</v>
      </c>
      <c r="I960">
        <v>0</v>
      </c>
      <c r="J960">
        <v>0</v>
      </c>
    </row>
    <row r="961" spans="1:10" x14ac:dyDescent="0.25">
      <c r="A961">
        <v>71303667</v>
      </c>
      <c r="B961">
        <v>456</v>
      </c>
      <c r="C961" t="s">
        <v>64</v>
      </c>
      <c r="D961">
        <v>300</v>
      </c>
      <c r="E961">
        <v>1</v>
      </c>
      <c r="F961">
        <v>0</v>
      </c>
      <c r="G961">
        <v>250</v>
      </c>
      <c r="H961">
        <v>0</v>
      </c>
      <c r="I961">
        <v>0</v>
      </c>
      <c r="J961">
        <v>0</v>
      </c>
    </row>
    <row r="962" spans="1:10" x14ac:dyDescent="0.25">
      <c r="A962">
        <v>71303676</v>
      </c>
      <c r="B962">
        <v>497</v>
      </c>
      <c r="C962" t="s">
        <v>172</v>
      </c>
      <c r="D962">
        <v>300</v>
      </c>
      <c r="E962">
        <v>1</v>
      </c>
      <c r="F962">
        <v>0</v>
      </c>
      <c r="G962">
        <v>115</v>
      </c>
      <c r="H962">
        <v>0</v>
      </c>
      <c r="I962">
        <v>0</v>
      </c>
      <c r="J962">
        <v>0</v>
      </c>
    </row>
    <row r="963" spans="1:10" x14ac:dyDescent="0.25">
      <c r="A963">
        <v>71303678</v>
      </c>
      <c r="B963">
        <v>493</v>
      </c>
      <c r="C963" t="s">
        <v>133</v>
      </c>
      <c r="D963">
        <v>300</v>
      </c>
      <c r="E963">
        <v>1</v>
      </c>
      <c r="F963">
        <v>0</v>
      </c>
      <c r="G963">
        <v>0</v>
      </c>
      <c r="H963">
        <v>100</v>
      </c>
      <c r="I963">
        <v>0</v>
      </c>
      <c r="J963">
        <v>0</v>
      </c>
    </row>
    <row r="964" spans="1:10" x14ac:dyDescent="0.25">
      <c r="A964">
        <v>71303686</v>
      </c>
      <c r="B964">
        <v>517</v>
      </c>
      <c r="C964" t="s">
        <v>63</v>
      </c>
      <c r="D964">
        <v>300</v>
      </c>
      <c r="E964">
        <v>1</v>
      </c>
      <c r="F964">
        <v>0</v>
      </c>
      <c r="G964">
        <v>0</v>
      </c>
      <c r="H964">
        <v>160</v>
      </c>
      <c r="I964">
        <v>0</v>
      </c>
      <c r="J964">
        <v>0</v>
      </c>
    </row>
    <row r="965" spans="1:10" x14ac:dyDescent="0.25">
      <c r="A965">
        <v>71303696</v>
      </c>
      <c r="B965">
        <v>518</v>
      </c>
      <c r="C965" t="s">
        <v>63</v>
      </c>
      <c r="D965">
        <v>300</v>
      </c>
      <c r="E965">
        <v>1</v>
      </c>
      <c r="F965">
        <v>0</v>
      </c>
      <c r="G965">
        <v>20</v>
      </c>
      <c r="H965">
        <v>45</v>
      </c>
      <c r="I965">
        <v>0</v>
      </c>
      <c r="J965">
        <v>0</v>
      </c>
    </row>
    <row r="966" spans="1:10" x14ac:dyDescent="0.25">
      <c r="A966">
        <v>71303697</v>
      </c>
      <c r="B966">
        <v>488</v>
      </c>
      <c r="C966" t="s">
        <v>171</v>
      </c>
      <c r="D966">
        <v>300</v>
      </c>
      <c r="E966">
        <v>1</v>
      </c>
      <c r="F966">
        <v>0</v>
      </c>
      <c r="G966">
        <v>150</v>
      </c>
      <c r="H966">
        <v>0</v>
      </c>
      <c r="I966">
        <v>0</v>
      </c>
      <c r="J966">
        <v>0</v>
      </c>
    </row>
    <row r="967" spans="1:10" x14ac:dyDescent="0.25">
      <c r="A967">
        <v>71303698</v>
      </c>
      <c r="B967">
        <v>457</v>
      </c>
      <c r="C967" t="s">
        <v>64</v>
      </c>
      <c r="D967">
        <v>300</v>
      </c>
      <c r="E967">
        <v>1</v>
      </c>
      <c r="F967">
        <v>0</v>
      </c>
      <c r="G967">
        <v>0</v>
      </c>
      <c r="H967">
        <v>61</v>
      </c>
      <c r="I967">
        <v>0</v>
      </c>
      <c r="J967">
        <v>0</v>
      </c>
    </row>
    <row r="968" spans="1:10" x14ac:dyDescent="0.25">
      <c r="A968">
        <v>71303700</v>
      </c>
      <c r="B968">
        <v>1155</v>
      </c>
      <c r="C968" t="s">
        <v>129</v>
      </c>
      <c r="D968">
        <v>300</v>
      </c>
      <c r="E968">
        <v>1</v>
      </c>
      <c r="F968">
        <v>0</v>
      </c>
      <c r="G968">
        <v>230</v>
      </c>
      <c r="H968">
        <v>0</v>
      </c>
      <c r="I968">
        <v>0</v>
      </c>
      <c r="J968">
        <v>0</v>
      </c>
    </row>
    <row r="969" spans="1:10" x14ac:dyDescent="0.25">
      <c r="A969">
        <v>71303712</v>
      </c>
      <c r="B969">
        <v>458</v>
      </c>
      <c r="C969" t="s">
        <v>64</v>
      </c>
      <c r="D969">
        <v>300</v>
      </c>
      <c r="E969">
        <v>1</v>
      </c>
      <c r="F969">
        <v>0</v>
      </c>
      <c r="G969">
        <v>200</v>
      </c>
      <c r="H969">
        <v>100</v>
      </c>
      <c r="I969">
        <v>0</v>
      </c>
      <c r="J969">
        <v>0</v>
      </c>
    </row>
    <row r="970" spans="1:10" x14ac:dyDescent="0.25">
      <c r="A970">
        <v>71303719</v>
      </c>
      <c r="B970">
        <v>459</v>
      </c>
      <c r="C970" t="s">
        <v>64</v>
      </c>
      <c r="D970">
        <v>300</v>
      </c>
      <c r="E970">
        <v>1</v>
      </c>
      <c r="F970">
        <v>0</v>
      </c>
      <c r="G970">
        <v>0</v>
      </c>
      <c r="H970">
        <v>180</v>
      </c>
      <c r="I970">
        <v>0</v>
      </c>
      <c r="J970">
        <v>0</v>
      </c>
    </row>
    <row r="971" spans="1:10" x14ac:dyDescent="0.25">
      <c r="A971">
        <v>71303720</v>
      </c>
      <c r="B971">
        <v>837</v>
      </c>
      <c r="C971" t="s">
        <v>165</v>
      </c>
      <c r="D971">
        <v>300</v>
      </c>
      <c r="E971">
        <v>1</v>
      </c>
      <c r="F971">
        <v>0</v>
      </c>
      <c r="G971">
        <v>40</v>
      </c>
      <c r="H971">
        <v>22</v>
      </c>
      <c r="I971">
        <v>0</v>
      </c>
      <c r="J971">
        <v>0</v>
      </c>
    </row>
    <row r="972" spans="1:10" x14ac:dyDescent="0.25">
      <c r="A972">
        <v>71303728</v>
      </c>
      <c r="B972">
        <v>1156</v>
      </c>
      <c r="C972" t="s">
        <v>64</v>
      </c>
      <c r="D972">
        <v>300</v>
      </c>
      <c r="E972">
        <v>1</v>
      </c>
      <c r="F972">
        <v>0</v>
      </c>
      <c r="G972">
        <v>0</v>
      </c>
      <c r="H972">
        <v>15</v>
      </c>
      <c r="I972">
        <v>0</v>
      </c>
      <c r="J972">
        <v>0</v>
      </c>
    </row>
    <row r="973" spans="1:10" x14ac:dyDescent="0.25">
      <c r="A973">
        <v>71303730</v>
      </c>
      <c r="B973">
        <v>1157</v>
      </c>
      <c r="C973" t="s">
        <v>129</v>
      </c>
      <c r="D973">
        <v>300</v>
      </c>
      <c r="E973">
        <v>1</v>
      </c>
      <c r="F973">
        <v>0</v>
      </c>
      <c r="G973">
        <v>0</v>
      </c>
      <c r="H973">
        <v>35</v>
      </c>
      <c r="I973">
        <v>0</v>
      </c>
      <c r="J973">
        <v>0</v>
      </c>
    </row>
    <row r="974" spans="1:10" x14ac:dyDescent="0.25">
      <c r="A974">
        <v>71303735</v>
      </c>
      <c r="B974">
        <v>460</v>
      </c>
      <c r="C974" t="s">
        <v>64</v>
      </c>
      <c r="D974">
        <v>300</v>
      </c>
      <c r="E974">
        <v>1</v>
      </c>
      <c r="F974">
        <v>0</v>
      </c>
      <c r="G974">
        <v>100</v>
      </c>
      <c r="H974">
        <v>0</v>
      </c>
      <c r="I974">
        <v>0</v>
      </c>
      <c r="J974">
        <v>0</v>
      </c>
    </row>
    <row r="975" spans="1:10" x14ac:dyDescent="0.25">
      <c r="A975">
        <v>71303737</v>
      </c>
      <c r="B975">
        <v>541</v>
      </c>
      <c r="C975" t="s">
        <v>67</v>
      </c>
      <c r="D975">
        <v>300</v>
      </c>
      <c r="E975">
        <v>1</v>
      </c>
      <c r="F975">
        <v>0</v>
      </c>
      <c r="G975">
        <v>100</v>
      </c>
      <c r="H975">
        <v>0</v>
      </c>
      <c r="I975">
        <v>0</v>
      </c>
      <c r="J975">
        <v>0</v>
      </c>
    </row>
    <row r="976" spans="1:10" x14ac:dyDescent="0.25">
      <c r="A976">
        <v>71303739</v>
      </c>
      <c r="B976">
        <v>906</v>
      </c>
      <c r="C976" t="s">
        <v>125</v>
      </c>
      <c r="D976">
        <v>300</v>
      </c>
      <c r="E976">
        <v>1</v>
      </c>
      <c r="F976">
        <v>0</v>
      </c>
      <c r="G976">
        <v>150</v>
      </c>
      <c r="H976">
        <v>0</v>
      </c>
      <c r="I976">
        <v>0</v>
      </c>
      <c r="J976">
        <v>0</v>
      </c>
    </row>
    <row r="977" spans="1:10" x14ac:dyDescent="0.25">
      <c r="A977">
        <v>71303742</v>
      </c>
      <c r="B977">
        <v>461</v>
      </c>
      <c r="C977" t="s">
        <v>64</v>
      </c>
      <c r="D977">
        <v>300</v>
      </c>
      <c r="E977">
        <v>1</v>
      </c>
      <c r="F977">
        <v>0</v>
      </c>
      <c r="G977">
        <v>200</v>
      </c>
      <c r="H977">
        <v>0</v>
      </c>
      <c r="I977">
        <v>0</v>
      </c>
      <c r="J977">
        <v>0</v>
      </c>
    </row>
    <row r="978" spans="1:10" x14ac:dyDescent="0.25">
      <c r="A978">
        <v>71303748</v>
      </c>
      <c r="B978">
        <v>462</v>
      </c>
      <c r="C978" t="s">
        <v>64</v>
      </c>
      <c r="D978">
        <v>300</v>
      </c>
      <c r="E978">
        <v>1</v>
      </c>
      <c r="F978">
        <v>0</v>
      </c>
      <c r="G978">
        <v>45</v>
      </c>
      <c r="H978">
        <v>0</v>
      </c>
      <c r="I978">
        <v>0</v>
      </c>
      <c r="J978">
        <v>0</v>
      </c>
    </row>
    <row r="979" spans="1:10" x14ac:dyDescent="0.25">
      <c r="A979">
        <v>71303758</v>
      </c>
      <c r="B979">
        <v>463</v>
      </c>
      <c r="C979" t="s">
        <v>64</v>
      </c>
      <c r="D979">
        <v>300</v>
      </c>
      <c r="E979">
        <v>1</v>
      </c>
      <c r="F979">
        <v>0</v>
      </c>
      <c r="G979">
        <v>380</v>
      </c>
      <c r="H979">
        <v>10</v>
      </c>
      <c r="I979">
        <v>0</v>
      </c>
      <c r="J979">
        <v>0</v>
      </c>
    </row>
    <row r="980" spans="1:10" x14ac:dyDescent="0.25">
      <c r="A980">
        <v>71303766</v>
      </c>
      <c r="B980">
        <v>464</v>
      </c>
      <c r="C980" t="s">
        <v>64</v>
      </c>
      <c r="D980">
        <v>300</v>
      </c>
      <c r="E980">
        <v>1</v>
      </c>
      <c r="F980">
        <v>0</v>
      </c>
      <c r="G980">
        <v>300</v>
      </c>
      <c r="H980">
        <v>0</v>
      </c>
      <c r="I980">
        <v>0</v>
      </c>
      <c r="J980">
        <v>0</v>
      </c>
    </row>
    <row r="981" spans="1:10" x14ac:dyDescent="0.25">
      <c r="A981">
        <v>71303770</v>
      </c>
      <c r="B981">
        <v>551</v>
      </c>
      <c r="C981" t="s">
        <v>129</v>
      </c>
      <c r="D981">
        <v>300</v>
      </c>
      <c r="E981">
        <v>1</v>
      </c>
      <c r="F981">
        <v>0</v>
      </c>
      <c r="G981">
        <v>0</v>
      </c>
      <c r="H981">
        <v>78</v>
      </c>
      <c r="I981">
        <v>0</v>
      </c>
      <c r="J981">
        <v>0</v>
      </c>
    </row>
    <row r="982" spans="1:10" x14ac:dyDescent="0.25">
      <c r="A982">
        <v>71303775</v>
      </c>
      <c r="B982">
        <v>542</v>
      </c>
      <c r="C982" t="s">
        <v>67</v>
      </c>
      <c r="D982">
        <v>300</v>
      </c>
      <c r="E982">
        <v>1</v>
      </c>
      <c r="F982">
        <v>0</v>
      </c>
      <c r="G982">
        <v>180</v>
      </c>
      <c r="H982">
        <v>0</v>
      </c>
      <c r="I982">
        <v>0</v>
      </c>
      <c r="J982">
        <v>0</v>
      </c>
    </row>
    <row r="983" spans="1:10" x14ac:dyDescent="0.25">
      <c r="A983">
        <v>71303778</v>
      </c>
      <c r="B983">
        <v>519</v>
      </c>
      <c r="C983" t="s">
        <v>63</v>
      </c>
      <c r="D983">
        <v>300</v>
      </c>
      <c r="E983">
        <v>1</v>
      </c>
      <c r="F983">
        <v>0</v>
      </c>
      <c r="G983">
        <v>120</v>
      </c>
      <c r="H983">
        <v>0</v>
      </c>
      <c r="I983">
        <v>0</v>
      </c>
      <c r="J983">
        <v>0</v>
      </c>
    </row>
    <row r="984" spans="1:10" x14ac:dyDescent="0.25">
      <c r="A984">
        <v>71303780</v>
      </c>
      <c r="B984">
        <v>465</v>
      </c>
      <c r="C984" t="s">
        <v>64</v>
      </c>
      <c r="D984">
        <v>300</v>
      </c>
      <c r="E984">
        <v>1</v>
      </c>
      <c r="F984">
        <v>0</v>
      </c>
      <c r="G984">
        <v>10</v>
      </c>
      <c r="H984">
        <v>0</v>
      </c>
      <c r="I984">
        <v>0</v>
      </c>
      <c r="J984">
        <v>0</v>
      </c>
    </row>
    <row r="985" spans="1:10" x14ac:dyDescent="0.25">
      <c r="A985">
        <v>71303782</v>
      </c>
      <c r="B985">
        <v>520</v>
      </c>
      <c r="C985" t="s">
        <v>63</v>
      </c>
      <c r="D985">
        <v>300</v>
      </c>
      <c r="E985">
        <v>1</v>
      </c>
      <c r="F985">
        <v>0</v>
      </c>
      <c r="G985">
        <v>15</v>
      </c>
      <c r="H985">
        <v>75</v>
      </c>
      <c r="I985">
        <v>0</v>
      </c>
      <c r="J985">
        <v>0</v>
      </c>
    </row>
    <row r="986" spans="1:10" x14ac:dyDescent="0.25">
      <c r="A986">
        <v>71303798</v>
      </c>
      <c r="B986">
        <v>377</v>
      </c>
      <c r="C986" t="s">
        <v>66</v>
      </c>
      <c r="D986">
        <v>300</v>
      </c>
      <c r="E986">
        <v>1</v>
      </c>
      <c r="F986">
        <v>0</v>
      </c>
      <c r="G986">
        <v>55</v>
      </c>
      <c r="H986">
        <v>110</v>
      </c>
      <c r="I986">
        <v>0</v>
      </c>
      <c r="J986">
        <v>0</v>
      </c>
    </row>
    <row r="987" spans="1:10" x14ac:dyDescent="0.25">
      <c r="A987">
        <v>71303799</v>
      </c>
      <c r="B987">
        <v>378</v>
      </c>
      <c r="C987" t="s">
        <v>66</v>
      </c>
      <c r="D987">
        <v>300</v>
      </c>
      <c r="E987">
        <v>1</v>
      </c>
      <c r="F987">
        <v>0</v>
      </c>
      <c r="G987">
        <v>580</v>
      </c>
      <c r="H987">
        <v>0</v>
      </c>
      <c r="I987">
        <v>0</v>
      </c>
      <c r="J987">
        <v>0</v>
      </c>
    </row>
    <row r="988" spans="1:10" x14ac:dyDescent="0.25">
      <c r="A988">
        <v>71303802</v>
      </c>
      <c r="B988">
        <v>498</v>
      </c>
      <c r="C988" t="s">
        <v>172</v>
      </c>
      <c r="D988">
        <v>300</v>
      </c>
      <c r="E988">
        <v>1</v>
      </c>
      <c r="F988">
        <v>0</v>
      </c>
      <c r="G988">
        <v>0</v>
      </c>
      <c r="H988">
        <v>125</v>
      </c>
      <c r="I988">
        <v>0</v>
      </c>
      <c r="J988">
        <v>0</v>
      </c>
    </row>
    <row r="989" spans="1:10" x14ac:dyDescent="0.25">
      <c r="A989">
        <v>71303811</v>
      </c>
      <c r="B989">
        <v>494</v>
      </c>
      <c r="C989" t="s">
        <v>133</v>
      </c>
      <c r="D989">
        <v>300</v>
      </c>
      <c r="E989">
        <v>1</v>
      </c>
      <c r="F989">
        <v>0</v>
      </c>
      <c r="G989">
        <v>0</v>
      </c>
      <c r="H989">
        <v>80</v>
      </c>
      <c r="I989">
        <v>0</v>
      </c>
      <c r="J989">
        <v>0</v>
      </c>
    </row>
    <row r="990" spans="1:10" x14ac:dyDescent="0.25">
      <c r="A990">
        <v>71303826</v>
      </c>
      <c r="B990">
        <v>466</v>
      </c>
      <c r="C990" t="s">
        <v>64</v>
      </c>
      <c r="D990">
        <v>300</v>
      </c>
      <c r="E990">
        <v>1</v>
      </c>
      <c r="F990">
        <v>0</v>
      </c>
      <c r="G990">
        <v>30</v>
      </c>
      <c r="H990">
        <v>100</v>
      </c>
      <c r="I990">
        <v>0</v>
      </c>
      <c r="J990">
        <v>0</v>
      </c>
    </row>
    <row r="991" spans="1:10" x14ac:dyDescent="0.25">
      <c r="A991">
        <v>71303830</v>
      </c>
      <c r="B991">
        <v>1158</v>
      </c>
      <c r="C991" t="s">
        <v>129</v>
      </c>
      <c r="D991">
        <v>300</v>
      </c>
      <c r="E991">
        <v>1</v>
      </c>
      <c r="F991">
        <v>0</v>
      </c>
      <c r="G991">
        <v>125</v>
      </c>
      <c r="H991">
        <v>0</v>
      </c>
      <c r="I991">
        <v>0</v>
      </c>
      <c r="J991">
        <v>0</v>
      </c>
    </row>
    <row r="992" spans="1:10" x14ac:dyDescent="0.25">
      <c r="A992">
        <v>71303840</v>
      </c>
      <c r="B992">
        <v>2183</v>
      </c>
      <c r="C992" t="s">
        <v>68</v>
      </c>
      <c r="D992">
        <v>300</v>
      </c>
      <c r="E992">
        <v>1</v>
      </c>
      <c r="F992">
        <v>0</v>
      </c>
      <c r="G992">
        <v>100</v>
      </c>
      <c r="H992">
        <v>0</v>
      </c>
      <c r="I992">
        <v>0</v>
      </c>
      <c r="J992">
        <v>0</v>
      </c>
    </row>
    <row r="993" spans="1:10" x14ac:dyDescent="0.25">
      <c r="A993">
        <v>71303841</v>
      </c>
      <c r="B993">
        <v>508</v>
      </c>
      <c r="C993" t="s">
        <v>131</v>
      </c>
      <c r="D993">
        <v>300</v>
      </c>
      <c r="E993">
        <v>1</v>
      </c>
      <c r="F993">
        <v>0</v>
      </c>
      <c r="G993">
        <v>0</v>
      </c>
      <c r="H993">
        <v>80</v>
      </c>
      <c r="I993">
        <v>0</v>
      </c>
      <c r="J993">
        <v>0</v>
      </c>
    </row>
    <row r="994" spans="1:10" x14ac:dyDescent="0.25">
      <c r="A994">
        <v>71303844</v>
      </c>
      <c r="B994">
        <v>467</v>
      </c>
      <c r="C994" t="s">
        <v>64</v>
      </c>
      <c r="D994">
        <v>300</v>
      </c>
      <c r="E994">
        <v>1</v>
      </c>
      <c r="F994">
        <v>0</v>
      </c>
      <c r="G994">
        <v>110</v>
      </c>
      <c r="H994">
        <v>0</v>
      </c>
      <c r="I994">
        <v>0</v>
      </c>
      <c r="J994">
        <v>0</v>
      </c>
    </row>
    <row r="995" spans="1:10" x14ac:dyDescent="0.25">
      <c r="A995">
        <v>71303845</v>
      </c>
      <c r="B995">
        <v>509</v>
      </c>
      <c r="C995" t="s">
        <v>131</v>
      </c>
      <c r="D995">
        <v>300</v>
      </c>
      <c r="E995">
        <v>1</v>
      </c>
      <c r="F995">
        <v>0</v>
      </c>
      <c r="G995">
        <v>0</v>
      </c>
      <c r="H995">
        <v>450</v>
      </c>
      <c r="I995">
        <v>0</v>
      </c>
      <c r="J995">
        <v>0</v>
      </c>
    </row>
    <row r="996" spans="1:10" x14ac:dyDescent="0.25">
      <c r="A996">
        <v>71303857</v>
      </c>
      <c r="B996">
        <v>521</v>
      </c>
      <c r="C996" t="s">
        <v>63</v>
      </c>
      <c r="D996">
        <v>300</v>
      </c>
      <c r="E996">
        <v>1</v>
      </c>
      <c r="F996">
        <v>0</v>
      </c>
      <c r="G996">
        <v>0</v>
      </c>
      <c r="H996">
        <v>130</v>
      </c>
      <c r="I996">
        <v>0</v>
      </c>
      <c r="J996">
        <v>0</v>
      </c>
    </row>
    <row r="997" spans="1:10" x14ac:dyDescent="0.25">
      <c r="A997">
        <v>71303859</v>
      </c>
      <c r="B997">
        <v>363</v>
      </c>
      <c r="C997" t="s">
        <v>68</v>
      </c>
      <c r="D997">
        <v>300</v>
      </c>
      <c r="E997">
        <v>1</v>
      </c>
      <c r="F997">
        <v>0</v>
      </c>
      <c r="G997">
        <v>120</v>
      </c>
      <c r="H997">
        <v>0</v>
      </c>
      <c r="I997">
        <v>0</v>
      </c>
      <c r="J997">
        <v>0</v>
      </c>
    </row>
    <row r="998" spans="1:10" x14ac:dyDescent="0.25">
      <c r="A998">
        <v>71303862</v>
      </c>
      <c r="B998">
        <v>364</v>
      </c>
      <c r="C998" t="s">
        <v>68</v>
      </c>
      <c r="D998">
        <v>300</v>
      </c>
      <c r="E998">
        <v>1</v>
      </c>
      <c r="F998">
        <v>0</v>
      </c>
      <c r="G998">
        <v>185</v>
      </c>
      <c r="H998">
        <v>0</v>
      </c>
      <c r="I998">
        <v>0</v>
      </c>
      <c r="J998">
        <v>0</v>
      </c>
    </row>
    <row r="999" spans="1:10" x14ac:dyDescent="0.25">
      <c r="A999">
        <v>71303863</v>
      </c>
      <c r="B999">
        <v>2208</v>
      </c>
      <c r="C999" t="s">
        <v>132</v>
      </c>
      <c r="D999">
        <v>300</v>
      </c>
      <c r="E999">
        <v>1</v>
      </c>
      <c r="F999">
        <v>0</v>
      </c>
      <c r="G999">
        <v>110</v>
      </c>
      <c r="H999">
        <v>0</v>
      </c>
      <c r="I999">
        <v>0</v>
      </c>
      <c r="J999">
        <v>0</v>
      </c>
    </row>
    <row r="1000" spans="1:10" x14ac:dyDescent="0.25">
      <c r="A1000">
        <v>71303866</v>
      </c>
      <c r="B1000">
        <v>365</v>
      </c>
      <c r="C1000" t="s">
        <v>68</v>
      </c>
      <c r="D1000">
        <v>300</v>
      </c>
      <c r="E1000">
        <v>1</v>
      </c>
      <c r="F1000">
        <v>0</v>
      </c>
      <c r="G1000">
        <v>0</v>
      </c>
      <c r="H1000">
        <v>120</v>
      </c>
      <c r="I1000">
        <v>0</v>
      </c>
      <c r="J1000">
        <v>0</v>
      </c>
    </row>
    <row r="1001" spans="1:10" x14ac:dyDescent="0.25">
      <c r="A1001">
        <v>71303869</v>
      </c>
      <c r="B1001">
        <v>510</v>
      </c>
      <c r="C1001" t="s">
        <v>131</v>
      </c>
      <c r="D1001">
        <v>300</v>
      </c>
      <c r="E1001">
        <v>1</v>
      </c>
      <c r="F1001">
        <v>0</v>
      </c>
      <c r="G1001">
        <v>0</v>
      </c>
      <c r="H1001">
        <v>15</v>
      </c>
      <c r="I1001">
        <v>0</v>
      </c>
      <c r="J1001">
        <v>0</v>
      </c>
    </row>
    <row r="1002" spans="1:10" x14ac:dyDescent="0.25">
      <c r="A1002">
        <v>71303871</v>
      </c>
      <c r="B1002">
        <v>560</v>
      </c>
      <c r="C1002" t="s">
        <v>132</v>
      </c>
      <c r="D1002">
        <v>300</v>
      </c>
      <c r="E1002">
        <v>1</v>
      </c>
      <c r="F1002">
        <v>0</v>
      </c>
      <c r="G1002">
        <v>0</v>
      </c>
      <c r="H1002">
        <v>240</v>
      </c>
      <c r="I1002">
        <v>116</v>
      </c>
      <c r="J1002">
        <v>0</v>
      </c>
    </row>
    <row r="1003" spans="1:10" x14ac:dyDescent="0.25">
      <c r="A1003">
        <v>71303872</v>
      </c>
      <c r="B1003">
        <v>522</v>
      </c>
      <c r="C1003" t="s">
        <v>63</v>
      </c>
      <c r="D1003">
        <v>300</v>
      </c>
      <c r="E1003">
        <v>1</v>
      </c>
      <c r="F1003">
        <v>0</v>
      </c>
      <c r="G1003">
        <v>15</v>
      </c>
      <c r="H1003">
        <v>70</v>
      </c>
      <c r="I1003">
        <v>0</v>
      </c>
      <c r="J1003">
        <v>0</v>
      </c>
    </row>
    <row r="1004" spans="1:10" x14ac:dyDescent="0.25">
      <c r="A1004">
        <v>71303877</v>
      </c>
      <c r="B1004">
        <v>366</v>
      </c>
      <c r="C1004" t="s">
        <v>68</v>
      </c>
      <c r="D1004">
        <v>300</v>
      </c>
      <c r="E1004">
        <v>1</v>
      </c>
      <c r="F1004">
        <v>0</v>
      </c>
      <c r="G1004">
        <v>365</v>
      </c>
      <c r="H1004">
        <v>0</v>
      </c>
      <c r="I1004">
        <v>0</v>
      </c>
      <c r="J1004">
        <v>0</v>
      </c>
    </row>
    <row r="1005" spans="1:10" x14ac:dyDescent="0.25">
      <c r="A1005">
        <v>71303881</v>
      </c>
      <c r="B1005">
        <v>468</v>
      </c>
      <c r="C1005" t="s">
        <v>64</v>
      </c>
      <c r="D1005">
        <v>300</v>
      </c>
      <c r="E1005">
        <v>1</v>
      </c>
      <c r="F1005">
        <v>0</v>
      </c>
      <c r="G1005">
        <v>350</v>
      </c>
      <c r="H1005">
        <v>100</v>
      </c>
      <c r="I1005">
        <v>0</v>
      </c>
      <c r="J1005">
        <v>0</v>
      </c>
    </row>
    <row r="1006" spans="1:10" x14ac:dyDescent="0.25">
      <c r="A1006">
        <v>71303882</v>
      </c>
      <c r="B1006">
        <v>499</v>
      </c>
      <c r="C1006" t="s">
        <v>172</v>
      </c>
      <c r="D1006">
        <v>300</v>
      </c>
      <c r="E1006">
        <v>1</v>
      </c>
      <c r="F1006">
        <v>0</v>
      </c>
      <c r="G1006">
        <v>0</v>
      </c>
      <c r="H1006">
        <v>75</v>
      </c>
      <c r="I1006">
        <v>0</v>
      </c>
      <c r="J1006">
        <v>0</v>
      </c>
    </row>
    <row r="1007" spans="1:10" x14ac:dyDescent="0.25">
      <c r="A1007">
        <v>71303888</v>
      </c>
      <c r="B1007">
        <v>1159</v>
      </c>
      <c r="C1007" t="s">
        <v>133</v>
      </c>
      <c r="D1007">
        <v>300</v>
      </c>
      <c r="E1007">
        <v>1</v>
      </c>
      <c r="F1007">
        <v>0</v>
      </c>
      <c r="G1007">
        <v>0</v>
      </c>
      <c r="H1007">
        <v>45</v>
      </c>
      <c r="I1007">
        <v>0</v>
      </c>
      <c r="J1007">
        <v>0</v>
      </c>
    </row>
    <row r="1008" spans="1:10" x14ac:dyDescent="0.25">
      <c r="A1008">
        <v>71303889</v>
      </c>
      <c r="B1008">
        <v>469</v>
      </c>
      <c r="C1008" t="s">
        <v>64</v>
      </c>
      <c r="D1008">
        <v>300</v>
      </c>
      <c r="E1008">
        <v>1</v>
      </c>
      <c r="F1008">
        <v>0</v>
      </c>
      <c r="G1008">
        <v>90</v>
      </c>
      <c r="H1008">
        <v>0</v>
      </c>
      <c r="I1008">
        <v>0</v>
      </c>
      <c r="J1008">
        <v>0</v>
      </c>
    </row>
    <row r="1009" spans="1:10" x14ac:dyDescent="0.25">
      <c r="A1009">
        <v>71303895</v>
      </c>
      <c r="B1009">
        <v>543</v>
      </c>
      <c r="C1009" t="s">
        <v>67</v>
      </c>
      <c r="D1009">
        <v>300</v>
      </c>
      <c r="E1009">
        <v>1</v>
      </c>
      <c r="F1009">
        <v>0</v>
      </c>
      <c r="G1009">
        <v>5</v>
      </c>
      <c r="H1009">
        <v>10</v>
      </c>
      <c r="I1009">
        <v>0</v>
      </c>
      <c r="J1009">
        <v>0</v>
      </c>
    </row>
    <row r="1010" spans="1:10" x14ac:dyDescent="0.25">
      <c r="A1010">
        <v>71303897</v>
      </c>
      <c r="B1010">
        <v>1160</v>
      </c>
      <c r="C1010" t="s">
        <v>129</v>
      </c>
      <c r="D1010">
        <v>300</v>
      </c>
      <c r="E1010">
        <v>1</v>
      </c>
      <c r="F1010">
        <v>0</v>
      </c>
      <c r="G1010">
        <v>0</v>
      </c>
      <c r="H1010">
        <v>20</v>
      </c>
      <c r="I1010">
        <v>0</v>
      </c>
      <c r="J1010">
        <v>0</v>
      </c>
    </row>
    <row r="1011" spans="1:10" x14ac:dyDescent="0.25">
      <c r="A1011">
        <v>71303899</v>
      </c>
      <c r="B1011">
        <v>552</v>
      </c>
      <c r="C1011" t="s">
        <v>129</v>
      </c>
      <c r="D1011">
        <v>300</v>
      </c>
      <c r="E1011">
        <v>1</v>
      </c>
      <c r="F1011">
        <v>0</v>
      </c>
      <c r="G1011">
        <v>35</v>
      </c>
      <c r="H1011">
        <v>0</v>
      </c>
      <c r="I1011">
        <v>0</v>
      </c>
      <c r="J1011">
        <v>0</v>
      </c>
    </row>
    <row r="1012" spans="1:10" x14ac:dyDescent="0.25">
      <c r="A1012">
        <v>71303901</v>
      </c>
      <c r="B1012">
        <v>2215</v>
      </c>
      <c r="C1012" t="s">
        <v>63</v>
      </c>
      <c r="D1012">
        <v>300</v>
      </c>
      <c r="E1012">
        <v>1</v>
      </c>
      <c r="F1012">
        <v>0</v>
      </c>
      <c r="G1012">
        <v>10</v>
      </c>
      <c r="H1012">
        <v>75</v>
      </c>
      <c r="I1012">
        <v>0</v>
      </c>
      <c r="J1012">
        <v>0</v>
      </c>
    </row>
    <row r="1013" spans="1:10" x14ac:dyDescent="0.25">
      <c r="A1013">
        <v>71303905</v>
      </c>
      <c r="B1013">
        <v>544</v>
      </c>
      <c r="C1013" t="s">
        <v>67</v>
      </c>
      <c r="D1013">
        <v>300</v>
      </c>
      <c r="E1013">
        <v>1</v>
      </c>
      <c r="F1013">
        <v>0</v>
      </c>
      <c r="G1013">
        <v>12</v>
      </c>
      <c r="H1013">
        <v>0</v>
      </c>
      <c r="I1013">
        <v>0</v>
      </c>
      <c r="J1013">
        <v>0</v>
      </c>
    </row>
    <row r="1014" spans="1:10" x14ac:dyDescent="0.25">
      <c r="A1014">
        <v>71303910</v>
      </c>
      <c r="B1014">
        <v>1161</v>
      </c>
      <c r="C1014" t="s">
        <v>68</v>
      </c>
      <c r="D1014">
        <v>300</v>
      </c>
      <c r="E1014">
        <v>1</v>
      </c>
      <c r="F1014">
        <v>0</v>
      </c>
      <c r="G1014">
        <v>10</v>
      </c>
      <c r="H1014">
        <v>75</v>
      </c>
      <c r="I1014">
        <v>0</v>
      </c>
      <c r="J1014">
        <v>0</v>
      </c>
    </row>
    <row r="1015" spans="1:10" x14ac:dyDescent="0.25">
      <c r="A1015">
        <v>71303911</v>
      </c>
      <c r="B1015">
        <v>367</v>
      </c>
      <c r="C1015" t="s">
        <v>68</v>
      </c>
      <c r="D1015">
        <v>300</v>
      </c>
      <c r="E1015">
        <v>1</v>
      </c>
      <c r="F1015">
        <v>0</v>
      </c>
      <c r="G1015">
        <v>0</v>
      </c>
      <c r="H1015">
        <v>60</v>
      </c>
      <c r="I1015">
        <v>0</v>
      </c>
      <c r="J1015">
        <v>0</v>
      </c>
    </row>
    <row r="1016" spans="1:10" x14ac:dyDescent="0.25">
      <c r="A1016">
        <v>71303912</v>
      </c>
      <c r="B1016">
        <v>368</v>
      </c>
      <c r="C1016" t="s">
        <v>68</v>
      </c>
      <c r="D1016">
        <v>300</v>
      </c>
      <c r="E1016">
        <v>1</v>
      </c>
      <c r="F1016">
        <v>0</v>
      </c>
      <c r="G1016">
        <v>100</v>
      </c>
      <c r="H1016">
        <v>170</v>
      </c>
      <c r="I1016">
        <v>0</v>
      </c>
      <c r="J1016">
        <v>0</v>
      </c>
    </row>
    <row r="1017" spans="1:10" x14ac:dyDescent="0.25">
      <c r="A1017">
        <v>71303920</v>
      </c>
      <c r="B1017">
        <v>495</v>
      </c>
      <c r="C1017" t="s">
        <v>133</v>
      </c>
      <c r="D1017">
        <v>300</v>
      </c>
      <c r="E1017">
        <v>1</v>
      </c>
      <c r="F1017">
        <v>0</v>
      </c>
      <c r="G1017">
        <v>0</v>
      </c>
      <c r="H1017">
        <v>150</v>
      </c>
      <c r="I1017">
        <v>0</v>
      </c>
      <c r="J1017">
        <v>0</v>
      </c>
    </row>
    <row r="1018" spans="1:10" x14ac:dyDescent="0.25">
      <c r="A1018">
        <v>71303925</v>
      </c>
      <c r="B1018">
        <v>470</v>
      </c>
      <c r="C1018" t="s">
        <v>64</v>
      </c>
      <c r="D1018">
        <v>300</v>
      </c>
      <c r="E1018">
        <v>1</v>
      </c>
      <c r="F1018">
        <v>0</v>
      </c>
      <c r="G1018">
        <v>0</v>
      </c>
      <c r="H1018">
        <v>90</v>
      </c>
      <c r="I1018">
        <v>0</v>
      </c>
      <c r="J1018">
        <v>0</v>
      </c>
    </row>
    <row r="1019" spans="1:10" x14ac:dyDescent="0.25">
      <c r="A1019">
        <v>71303926</v>
      </c>
      <c r="B1019">
        <v>1162</v>
      </c>
      <c r="C1019" t="s">
        <v>129</v>
      </c>
      <c r="D1019">
        <v>300</v>
      </c>
      <c r="E1019">
        <v>1</v>
      </c>
      <c r="F1019">
        <v>0</v>
      </c>
      <c r="G1019">
        <v>330</v>
      </c>
      <c r="H1019">
        <v>0</v>
      </c>
      <c r="I1019">
        <v>0</v>
      </c>
      <c r="J1019">
        <v>0</v>
      </c>
    </row>
    <row r="1020" spans="1:10" x14ac:dyDescent="0.25">
      <c r="A1020">
        <v>71303927</v>
      </c>
      <c r="B1020">
        <v>489</v>
      </c>
      <c r="C1020" t="s">
        <v>171</v>
      </c>
      <c r="D1020">
        <v>300</v>
      </c>
      <c r="E1020">
        <v>1</v>
      </c>
      <c r="F1020">
        <v>0</v>
      </c>
      <c r="G1020">
        <v>200</v>
      </c>
      <c r="H1020">
        <v>0</v>
      </c>
      <c r="I1020">
        <v>0</v>
      </c>
      <c r="J1020">
        <v>0</v>
      </c>
    </row>
    <row r="1021" spans="1:10" x14ac:dyDescent="0.25">
      <c r="A1021">
        <v>71303928</v>
      </c>
      <c r="B1021">
        <v>471</v>
      </c>
      <c r="C1021" t="s">
        <v>64</v>
      </c>
      <c r="D1021">
        <v>300</v>
      </c>
      <c r="E1021">
        <v>1</v>
      </c>
      <c r="F1021">
        <v>23</v>
      </c>
      <c r="G1021">
        <v>0</v>
      </c>
      <c r="H1021">
        <v>10</v>
      </c>
      <c r="I1021">
        <v>0</v>
      </c>
      <c r="J1021">
        <v>0</v>
      </c>
    </row>
    <row r="1022" spans="1:10" x14ac:dyDescent="0.25">
      <c r="A1022">
        <v>71303936</v>
      </c>
      <c r="B1022">
        <v>472</v>
      </c>
      <c r="C1022" t="s">
        <v>64</v>
      </c>
      <c r="D1022">
        <v>300</v>
      </c>
      <c r="E1022">
        <v>1</v>
      </c>
      <c r="F1022">
        <v>0</v>
      </c>
      <c r="G1022">
        <v>80</v>
      </c>
      <c r="H1022">
        <v>0</v>
      </c>
      <c r="I1022">
        <v>0</v>
      </c>
      <c r="J1022">
        <v>0</v>
      </c>
    </row>
    <row r="1023" spans="1:10" x14ac:dyDescent="0.25">
      <c r="A1023">
        <v>71303939</v>
      </c>
      <c r="B1023">
        <v>473</v>
      </c>
      <c r="C1023" t="s">
        <v>64</v>
      </c>
      <c r="D1023">
        <v>300</v>
      </c>
      <c r="E1023">
        <v>1</v>
      </c>
      <c r="F1023">
        <v>0</v>
      </c>
      <c r="G1023">
        <v>100</v>
      </c>
      <c r="H1023">
        <v>0</v>
      </c>
      <c r="I1023">
        <v>0</v>
      </c>
      <c r="J1023">
        <v>0</v>
      </c>
    </row>
    <row r="1024" spans="1:10" x14ac:dyDescent="0.25">
      <c r="A1024">
        <v>71303942</v>
      </c>
      <c r="B1024">
        <v>1163</v>
      </c>
      <c r="C1024" t="s">
        <v>129</v>
      </c>
      <c r="D1024">
        <v>300</v>
      </c>
      <c r="E1024">
        <v>1</v>
      </c>
      <c r="F1024">
        <v>0</v>
      </c>
      <c r="G1024">
        <v>0</v>
      </c>
      <c r="H1024">
        <v>65</v>
      </c>
      <c r="I1024">
        <v>0</v>
      </c>
      <c r="J1024">
        <v>0</v>
      </c>
    </row>
    <row r="1025" spans="1:10" x14ac:dyDescent="0.25">
      <c r="A1025">
        <v>71303945</v>
      </c>
      <c r="B1025">
        <v>561</v>
      </c>
      <c r="C1025" t="s">
        <v>132</v>
      </c>
      <c r="D1025">
        <v>300</v>
      </c>
      <c r="E1025">
        <v>1</v>
      </c>
      <c r="F1025">
        <v>0</v>
      </c>
      <c r="G1025">
        <v>0</v>
      </c>
      <c r="H1025">
        <v>50</v>
      </c>
      <c r="I1025">
        <v>0</v>
      </c>
      <c r="J1025">
        <v>0</v>
      </c>
    </row>
    <row r="1026" spans="1:10" x14ac:dyDescent="0.25">
      <c r="A1026">
        <v>71303946</v>
      </c>
      <c r="B1026">
        <v>474</v>
      </c>
      <c r="C1026" t="s">
        <v>64</v>
      </c>
      <c r="D1026">
        <v>300</v>
      </c>
      <c r="E1026">
        <v>1</v>
      </c>
      <c r="F1026">
        <v>0</v>
      </c>
      <c r="G1026">
        <v>0</v>
      </c>
      <c r="H1026">
        <v>50</v>
      </c>
      <c r="I1026">
        <v>0</v>
      </c>
      <c r="J1026">
        <v>0</v>
      </c>
    </row>
    <row r="1027" spans="1:10" x14ac:dyDescent="0.25">
      <c r="A1027">
        <v>71303948</v>
      </c>
      <c r="B1027">
        <v>545</v>
      </c>
      <c r="C1027" t="s">
        <v>67</v>
      </c>
      <c r="D1027">
        <v>300</v>
      </c>
      <c r="E1027">
        <v>1</v>
      </c>
      <c r="F1027">
        <v>0</v>
      </c>
      <c r="G1027">
        <v>0</v>
      </c>
      <c r="H1027">
        <v>40</v>
      </c>
      <c r="I1027">
        <v>0</v>
      </c>
      <c r="J1027">
        <v>0</v>
      </c>
    </row>
    <row r="1028" spans="1:10" x14ac:dyDescent="0.25">
      <c r="A1028">
        <v>71303951</v>
      </c>
      <c r="B1028">
        <v>475</v>
      </c>
      <c r="C1028" t="s">
        <v>64</v>
      </c>
      <c r="D1028">
        <v>300</v>
      </c>
      <c r="E1028">
        <v>1</v>
      </c>
      <c r="F1028">
        <v>0</v>
      </c>
      <c r="G1028">
        <v>360</v>
      </c>
      <c r="H1028">
        <v>40</v>
      </c>
      <c r="I1028">
        <v>0</v>
      </c>
      <c r="J1028">
        <v>0</v>
      </c>
    </row>
    <row r="1029" spans="1:10" x14ac:dyDescent="0.25">
      <c r="A1029">
        <v>71303953</v>
      </c>
      <c r="B1029">
        <v>511</v>
      </c>
      <c r="C1029" t="s">
        <v>131</v>
      </c>
      <c r="D1029">
        <v>300</v>
      </c>
      <c r="E1029">
        <v>1</v>
      </c>
      <c r="F1029">
        <v>0</v>
      </c>
      <c r="G1029">
        <v>0</v>
      </c>
      <c r="H1029">
        <v>50</v>
      </c>
      <c r="I1029">
        <v>0</v>
      </c>
      <c r="J1029">
        <v>0</v>
      </c>
    </row>
    <row r="1030" spans="1:10" x14ac:dyDescent="0.25">
      <c r="A1030">
        <v>71303954</v>
      </c>
      <c r="B1030">
        <v>553</v>
      </c>
      <c r="C1030" t="s">
        <v>129</v>
      </c>
      <c r="D1030">
        <v>300</v>
      </c>
      <c r="E1030">
        <v>1</v>
      </c>
      <c r="F1030">
        <v>0</v>
      </c>
      <c r="G1030">
        <v>0</v>
      </c>
      <c r="H1030">
        <v>20</v>
      </c>
      <c r="I1030">
        <v>0</v>
      </c>
      <c r="J1030">
        <v>0</v>
      </c>
    </row>
    <row r="1031" spans="1:10" x14ac:dyDescent="0.25">
      <c r="A1031">
        <v>71303955</v>
      </c>
      <c r="B1031">
        <v>476</v>
      </c>
      <c r="C1031" t="s">
        <v>64</v>
      </c>
      <c r="D1031">
        <v>300</v>
      </c>
      <c r="E1031">
        <v>1</v>
      </c>
      <c r="F1031">
        <v>0</v>
      </c>
      <c r="G1031">
        <v>192</v>
      </c>
      <c r="H1031">
        <v>0</v>
      </c>
      <c r="I1031">
        <v>0</v>
      </c>
      <c r="J1031">
        <v>0</v>
      </c>
    </row>
    <row r="1032" spans="1:10" x14ac:dyDescent="0.25">
      <c r="A1032">
        <v>71303956</v>
      </c>
      <c r="B1032">
        <v>1164</v>
      </c>
      <c r="C1032" t="s">
        <v>129</v>
      </c>
      <c r="D1032">
        <v>300</v>
      </c>
      <c r="E1032">
        <v>1</v>
      </c>
      <c r="F1032">
        <v>0</v>
      </c>
      <c r="G1032">
        <v>230</v>
      </c>
      <c r="H1032">
        <v>0</v>
      </c>
      <c r="I1032">
        <v>0</v>
      </c>
      <c r="J1032">
        <v>0</v>
      </c>
    </row>
    <row r="1033" spans="1:10" x14ac:dyDescent="0.25">
      <c r="A1033">
        <v>71303957</v>
      </c>
      <c r="B1033">
        <v>523</v>
      </c>
      <c r="C1033" t="s">
        <v>63</v>
      </c>
      <c r="D1033">
        <v>300</v>
      </c>
      <c r="E1033">
        <v>1</v>
      </c>
      <c r="F1033">
        <v>0</v>
      </c>
      <c r="G1033">
        <v>65</v>
      </c>
      <c r="H1033">
        <v>0</v>
      </c>
      <c r="I1033">
        <v>0</v>
      </c>
      <c r="J1033">
        <v>0</v>
      </c>
    </row>
    <row r="1034" spans="1:10" x14ac:dyDescent="0.25">
      <c r="A1034">
        <v>71303960</v>
      </c>
      <c r="B1034">
        <v>477</v>
      </c>
      <c r="C1034" t="s">
        <v>64</v>
      </c>
      <c r="D1034">
        <v>300</v>
      </c>
      <c r="E1034">
        <v>1</v>
      </c>
      <c r="F1034">
        <v>0</v>
      </c>
      <c r="G1034">
        <v>10</v>
      </c>
      <c r="H1034">
        <v>0</v>
      </c>
      <c r="I1034">
        <v>0</v>
      </c>
      <c r="J1034">
        <v>0</v>
      </c>
    </row>
    <row r="1035" spans="1:10" x14ac:dyDescent="0.25">
      <c r="A1035">
        <v>71303961</v>
      </c>
      <c r="B1035">
        <v>478</v>
      </c>
      <c r="C1035" t="s">
        <v>64</v>
      </c>
      <c r="D1035">
        <v>300</v>
      </c>
      <c r="E1035">
        <v>1</v>
      </c>
      <c r="F1035">
        <v>0</v>
      </c>
      <c r="G1035">
        <v>40</v>
      </c>
      <c r="H1035">
        <v>15</v>
      </c>
      <c r="I1035">
        <v>0</v>
      </c>
      <c r="J1035">
        <v>0</v>
      </c>
    </row>
    <row r="1036" spans="1:10" x14ac:dyDescent="0.25">
      <c r="A1036">
        <v>71303964</v>
      </c>
      <c r="B1036">
        <v>479</v>
      </c>
      <c r="C1036" t="s">
        <v>64</v>
      </c>
      <c r="D1036">
        <v>300</v>
      </c>
      <c r="E1036">
        <v>1</v>
      </c>
      <c r="F1036">
        <v>0</v>
      </c>
      <c r="G1036">
        <v>100</v>
      </c>
      <c r="H1036">
        <v>0</v>
      </c>
      <c r="I1036">
        <v>0</v>
      </c>
      <c r="J1036">
        <v>0</v>
      </c>
    </row>
    <row r="1037" spans="1:10" x14ac:dyDescent="0.25">
      <c r="A1037">
        <v>71303967</v>
      </c>
      <c r="B1037">
        <v>490</v>
      </c>
      <c r="C1037" t="s">
        <v>171</v>
      </c>
      <c r="D1037">
        <v>300</v>
      </c>
      <c r="E1037">
        <v>1</v>
      </c>
      <c r="F1037">
        <v>0</v>
      </c>
      <c r="G1037">
        <v>200</v>
      </c>
      <c r="H1037">
        <v>0</v>
      </c>
      <c r="I1037">
        <v>0</v>
      </c>
      <c r="J1037">
        <v>0</v>
      </c>
    </row>
    <row r="1038" spans="1:10" x14ac:dyDescent="0.25">
      <c r="A1038">
        <v>71303968</v>
      </c>
      <c r="B1038">
        <v>1165</v>
      </c>
      <c r="C1038" t="s">
        <v>64</v>
      </c>
      <c r="D1038">
        <v>300</v>
      </c>
      <c r="E1038">
        <v>1</v>
      </c>
      <c r="F1038">
        <v>0</v>
      </c>
      <c r="G1038">
        <v>0</v>
      </c>
      <c r="H1038">
        <v>215</v>
      </c>
      <c r="I1038">
        <v>0</v>
      </c>
      <c r="J1038">
        <v>0</v>
      </c>
    </row>
    <row r="1039" spans="1:10" x14ac:dyDescent="0.25">
      <c r="A1039">
        <v>71303972</v>
      </c>
      <c r="B1039">
        <v>491</v>
      </c>
      <c r="C1039" t="s">
        <v>171</v>
      </c>
      <c r="D1039">
        <v>300</v>
      </c>
      <c r="E1039">
        <v>1</v>
      </c>
      <c r="F1039">
        <v>0</v>
      </c>
      <c r="G1039">
        <v>120</v>
      </c>
      <c r="H1039">
        <v>0</v>
      </c>
      <c r="I1039">
        <v>0</v>
      </c>
      <c r="J1039">
        <v>0</v>
      </c>
    </row>
    <row r="1040" spans="1:10" x14ac:dyDescent="0.25">
      <c r="A1040">
        <v>71303978</v>
      </c>
      <c r="B1040">
        <v>512</v>
      </c>
      <c r="C1040" t="s">
        <v>131</v>
      </c>
      <c r="D1040">
        <v>300</v>
      </c>
      <c r="E1040">
        <v>1</v>
      </c>
      <c r="F1040">
        <v>0</v>
      </c>
      <c r="G1040">
        <v>0</v>
      </c>
      <c r="H1040">
        <v>450</v>
      </c>
      <c r="I1040">
        <v>0</v>
      </c>
      <c r="J1040">
        <v>0</v>
      </c>
    </row>
    <row r="1041" spans="1:10" x14ac:dyDescent="0.25">
      <c r="A1041">
        <v>71303979</v>
      </c>
      <c r="B1041">
        <v>2209</v>
      </c>
      <c r="C1041" t="s">
        <v>132</v>
      </c>
      <c r="D1041">
        <v>300</v>
      </c>
      <c r="E1041">
        <v>1</v>
      </c>
      <c r="F1041">
        <v>0</v>
      </c>
      <c r="G1041">
        <v>0</v>
      </c>
      <c r="H1041">
        <v>300</v>
      </c>
      <c r="I1041">
        <v>0</v>
      </c>
      <c r="J1041">
        <v>0</v>
      </c>
    </row>
    <row r="1042" spans="1:10" x14ac:dyDescent="0.25">
      <c r="A1042">
        <v>71303980</v>
      </c>
      <c r="B1042">
        <v>480</v>
      </c>
      <c r="C1042" t="s">
        <v>64</v>
      </c>
      <c r="D1042">
        <v>300</v>
      </c>
      <c r="E1042">
        <v>1</v>
      </c>
      <c r="F1042">
        <v>0</v>
      </c>
      <c r="G1042">
        <v>20</v>
      </c>
      <c r="H1042">
        <v>0</v>
      </c>
      <c r="I1042">
        <v>0</v>
      </c>
      <c r="J1042">
        <v>0</v>
      </c>
    </row>
    <row r="1043" spans="1:10" x14ac:dyDescent="0.25">
      <c r="A1043">
        <v>71303981</v>
      </c>
      <c r="B1043">
        <v>481</v>
      </c>
      <c r="C1043" t="s">
        <v>64</v>
      </c>
      <c r="D1043">
        <v>300</v>
      </c>
      <c r="E1043">
        <v>1</v>
      </c>
      <c r="F1043">
        <v>0</v>
      </c>
      <c r="G1043">
        <v>125</v>
      </c>
      <c r="H1043">
        <v>0</v>
      </c>
      <c r="I1043">
        <v>0</v>
      </c>
      <c r="J1043">
        <v>0</v>
      </c>
    </row>
    <row r="1044" spans="1:10" x14ac:dyDescent="0.25">
      <c r="A1044">
        <v>71303983</v>
      </c>
      <c r="B1044">
        <v>482</v>
      </c>
      <c r="C1044" t="s">
        <v>64</v>
      </c>
      <c r="D1044">
        <v>300</v>
      </c>
      <c r="E1044">
        <v>1</v>
      </c>
      <c r="F1044">
        <v>0</v>
      </c>
      <c r="G1044">
        <v>65</v>
      </c>
      <c r="H1044">
        <v>100</v>
      </c>
      <c r="I1044">
        <v>0</v>
      </c>
      <c r="J1044">
        <v>0</v>
      </c>
    </row>
    <row r="1045" spans="1:10" x14ac:dyDescent="0.25">
      <c r="A1045">
        <v>71303990</v>
      </c>
      <c r="B1045">
        <v>2179</v>
      </c>
      <c r="C1045" t="s">
        <v>66</v>
      </c>
      <c r="D1045">
        <v>300</v>
      </c>
      <c r="E1045">
        <v>1</v>
      </c>
      <c r="F1045">
        <v>0</v>
      </c>
      <c r="G1045">
        <v>0</v>
      </c>
      <c r="H1045">
        <v>360</v>
      </c>
      <c r="I1045">
        <v>0</v>
      </c>
      <c r="J1045">
        <v>0</v>
      </c>
    </row>
    <row r="1046" spans="1:10" x14ac:dyDescent="0.25">
      <c r="A1046">
        <v>71303991</v>
      </c>
      <c r="B1046">
        <v>2169</v>
      </c>
      <c r="C1046" t="s">
        <v>67</v>
      </c>
      <c r="D1046">
        <v>300</v>
      </c>
      <c r="E1046">
        <v>1</v>
      </c>
      <c r="F1046">
        <v>0</v>
      </c>
      <c r="G1046">
        <v>0</v>
      </c>
      <c r="H1046">
        <v>8</v>
      </c>
      <c r="I1046">
        <v>0</v>
      </c>
      <c r="J1046">
        <v>0</v>
      </c>
    </row>
    <row r="1047" spans="1:10" x14ac:dyDescent="0.25">
      <c r="A1047">
        <v>71304043</v>
      </c>
      <c r="B1047">
        <v>123</v>
      </c>
      <c r="C1047" t="s">
        <v>174</v>
      </c>
      <c r="D1047">
        <v>300</v>
      </c>
      <c r="E1047">
        <v>1</v>
      </c>
      <c r="F1047">
        <v>0</v>
      </c>
      <c r="G1047">
        <v>25</v>
      </c>
      <c r="H1047">
        <v>8</v>
      </c>
      <c r="I1047">
        <v>0</v>
      </c>
      <c r="J1047">
        <v>0</v>
      </c>
    </row>
    <row r="1048" spans="1:10" x14ac:dyDescent="0.25">
      <c r="A1048">
        <v>71304047</v>
      </c>
      <c r="B1048">
        <v>18</v>
      </c>
      <c r="C1048" t="s">
        <v>46</v>
      </c>
      <c r="D1048">
        <v>300</v>
      </c>
      <c r="E1048">
        <v>1</v>
      </c>
      <c r="F1048">
        <v>0</v>
      </c>
      <c r="G1048">
        <v>0</v>
      </c>
      <c r="H1048">
        <v>150</v>
      </c>
      <c r="I1048">
        <v>0</v>
      </c>
      <c r="J1048">
        <v>0</v>
      </c>
    </row>
    <row r="1049" spans="1:10" x14ac:dyDescent="0.25">
      <c r="A1049">
        <v>71304056</v>
      </c>
      <c r="B1049">
        <v>33</v>
      </c>
      <c r="C1049" t="s">
        <v>58</v>
      </c>
      <c r="D1049">
        <v>300</v>
      </c>
      <c r="E1049">
        <v>1</v>
      </c>
      <c r="F1049">
        <v>0</v>
      </c>
      <c r="G1049">
        <v>300</v>
      </c>
      <c r="H1049">
        <v>0</v>
      </c>
      <c r="I1049">
        <v>0</v>
      </c>
      <c r="J1049">
        <v>0</v>
      </c>
    </row>
    <row r="1050" spans="1:10" x14ac:dyDescent="0.25">
      <c r="A1050">
        <v>71304058</v>
      </c>
      <c r="B1050">
        <v>34</v>
      </c>
      <c r="C1050" t="s">
        <v>58</v>
      </c>
      <c r="D1050">
        <v>300</v>
      </c>
      <c r="E1050">
        <v>1</v>
      </c>
      <c r="F1050">
        <v>0</v>
      </c>
      <c r="G1050">
        <v>340</v>
      </c>
      <c r="H1050">
        <v>0</v>
      </c>
      <c r="I1050">
        <v>0</v>
      </c>
      <c r="J1050">
        <v>0</v>
      </c>
    </row>
    <row r="1051" spans="1:10" x14ac:dyDescent="0.25">
      <c r="A1051">
        <v>71304060</v>
      </c>
      <c r="B1051">
        <v>35</v>
      </c>
      <c r="C1051" t="s">
        <v>58</v>
      </c>
      <c r="D1051">
        <v>300</v>
      </c>
      <c r="E1051">
        <v>1</v>
      </c>
      <c r="F1051">
        <v>0</v>
      </c>
      <c r="G1051">
        <v>350</v>
      </c>
      <c r="H1051">
        <v>50</v>
      </c>
      <c r="I1051">
        <v>0</v>
      </c>
      <c r="J1051">
        <v>0</v>
      </c>
    </row>
    <row r="1052" spans="1:10" x14ac:dyDescent="0.25">
      <c r="A1052">
        <v>71304063</v>
      </c>
      <c r="B1052">
        <v>2177</v>
      </c>
      <c r="C1052" t="s">
        <v>58</v>
      </c>
      <c r="D1052">
        <v>300</v>
      </c>
      <c r="E1052">
        <v>1</v>
      </c>
      <c r="F1052">
        <v>0</v>
      </c>
      <c r="G1052">
        <v>0</v>
      </c>
      <c r="H1052">
        <v>450</v>
      </c>
      <c r="I1052">
        <v>0</v>
      </c>
      <c r="J1052">
        <v>0</v>
      </c>
    </row>
    <row r="1053" spans="1:10" x14ac:dyDescent="0.25">
      <c r="A1053">
        <v>71304065</v>
      </c>
      <c r="B1053">
        <v>111</v>
      </c>
      <c r="C1053" t="s">
        <v>65</v>
      </c>
      <c r="D1053">
        <v>300</v>
      </c>
      <c r="E1053">
        <v>1</v>
      </c>
      <c r="F1053">
        <v>0</v>
      </c>
      <c r="G1053">
        <v>0</v>
      </c>
      <c r="H1053">
        <v>10</v>
      </c>
      <c r="I1053">
        <v>0</v>
      </c>
      <c r="J1053">
        <v>0</v>
      </c>
    </row>
    <row r="1054" spans="1:10" x14ac:dyDescent="0.25">
      <c r="A1054">
        <v>71304067</v>
      </c>
      <c r="B1054">
        <v>112</v>
      </c>
      <c r="C1054" t="s">
        <v>65</v>
      </c>
      <c r="D1054">
        <v>300</v>
      </c>
      <c r="E1054">
        <v>1</v>
      </c>
      <c r="F1054">
        <v>0</v>
      </c>
      <c r="G1054">
        <v>0</v>
      </c>
      <c r="H1054">
        <v>25</v>
      </c>
      <c r="I1054">
        <v>0</v>
      </c>
      <c r="J1054">
        <v>0</v>
      </c>
    </row>
    <row r="1055" spans="1:10" x14ac:dyDescent="0.25">
      <c r="A1055">
        <v>71304068</v>
      </c>
      <c r="B1055">
        <v>113</v>
      </c>
      <c r="C1055" t="s">
        <v>65</v>
      </c>
      <c r="D1055">
        <v>300</v>
      </c>
      <c r="E1055">
        <v>1</v>
      </c>
      <c r="F1055">
        <v>0</v>
      </c>
      <c r="G1055">
        <v>50</v>
      </c>
      <c r="H1055">
        <v>85</v>
      </c>
      <c r="I1055">
        <v>0</v>
      </c>
      <c r="J1055">
        <v>0</v>
      </c>
    </row>
    <row r="1056" spans="1:10" x14ac:dyDescent="0.25">
      <c r="A1056">
        <v>71304073</v>
      </c>
      <c r="B1056">
        <v>72</v>
      </c>
      <c r="C1056" t="s">
        <v>175</v>
      </c>
      <c r="D1056">
        <v>300</v>
      </c>
      <c r="E1056">
        <v>1</v>
      </c>
      <c r="F1056">
        <v>0</v>
      </c>
      <c r="G1056">
        <v>252</v>
      </c>
      <c r="H1056">
        <v>0</v>
      </c>
      <c r="I1056">
        <v>0</v>
      </c>
      <c r="J1056">
        <v>0</v>
      </c>
    </row>
    <row r="1057" spans="1:10" x14ac:dyDescent="0.25">
      <c r="A1057">
        <v>71304077</v>
      </c>
      <c r="B1057">
        <v>73</v>
      </c>
      <c r="C1057" t="s">
        <v>175</v>
      </c>
      <c r="D1057">
        <v>300</v>
      </c>
      <c r="E1057">
        <v>1</v>
      </c>
      <c r="F1057">
        <v>0</v>
      </c>
      <c r="G1057">
        <v>0</v>
      </c>
      <c r="H1057">
        <v>325</v>
      </c>
      <c r="I1057">
        <v>0</v>
      </c>
      <c r="J1057">
        <v>0</v>
      </c>
    </row>
    <row r="1058" spans="1:10" x14ac:dyDescent="0.25">
      <c r="A1058">
        <v>71304078</v>
      </c>
      <c r="B1058">
        <v>74</v>
      </c>
      <c r="C1058" t="s">
        <v>175</v>
      </c>
      <c r="D1058">
        <v>300</v>
      </c>
      <c r="E1058">
        <v>1</v>
      </c>
      <c r="F1058">
        <v>0</v>
      </c>
      <c r="G1058">
        <v>0</v>
      </c>
      <c r="H1058">
        <v>345</v>
      </c>
      <c r="I1058">
        <v>0</v>
      </c>
      <c r="J1058">
        <v>0</v>
      </c>
    </row>
    <row r="1059" spans="1:10" x14ac:dyDescent="0.25">
      <c r="A1059">
        <v>71304080</v>
      </c>
      <c r="B1059">
        <v>75</v>
      </c>
      <c r="C1059" t="s">
        <v>175</v>
      </c>
      <c r="D1059">
        <v>300</v>
      </c>
      <c r="E1059">
        <v>1</v>
      </c>
      <c r="F1059">
        <v>0</v>
      </c>
      <c r="G1059">
        <v>436</v>
      </c>
      <c r="H1059">
        <v>0</v>
      </c>
      <c r="I1059">
        <v>0</v>
      </c>
      <c r="J1059">
        <v>0</v>
      </c>
    </row>
    <row r="1060" spans="1:10" x14ac:dyDescent="0.25">
      <c r="A1060">
        <v>71304082</v>
      </c>
      <c r="B1060">
        <v>1</v>
      </c>
      <c r="C1060" t="s">
        <v>176</v>
      </c>
      <c r="D1060">
        <v>300</v>
      </c>
      <c r="E1060">
        <v>1</v>
      </c>
      <c r="F1060">
        <v>0</v>
      </c>
      <c r="G1060">
        <v>0</v>
      </c>
      <c r="H1060">
        <v>40</v>
      </c>
      <c r="I1060">
        <v>0</v>
      </c>
      <c r="J1060">
        <v>0</v>
      </c>
    </row>
    <row r="1061" spans="1:10" x14ac:dyDescent="0.25">
      <c r="A1061">
        <v>71304090</v>
      </c>
      <c r="B1061">
        <v>46</v>
      </c>
      <c r="C1061" t="s">
        <v>136</v>
      </c>
      <c r="D1061">
        <v>300</v>
      </c>
      <c r="E1061">
        <v>1</v>
      </c>
      <c r="F1061">
        <v>0</v>
      </c>
      <c r="G1061">
        <v>0</v>
      </c>
      <c r="H1061">
        <v>337</v>
      </c>
      <c r="I1061">
        <v>0</v>
      </c>
      <c r="J1061">
        <v>0</v>
      </c>
    </row>
    <row r="1062" spans="1:10" x14ac:dyDescent="0.25">
      <c r="A1062">
        <v>71304094</v>
      </c>
      <c r="B1062">
        <v>47</v>
      </c>
      <c r="C1062" t="s">
        <v>136</v>
      </c>
      <c r="D1062">
        <v>300</v>
      </c>
      <c r="E1062">
        <v>1</v>
      </c>
      <c r="F1062">
        <v>0</v>
      </c>
      <c r="G1062">
        <v>0</v>
      </c>
      <c r="H1062">
        <v>340</v>
      </c>
      <c r="I1062">
        <v>0</v>
      </c>
      <c r="J1062">
        <v>0</v>
      </c>
    </row>
    <row r="1063" spans="1:10" x14ac:dyDescent="0.25">
      <c r="A1063">
        <v>71304100</v>
      </c>
      <c r="B1063">
        <v>1143</v>
      </c>
      <c r="C1063" t="s">
        <v>54</v>
      </c>
      <c r="D1063">
        <v>300</v>
      </c>
      <c r="E1063">
        <v>1</v>
      </c>
      <c r="F1063">
        <v>0</v>
      </c>
      <c r="G1063">
        <v>30</v>
      </c>
      <c r="H1063">
        <v>0</v>
      </c>
      <c r="I1063">
        <v>0</v>
      </c>
      <c r="J1063">
        <v>0</v>
      </c>
    </row>
    <row r="1064" spans="1:10" x14ac:dyDescent="0.25">
      <c r="A1064">
        <v>71304101</v>
      </c>
      <c r="B1064">
        <v>9</v>
      </c>
      <c r="C1064" t="s">
        <v>54</v>
      </c>
      <c r="D1064">
        <v>300</v>
      </c>
      <c r="E1064">
        <v>1</v>
      </c>
      <c r="F1064">
        <v>0</v>
      </c>
      <c r="G1064">
        <v>55</v>
      </c>
      <c r="H1064">
        <v>45</v>
      </c>
      <c r="I1064">
        <v>0</v>
      </c>
      <c r="J1064">
        <v>0</v>
      </c>
    </row>
    <row r="1065" spans="1:10" x14ac:dyDescent="0.25">
      <c r="A1065">
        <v>71304102</v>
      </c>
      <c r="B1065">
        <v>10</v>
      </c>
      <c r="C1065" t="s">
        <v>54</v>
      </c>
      <c r="D1065">
        <v>300</v>
      </c>
      <c r="E1065">
        <v>1</v>
      </c>
      <c r="F1065">
        <v>0</v>
      </c>
      <c r="G1065">
        <v>0</v>
      </c>
      <c r="H1065">
        <v>100</v>
      </c>
      <c r="I1065">
        <v>0</v>
      </c>
      <c r="J1065">
        <v>0</v>
      </c>
    </row>
    <row r="1066" spans="1:10" x14ac:dyDescent="0.25">
      <c r="A1066">
        <v>71304103</v>
      </c>
      <c r="B1066">
        <v>1077</v>
      </c>
      <c r="C1066" t="s">
        <v>54</v>
      </c>
      <c r="D1066">
        <v>300</v>
      </c>
      <c r="E1066">
        <v>1</v>
      </c>
      <c r="F1066">
        <v>0</v>
      </c>
      <c r="G1066">
        <v>0</v>
      </c>
      <c r="H1066">
        <v>100</v>
      </c>
      <c r="I1066">
        <v>0</v>
      </c>
      <c r="J1066">
        <v>0</v>
      </c>
    </row>
    <row r="1067" spans="1:10" x14ac:dyDescent="0.25">
      <c r="A1067">
        <v>71304104</v>
      </c>
      <c r="B1067">
        <v>11</v>
      </c>
      <c r="C1067" t="s">
        <v>54</v>
      </c>
      <c r="D1067">
        <v>300</v>
      </c>
      <c r="E1067">
        <v>1</v>
      </c>
      <c r="F1067">
        <v>0</v>
      </c>
      <c r="G1067">
        <v>0</v>
      </c>
      <c r="H1067">
        <v>150</v>
      </c>
      <c r="I1067">
        <v>0</v>
      </c>
      <c r="J1067">
        <v>0</v>
      </c>
    </row>
    <row r="1068" spans="1:10" x14ac:dyDescent="0.25">
      <c r="A1068">
        <v>71304112</v>
      </c>
      <c r="B1068">
        <v>126</v>
      </c>
      <c r="C1068" t="s">
        <v>177</v>
      </c>
      <c r="D1068">
        <v>300</v>
      </c>
      <c r="E1068">
        <v>1</v>
      </c>
      <c r="F1068">
        <v>0</v>
      </c>
      <c r="G1068">
        <v>209</v>
      </c>
      <c r="H1068">
        <v>0</v>
      </c>
      <c r="I1068">
        <v>0</v>
      </c>
      <c r="J1068">
        <v>0</v>
      </c>
    </row>
    <row r="1069" spans="1:10" x14ac:dyDescent="0.25">
      <c r="A1069">
        <v>71304113</v>
      </c>
      <c r="B1069">
        <v>127</v>
      </c>
      <c r="C1069" t="s">
        <v>177</v>
      </c>
      <c r="D1069">
        <v>300</v>
      </c>
      <c r="E1069">
        <v>1</v>
      </c>
      <c r="F1069">
        <v>0</v>
      </c>
      <c r="G1069">
        <v>216</v>
      </c>
      <c r="H1069">
        <v>0</v>
      </c>
      <c r="I1069">
        <v>0</v>
      </c>
      <c r="J1069">
        <v>0</v>
      </c>
    </row>
    <row r="1070" spans="1:10" x14ac:dyDescent="0.25">
      <c r="A1070">
        <v>71304117</v>
      </c>
      <c r="B1070">
        <v>128</v>
      </c>
      <c r="C1070" t="s">
        <v>177</v>
      </c>
      <c r="D1070">
        <v>300</v>
      </c>
      <c r="E1070">
        <v>1</v>
      </c>
      <c r="F1070">
        <v>0</v>
      </c>
      <c r="G1070">
        <v>183</v>
      </c>
      <c r="H1070">
        <v>0</v>
      </c>
      <c r="I1070">
        <v>0</v>
      </c>
      <c r="J1070">
        <v>0</v>
      </c>
    </row>
    <row r="1071" spans="1:10" x14ac:dyDescent="0.25">
      <c r="A1071">
        <v>71304123</v>
      </c>
      <c r="B1071">
        <v>135</v>
      </c>
      <c r="C1071" t="s">
        <v>45</v>
      </c>
      <c r="D1071">
        <v>300</v>
      </c>
      <c r="E1071">
        <v>1</v>
      </c>
      <c r="F1071">
        <v>0</v>
      </c>
      <c r="G1071">
        <v>108</v>
      </c>
      <c r="H1071">
        <v>0</v>
      </c>
      <c r="I1071">
        <v>0</v>
      </c>
      <c r="J1071">
        <v>0</v>
      </c>
    </row>
    <row r="1072" spans="1:10" x14ac:dyDescent="0.25">
      <c r="A1072">
        <v>71304127</v>
      </c>
      <c r="B1072">
        <v>136</v>
      </c>
      <c r="C1072" t="s">
        <v>45</v>
      </c>
      <c r="D1072">
        <v>300</v>
      </c>
      <c r="E1072">
        <v>1</v>
      </c>
      <c r="F1072">
        <v>0</v>
      </c>
      <c r="G1072">
        <v>109</v>
      </c>
      <c r="H1072">
        <v>0</v>
      </c>
      <c r="I1072">
        <v>0</v>
      </c>
      <c r="J1072">
        <v>0</v>
      </c>
    </row>
    <row r="1073" spans="1:10" x14ac:dyDescent="0.25">
      <c r="A1073">
        <v>71304133</v>
      </c>
      <c r="B1073">
        <v>1078</v>
      </c>
      <c r="C1073" t="s">
        <v>60</v>
      </c>
      <c r="D1073">
        <v>300</v>
      </c>
      <c r="E1073">
        <v>1</v>
      </c>
      <c r="F1073">
        <v>0</v>
      </c>
      <c r="G1073">
        <v>160</v>
      </c>
      <c r="H1073">
        <v>0</v>
      </c>
      <c r="I1073">
        <v>0</v>
      </c>
      <c r="J1073">
        <v>0</v>
      </c>
    </row>
    <row r="1074" spans="1:10" x14ac:dyDescent="0.25">
      <c r="A1074">
        <v>71304134</v>
      </c>
      <c r="B1074">
        <v>1079</v>
      </c>
      <c r="C1074" t="s">
        <v>60</v>
      </c>
      <c r="D1074">
        <v>300</v>
      </c>
      <c r="E1074">
        <v>1</v>
      </c>
      <c r="F1074">
        <v>0</v>
      </c>
      <c r="G1074">
        <v>0</v>
      </c>
      <c r="H1074">
        <v>240</v>
      </c>
      <c r="I1074">
        <v>0</v>
      </c>
      <c r="J1074">
        <v>0</v>
      </c>
    </row>
    <row r="1075" spans="1:10" x14ac:dyDescent="0.25">
      <c r="A1075">
        <v>71304135</v>
      </c>
      <c r="B1075">
        <v>1080</v>
      </c>
      <c r="C1075" t="s">
        <v>60</v>
      </c>
      <c r="D1075">
        <v>300</v>
      </c>
      <c r="E1075">
        <v>1</v>
      </c>
      <c r="F1075">
        <v>0</v>
      </c>
      <c r="G1075">
        <v>0</v>
      </c>
      <c r="H1075">
        <v>230</v>
      </c>
      <c r="I1075">
        <v>0</v>
      </c>
      <c r="J1075">
        <v>0</v>
      </c>
    </row>
    <row r="1076" spans="1:10" x14ac:dyDescent="0.25">
      <c r="A1076">
        <v>71304136</v>
      </c>
      <c r="B1076">
        <v>167</v>
      </c>
      <c r="C1076" t="s">
        <v>60</v>
      </c>
      <c r="D1076">
        <v>300</v>
      </c>
      <c r="E1076">
        <v>1</v>
      </c>
      <c r="F1076">
        <v>0</v>
      </c>
      <c r="G1076">
        <v>0</v>
      </c>
      <c r="H1076">
        <v>300</v>
      </c>
      <c r="I1076">
        <v>0</v>
      </c>
      <c r="J1076">
        <v>0</v>
      </c>
    </row>
    <row r="1077" spans="1:10" x14ac:dyDescent="0.25">
      <c r="A1077">
        <v>71304137</v>
      </c>
      <c r="B1077">
        <v>1081</v>
      </c>
      <c r="C1077" t="s">
        <v>60</v>
      </c>
      <c r="D1077">
        <v>300</v>
      </c>
      <c r="E1077">
        <v>1</v>
      </c>
      <c r="F1077">
        <v>0</v>
      </c>
      <c r="G1077">
        <v>15</v>
      </c>
      <c r="H1077">
        <v>0</v>
      </c>
      <c r="I1077">
        <v>0</v>
      </c>
      <c r="J1077">
        <v>0</v>
      </c>
    </row>
    <row r="1078" spans="1:10" x14ac:dyDescent="0.25">
      <c r="A1078">
        <v>71304138</v>
      </c>
      <c r="B1078">
        <v>176</v>
      </c>
      <c r="D1078">
        <v>300</v>
      </c>
      <c r="E1078">
        <v>1</v>
      </c>
      <c r="F1078">
        <v>0</v>
      </c>
      <c r="G1078">
        <v>152</v>
      </c>
      <c r="H1078">
        <v>0</v>
      </c>
      <c r="I1078">
        <v>0</v>
      </c>
      <c r="J1078">
        <v>0</v>
      </c>
    </row>
    <row r="1079" spans="1:10" x14ac:dyDescent="0.25">
      <c r="A1079">
        <v>71304139</v>
      </c>
      <c r="B1079">
        <v>1082</v>
      </c>
      <c r="C1079" t="s">
        <v>60</v>
      </c>
      <c r="D1079">
        <v>300</v>
      </c>
      <c r="E1079">
        <v>1</v>
      </c>
      <c r="F1079">
        <v>0</v>
      </c>
      <c r="G1079">
        <v>0</v>
      </c>
      <c r="H1079">
        <v>335</v>
      </c>
      <c r="I1079">
        <v>0</v>
      </c>
      <c r="J1079">
        <v>0</v>
      </c>
    </row>
    <row r="1080" spans="1:10" x14ac:dyDescent="0.25">
      <c r="A1080">
        <v>71304142</v>
      </c>
      <c r="B1080">
        <v>1083</v>
      </c>
      <c r="C1080" t="s">
        <v>60</v>
      </c>
      <c r="D1080">
        <v>300</v>
      </c>
      <c r="E1080">
        <v>1</v>
      </c>
      <c r="F1080">
        <v>0</v>
      </c>
      <c r="G1080">
        <v>80</v>
      </c>
      <c r="H1080">
        <v>55</v>
      </c>
      <c r="I1080">
        <v>0</v>
      </c>
      <c r="J1080">
        <v>0</v>
      </c>
    </row>
    <row r="1081" spans="1:10" x14ac:dyDescent="0.25">
      <c r="A1081">
        <v>71304143</v>
      </c>
      <c r="B1081">
        <v>1084</v>
      </c>
      <c r="C1081" t="s">
        <v>60</v>
      </c>
      <c r="D1081">
        <v>300</v>
      </c>
      <c r="E1081">
        <v>1</v>
      </c>
      <c r="F1081">
        <v>0</v>
      </c>
      <c r="G1081">
        <v>40</v>
      </c>
      <c r="H1081">
        <v>30</v>
      </c>
      <c r="I1081">
        <v>0</v>
      </c>
      <c r="J1081">
        <v>0</v>
      </c>
    </row>
    <row r="1082" spans="1:10" x14ac:dyDescent="0.25">
      <c r="A1082">
        <v>71304147</v>
      </c>
      <c r="B1082">
        <v>1085</v>
      </c>
      <c r="C1082" t="s">
        <v>60</v>
      </c>
      <c r="D1082">
        <v>300</v>
      </c>
      <c r="E1082">
        <v>1</v>
      </c>
      <c r="F1082">
        <v>0</v>
      </c>
      <c r="G1082">
        <v>0</v>
      </c>
      <c r="H1082">
        <v>40</v>
      </c>
      <c r="I1082">
        <v>0</v>
      </c>
      <c r="J1082">
        <v>0</v>
      </c>
    </row>
    <row r="1083" spans="1:10" x14ac:dyDescent="0.25">
      <c r="A1083">
        <v>71304148</v>
      </c>
      <c r="B1083">
        <v>1086</v>
      </c>
      <c r="C1083" t="s">
        <v>60</v>
      </c>
      <c r="D1083">
        <v>300</v>
      </c>
      <c r="E1083">
        <v>1</v>
      </c>
      <c r="F1083">
        <v>0</v>
      </c>
      <c r="G1083">
        <v>0</v>
      </c>
      <c r="H1083">
        <v>230</v>
      </c>
      <c r="I1083">
        <v>0</v>
      </c>
      <c r="J1083">
        <v>0</v>
      </c>
    </row>
    <row r="1084" spans="1:10" x14ac:dyDescent="0.25">
      <c r="A1084">
        <v>71304149</v>
      </c>
      <c r="B1084">
        <v>1087</v>
      </c>
      <c r="C1084" t="s">
        <v>60</v>
      </c>
      <c r="D1084">
        <v>300</v>
      </c>
      <c r="E1084">
        <v>1</v>
      </c>
      <c r="F1084">
        <v>0</v>
      </c>
      <c r="G1084">
        <v>70</v>
      </c>
      <c r="H1084">
        <v>0</v>
      </c>
      <c r="I1084">
        <v>0</v>
      </c>
      <c r="J1084">
        <v>0</v>
      </c>
    </row>
    <row r="1085" spans="1:10" x14ac:dyDescent="0.25">
      <c r="A1085">
        <v>71304151</v>
      </c>
      <c r="B1085">
        <v>1088</v>
      </c>
      <c r="C1085" t="s">
        <v>60</v>
      </c>
      <c r="D1085">
        <v>300</v>
      </c>
      <c r="E1085">
        <v>1</v>
      </c>
      <c r="F1085">
        <v>0</v>
      </c>
      <c r="G1085">
        <v>55</v>
      </c>
      <c r="H1085">
        <v>0</v>
      </c>
      <c r="I1085">
        <v>0</v>
      </c>
      <c r="J1085">
        <v>0</v>
      </c>
    </row>
    <row r="1086" spans="1:10" x14ac:dyDescent="0.25">
      <c r="A1086">
        <v>71304157</v>
      </c>
      <c r="B1086">
        <v>77</v>
      </c>
      <c r="C1086" t="s">
        <v>178</v>
      </c>
      <c r="D1086">
        <v>300</v>
      </c>
      <c r="E1086">
        <v>1</v>
      </c>
      <c r="F1086">
        <v>0</v>
      </c>
      <c r="G1086">
        <v>0</v>
      </c>
      <c r="H1086">
        <v>70</v>
      </c>
      <c r="I1086">
        <v>0</v>
      </c>
      <c r="J1086">
        <v>0</v>
      </c>
    </row>
    <row r="1087" spans="1:10" x14ac:dyDescent="0.25">
      <c r="A1087">
        <v>71304160</v>
      </c>
      <c r="B1087">
        <v>171</v>
      </c>
      <c r="C1087" t="s">
        <v>49</v>
      </c>
      <c r="D1087">
        <v>300</v>
      </c>
      <c r="E1087">
        <v>1</v>
      </c>
      <c r="F1087">
        <v>0</v>
      </c>
      <c r="G1087">
        <v>0</v>
      </c>
      <c r="H1087">
        <v>290</v>
      </c>
      <c r="I1087">
        <v>0</v>
      </c>
      <c r="J1087">
        <v>0</v>
      </c>
    </row>
    <row r="1088" spans="1:10" x14ac:dyDescent="0.25">
      <c r="A1088">
        <v>71304161</v>
      </c>
      <c r="B1088">
        <v>172</v>
      </c>
      <c r="C1088" t="s">
        <v>49</v>
      </c>
      <c r="D1088">
        <v>300</v>
      </c>
      <c r="E1088">
        <v>1</v>
      </c>
      <c r="F1088">
        <v>0</v>
      </c>
      <c r="G1088">
        <v>0</v>
      </c>
      <c r="H1088">
        <v>290</v>
      </c>
      <c r="I1088">
        <v>0</v>
      </c>
      <c r="J1088">
        <v>0</v>
      </c>
    </row>
    <row r="1089" spans="1:10" x14ac:dyDescent="0.25">
      <c r="A1089">
        <v>71304164</v>
      </c>
      <c r="B1089">
        <v>173</v>
      </c>
      <c r="C1089" t="s">
        <v>49</v>
      </c>
      <c r="D1089">
        <v>300</v>
      </c>
      <c r="E1089">
        <v>1</v>
      </c>
      <c r="F1089">
        <v>0</v>
      </c>
      <c r="G1089">
        <v>0</v>
      </c>
      <c r="H1089">
        <v>300</v>
      </c>
      <c r="I1089">
        <v>0</v>
      </c>
      <c r="J1089">
        <v>0</v>
      </c>
    </row>
    <row r="1090" spans="1:10" x14ac:dyDescent="0.25">
      <c r="A1090">
        <v>71304166</v>
      </c>
      <c r="B1090">
        <v>174</v>
      </c>
      <c r="C1090" t="s">
        <v>49</v>
      </c>
      <c r="D1090">
        <v>300</v>
      </c>
      <c r="E1090">
        <v>1</v>
      </c>
      <c r="F1090">
        <v>0</v>
      </c>
      <c r="G1090">
        <v>0</v>
      </c>
      <c r="H1090">
        <v>70</v>
      </c>
      <c r="I1090">
        <v>0</v>
      </c>
      <c r="J1090">
        <v>0</v>
      </c>
    </row>
    <row r="1091" spans="1:10" x14ac:dyDescent="0.25">
      <c r="A1091">
        <v>71304168</v>
      </c>
      <c r="B1091">
        <v>151</v>
      </c>
      <c r="C1091" t="s">
        <v>52</v>
      </c>
      <c r="D1091">
        <v>300</v>
      </c>
      <c r="E1091">
        <v>1</v>
      </c>
      <c r="F1091">
        <v>0</v>
      </c>
      <c r="G1091">
        <v>165</v>
      </c>
      <c r="H1091">
        <v>0</v>
      </c>
      <c r="I1091">
        <v>0</v>
      </c>
      <c r="J1091">
        <v>0</v>
      </c>
    </row>
    <row r="1092" spans="1:10" x14ac:dyDescent="0.25">
      <c r="A1092">
        <v>71304169</v>
      </c>
      <c r="B1092">
        <v>152</v>
      </c>
      <c r="C1092" t="s">
        <v>52</v>
      </c>
      <c r="D1092">
        <v>300</v>
      </c>
      <c r="E1092">
        <v>1</v>
      </c>
      <c r="F1092">
        <v>0</v>
      </c>
      <c r="G1092">
        <v>250</v>
      </c>
      <c r="H1092">
        <v>0</v>
      </c>
      <c r="I1092">
        <v>0</v>
      </c>
      <c r="J1092">
        <v>0</v>
      </c>
    </row>
    <row r="1093" spans="1:10" x14ac:dyDescent="0.25">
      <c r="A1093">
        <v>71304170</v>
      </c>
      <c r="B1093">
        <v>153</v>
      </c>
      <c r="C1093" t="s">
        <v>52</v>
      </c>
      <c r="D1093">
        <v>300</v>
      </c>
      <c r="E1093">
        <v>1</v>
      </c>
      <c r="F1093">
        <v>0</v>
      </c>
      <c r="G1093">
        <v>400</v>
      </c>
      <c r="H1093">
        <v>80</v>
      </c>
      <c r="I1093">
        <v>0</v>
      </c>
      <c r="J1093">
        <v>0</v>
      </c>
    </row>
    <row r="1094" spans="1:10" x14ac:dyDescent="0.25">
      <c r="A1094">
        <v>71304171</v>
      </c>
      <c r="B1094">
        <v>154</v>
      </c>
      <c r="C1094" t="s">
        <v>52</v>
      </c>
      <c r="D1094">
        <v>300</v>
      </c>
      <c r="E1094">
        <v>1</v>
      </c>
      <c r="F1094">
        <v>0</v>
      </c>
      <c r="G1094">
        <v>250</v>
      </c>
      <c r="H1094">
        <v>0</v>
      </c>
      <c r="I1094">
        <v>0</v>
      </c>
      <c r="J1094">
        <v>0</v>
      </c>
    </row>
    <row r="1095" spans="1:10" x14ac:dyDescent="0.25">
      <c r="A1095">
        <v>71304177</v>
      </c>
      <c r="B1095">
        <v>58</v>
      </c>
      <c r="C1095" t="s">
        <v>55</v>
      </c>
      <c r="D1095">
        <v>300</v>
      </c>
      <c r="E1095">
        <v>1</v>
      </c>
      <c r="F1095">
        <v>0</v>
      </c>
      <c r="G1095">
        <v>10</v>
      </c>
      <c r="H1095">
        <v>0</v>
      </c>
      <c r="I1095">
        <v>0</v>
      </c>
      <c r="J1095">
        <v>0</v>
      </c>
    </row>
    <row r="1096" spans="1:10" x14ac:dyDescent="0.25">
      <c r="A1096">
        <v>71304178</v>
      </c>
      <c r="B1096">
        <v>59</v>
      </c>
      <c r="C1096" t="s">
        <v>55</v>
      </c>
      <c r="D1096">
        <v>300</v>
      </c>
      <c r="E1096">
        <v>1</v>
      </c>
      <c r="F1096">
        <v>0</v>
      </c>
      <c r="G1096">
        <v>30</v>
      </c>
      <c r="H1096">
        <v>0</v>
      </c>
      <c r="I1096">
        <v>0</v>
      </c>
      <c r="J1096">
        <v>0</v>
      </c>
    </row>
    <row r="1097" spans="1:10" x14ac:dyDescent="0.25">
      <c r="A1097">
        <v>71304180</v>
      </c>
      <c r="B1097">
        <v>60</v>
      </c>
      <c r="C1097" t="s">
        <v>55</v>
      </c>
      <c r="D1097">
        <v>300</v>
      </c>
      <c r="E1097">
        <v>1</v>
      </c>
      <c r="F1097">
        <v>0</v>
      </c>
      <c r="G1097">
        <v>45</v>
      </c>
      <c r="H1097">
        <v>0</v>
      </c>
      <c r="I1097">
        <v>0</v>
      </c>
      <c r="J1097">
        <v>0</v>
      </c>
    </row>
    <row r="1098" spans="1:10" x14ac:dyDescent="0.25">
      <c r="A1098">
        <v>71304181</v>
      </c>
      <c r="B1098">
        <v>61</v>
      </c>
      <c r="C1098" t="s">
        <v>55</v>
      </c>
      <c r="D1098">
        <v>300</v>
      </c>
      <c r="E1098">
        <v>1</v>
      </c>
      <c r="F1098">
        <v>0</v>
      </c>
      <c r="G1098">
        <v>15</v>
      </c>
      <c r="H1098">
        <v>0</v>
      </c>
      <c r="I1098">
        <v>0</v>
      </c>
      <c r="J1098">
        <v>0</v>
      </c>
    </row>
    <row r="1099" spans="1:10" x14ac:dyDescent="0.25">
      <c r="A1099">
        <v>71304182</v>
      </c>
      <c r="B1099">
        <v>62</v>
      </c>
      <c r="C1099" t="s">
        <v>55</v>
      </c>
      <c r="D1099">
        <v>300</v>
      </c>
      <c r="E1099">
        <v>1</v>
      </c>
      <c r="F1099">
        <v>0</v>
      </c>
      <c r="G1099">
        <v>0</v>
      </c>
      <c r="H1099">
        <v>60</v>
      </c>
      <c r="I1099">
        <v>0</v>
      </c>
      <c r="J1099">
        <v>0</v>
      </c>
    </row>
    <row r="1100" spans="1:10" x14ac:dyDescent="0.25">
      <c r="A1100">
        <v>71304183</v>
      </c>
      <c r="B1100">
        <v>63</v>
      </c>
      <c r="C1100" t="s">
        <v>55</v>
      </c>
      <c r="D1100">
        <v>300</v>
      </c>
      <c r="E1100">
        <v>1</v>
      </c>
      <c r="F1100">
        <v>0</v>
      </c>
      <c r="G1100">
        <v>280</v>
      </c>
      <c r="H1100">
        <v>0</v>
      </c>
      <c r="I1100">
        <v>0</v>
      </c>
      <c r="J1100">
        <v>0</v>
      </c>
    </row>
    <row r="1101" spans="1:10" x14ac:dyDescent="0.25">
      <c r="A1101">
        <v>71304184</v>
      </c>
      <c r="B1101">
        <v>64</v>
      </c>
      <c r="C1101" t="s">
        <v>55</v>
      </c>
      <c r="D1101">
        <v>300</v>
      </c>
      <c r="E1101">
        <v>1</v>
      </c>
      <c r="F1101">
        <v>0</v>
      </c>
      <c r="G1101">
        <v>0</v>
      </c>
      <c r="H1101">
        <v>160</v>
      </c>
      <c r="I1101">
        <v>0</v>
      </c>
      <c r="J1101">
        <v>0</v>
      </c>
    </row>
    <row r="1102" spans="1:10" x14ac:dyDescent="0.25">
      <c r="A1102">
        <v>71304187</v>
      </c>
      <c r="B1102">
        <v>65</v>
      </c>
      <c r="C1102" t="s">
        <v>55</v>
      </c>
      <c r="D1102">
        <v>300</v>
      </c>
      <c r="E1102">
        <v>1</v>
      </c>
      <c r="F1102">
        <v>0</v>
      </c>
      <c r="G1102">
        <v>20</v>
      </c>
      <c r="H1102">
        <v>0</v>
      </c>
      <c r="I1102">
        <v>0</v>
      </c>
      <c r="J1102">
        <v>0</v>
      </c>
    </row>
    <row r="1103" spans="1:10" x14ac:dyDescent="0.25">
      <c r="A1103">
        <v>71304188</v>
      </c>
      <c r="B1103">
        <v>66</v>
      </c>
      <c r="C1103" t="s">
        <v>55</v>
      </c>
      <c r="D1103">
        <v>300</v>
      </c>
      <c r="E1103">
        <v>1</v>
      </c>
      <c r="F1103">
        <v>0</v>
      </c>
      <c r="G1103">
        <v>100</v>
      </c>
      <c r="H1103">
        <v>0</v>
      </c>
      <c r="I1103">
        <v>0</v>
      </c>
      <c r="J1103">
        <v>0</v>
      </c>
    </row>
    <row r="1104" spans="1:10" x14ac:dyDescent="0.25">
      <c r="A1104">
        <v>71304190</v>
      </c>
      <c r="B1104">
        <v>39</v>
      </c>
      <c r="C1104" t="s">
        <v>179</v>
      </c>
      <c r="D1104">
        <v>300</v>
      </c>
      <c r="E1104">
        <v>1</v>
      </c>
      <c r="F1104">
        <v>0</v>
      </c>
      <c r="G1104">
        <v>120</v>
      </c>
      <c r="H1104">
        <v>0</v>
      </c>
      <c r="I1104">
        <v>0</v>
      </c>
      <c r="J1104">
        <v>0</v>
      </c>
    </row>
    <row r="1105" spans="1:10" x14ac:dyDescent="0.25">
      <c r="A1105">
        <v>71304192</v>
      </c>
      <c r="B1105">
        <v>40</v>
      </c>
      <c r="C1105" t="s">
        <v>179</v>
      </c>
      <c r="D1105">
        <v>300</v>
      </c>
      <c r="E1105">
        <v>1</v>
      </c>
      <c r="F1105">
        <v>0</v>
      </c>
      <c r="G1105">
        <v>30</v>
      </c>
      <c r="H1105">
        <v>40</v>
      </c>
      <c r="I1105">
        <v>0</v>
      </c>
      <c r="J1105">
        <v>0</v>
      </c>
    </row>
    <row r="1106" spans="1:10" x14ac:dyDescent="0.25">
      <c r="A1106">
        <v>71304194</v>
      </c>
      <c r="B1106">
        <v>161</v>
      </c>
      <c r="C1106" t="s">
        <v>138</v>
      </c>
      <c r="D1106">
        <v>300</v>
      </c>
      <c r="E1106">
        <v>1</v>
      </c>
      <c r="F1106">
        <v>0</v>
      </c>
      <c r="G1106">
        <v>180</v>
      </c>
      <c r="H1106">
        <v>0</v>
      </c>
      <c r="I1106">
        <v>0</v>
      </c>
      <c r="J1106">
        <v>0</v>
      </c>
    </row>
    <row r="1107" spans="1:10" x14ac:dyDescent="0.25">
      <c r="A1107">
        <v>71304200</v>
      </c>
      <c r="B1107">
        <v>162</v>
      </c>
      <c r="C1107" t="s">
        <v>138</v>
      </c>
      <c r="D1107">
        <v>300</v>
      </c>
      <c r="E1107">
        <v>1</v>
      </c>
      <c r="F1107">
        <v>0</v>
      </c>
      <c r="G1107">
        <v>135</v>
      </c>
      <c r="H1107">
        <v>0</v>
      </c>
      <c r="I1107">
        <v>0</v>
      </c>
      <c r="J1107">
        <v>0</v>
      </c>
    </row>
    <row r="1108" spans="1:10" x14ac:dyDescent="0.25">
      <c r="A1108">
        <v>71304201</v>
      </c>
      <c r="B1108">
        <v>163</v>
      </c>
      <c r="C1108" t="s">
        <v>138</v>
      </c>
      <c r="D1108">
        <v>300</v>
      </c>
      <c r="E1108">
        <v>1</v>
      </c>
      <c r="F1108">
        <v>0</v>
      </c>
      <c r="G1108">
        <v>75</v>
      </c>
      <c r="H1108">
        <v>0</v>
      </c>
      <c r="I1108">
        <v>0</v>
      </c>
      <c r="J1108">
        <v>0</v>
      </c>
    </row>
    <row r="1109" spans="1:10" x14ac:dyDescent="0.25">
      <c r="A1109">
        <v>71304207</v>
      </c>
      <c r="B1109">
        <v>1089</v>
      </c>
      <c r="C1109" t="s">
        <v>53</v>
      </c>
      <c r="D1109">
        <v>300</v>
      </c>
      <c r="E1109">
        <v>1</v>
      </c>
      <c r="F1109">
        <v>0</v>
      </c>
      <c r="G1109">
        <v>0</v>
      </c>
      <c r="H1109">
        <v>50</v>
      </c>
      <c r="I1109">
        <v>0</v>
      </c>
      <c r="J1109">
        <v>0</v>
      </c>
    </row>
    <row r="1110" spans="1:10" x14ac:dyDescent="0.25">
      <c r="A1110">
        <v>71304208</v>
      </c>
      <c r="B1110">
        <v>1090</v>
      </c>
      <c r="C1110" t="s">
        <v>53</v>
      </c>
      <c r="D1110">
        <v>300</v>
      </c>
      <c r="E1110">
        <v>1</v>
      </c>
      <c r="F1110">
        <v>0</v>
      </c>
      <c r="G1110">
        <v>70</v>
      </c>
      <c r="H1110">
        <v>170</v>
      </c>
      <c r="I1110">
        <v>0</v>
      </c>
      <c r="J1110">
        <v>0</v>
      </c>
    </row>
    <row r="1111" spans="1:10" x14ac:dyDescent="0.25">
      <c r="A1111">
        <v>71304213</v>
      </c>
      <c r="B1111">
        <v>1091</v>
      </c>
      <c r="C1111" t="s">
        <v>53</v>
      </c>
      <c r="D1111">
        <v>300</v>
      </c>
      <c r="E1111">
        <v>1</v>
      </c>
      <c r="F1111">
        <v>0</v>
      </c>
      <c r="G1111">
        <v>0</v>
      </c>
      <c r="H1111">
        <v>230</v>
      </c>
      <c r="I1111">
        <v>0</v>
      </c>
      <c r="J1111">
        <v>0</v>
      </c>
    </row>
    <row r="1112" spans="1:10" x14ac:dyDescent="0.25">
      <c r="A1112">
        <v>71304215</v>
      </c>
      <c r="B1112">
        <v>1092</v>
      </c>
      <c r="C1112" t="s">
        <v>53</v>
      </c>
      <c r="D1112">
        <v>300</v>
      </c>
      <c r="E1112">
        <v>1</v>
      </c>
      <c r="F1112">
        <v>0</v>
      </c>
      <c r="G1112">
        <v>120</v>
      </c>
      <c r="H1112">
        <v>0</v>
      </c>
      <c r="I1112">
        <v>0</v>
      </c>
      <c r="J1112">
        <v>0</v>
      </c>
    </row>
    <row r="1113" spans="1:10" x14ac:dyDescent="0.25">
      <c r="A1113">
        <v>71304217</v>
      </c>
      <c r="B1113">
        <v>84</v>
      </c>
      <c r="C1113" t="s">
        <v>53</v>
      </c>
      <c r="D1113">
        <v>300</v>
      </c>
      <c r="E1113">
        <v>1</v>
      </c>
      <c r="F1113">
        <v>0</v>
      </c>
      <c r="G1113">
        <v>250</v>
      </c>
      <c r="H1113">
        <v>0</v>
      </c>
      <c r="I1113">
        <v>0</v>
      </c>
      <c r="J1113">
        <v>0</v>
      </c>
    </row>
    <row r="1114" spans="1:10" x14ac:dyDescent="0.25">
      <c r="A1114">
        <v>71304219</v>
      </c>
      <c r="B1114">
        <v>1093</v>
      </c>
      <c r="C1114" t="s">
        <v>53</v>
      </c>
      <c r="D1114">
        <v>300</v>
      </c>
      <c r="E1114">
        <v>1</v>
      </c>
      <c r="F1114">
        <v>0</v>
      </c>
      <c r="G1114">
        <v>0</v>
      </c>
      <c r="H1114">
        <v>46</v>
      </c>
      <c r="I1114">
        <v>0</v>
      </c>
      <c r="J1114">
        <v>0</v>
      </c>
    </row>
    <row r="1115" spans="1:10" x14ac:dyDescent="0.25">
      <c r="A1115">
        <v>71304220</v>
      </c>
      <c r="B1115">
        <v>1094</v>
      </c>
      <c r="C1115" t="s">
        <v>53</v>
      </c>
      <c r="D1115">
        <v>300</v>
      </c>
      <c r="E1115">
        <v>1</v>
      </c>
      <c r="F1115">
        <v>0</v>
      </c>
      <c r="G1115">
        <v>135</v>
      </c>
      <c r="H1115">
        <v>30</v>
      </c>
      <c r="I1115">
        <v>0</v>
      </c>
      <c r="J1115">
        <v>0</v>
      </c>
    </row>
    <row r="1116" spans="1:10" x14ac:dyDescent="0.25">
      <c r="A1116">
        <v>71304221</v>
      </c>
      <c r="B1116">
        <v>1095</v>
      </c>
      <c r="C1116" t="s">
        <v>53</v>
      </c>
      <c r="D1116">
        <v>300</v>
      </c>
      <c r="E1116">
        <v>1</v>
      </c>
      <c r="F1116">
        <v>0</v>
      </c>
      <c r="G1116">
        <v>0</v>
      </c>
      <c r="H1116">
        <v>200</v>
      </c>
      <c r="I1116">
        <v>0</v>
      </c>
      <c r="J1116">
        <v>0</v>
      </c>
    </row>
    <row r="1117" spans="1:10" x14ac:dyDescent="0.25">
      <c r="A1117">
        <v>71304222</v>
      </c>
      <c r="B1117">
        <v>1096</v>
      </c>
      <c r="C1117" t="s">
        <v>53</v>
      </c>
      <c r="D1117">
        <v>300</v>
      </c>
      <c r="E1117">
        <v>1</v>
      </c>
      <c r="F1117">
        <v>0</v>
      </c>
      <c r="G1117">
        <v>0</v>
      </c>
      <c r="H1117">
        <v>170</v>
      </c>
      <c r="I1117">
        <v>0</v>
      </c>
      <c r="J1117">
        <v>0</v>
      </c>
    </row>
    <row r="1118" spans="1:10" x14ac:dyDescent="0.25">
      <c r="A1118">
        <v>71304229</v>
      </c>
      <c r="B1118">
        <v>85</v>
      </c>
      <c r="C1118" t="s">
        <v>53</v>
      </c>
      <c r="D1118">
        <v>300</v>
      </c>
      <c r="E1118">
        <v>1</v>
      </c>
      <c r="F1118">
        <v>0</v>
      </c>
      <c r="G1118">
        <v>17</v>
      </c>
      <c r="H1118">
        <v>0</v>
      </c>
      <c r="I1118">
        <v>200</v>
      </c>
      <c r="J1118">
        <v>0</v>
      </c>
    </row>
    <row r="1119" spans="1:10" x14ac:dyDescent="0.25">
      <c r="A1119">
        <v>71304234</v>
      </c>
      <c r="B1119">
        <v>1097</v>
      </c>
      <c r="C1119" t="s">
        <v>54</v>
      </c>
      <c r="D1119">
        <v>300</v>
      </c>
      <c r="E1119">
        <v>1</v>
      </c>
      <c r="F1119">
        <v>0</v>
      </c>
      <c r="G1119">
        <v>40</v>
      </c>
      <c r="H1119">
        <v>70</v>
      </c>
      <c r="I1119">
        <v>0</v>
      </c>
      <c r="J1119">
        <v>0</v>
      </c>
    </row>
    <row r="1120" spans="1:10" x14ac:dyDescent="0.25">
      <c r="A1120">
        <v>71304238</v>
      </c>
      <c r="B1120">
        <v>67</v>
      </c>
      <c r="C1120" t="s">
        <v>55</v>
      </c>
      <c r="D1120">
        <v>300</v>
      </c>
      <c r="E1120">
        <v>1</v>
      </c>
      <c r="F1120">
        <v>0</v>
      </c>
      <c r="G1120">
        <v>60</v>
      </c>
      <c r="H1120">
        <v>0</v>
      </c>
      <c r="I1120">
        <v>0</v>
      </c>
      <c r="J1120">
        <v>0</v>
      </c>
    </row>
    <row r="1121" spans="1:10" x14ac:dyDescent="0.25">
      <c r="A1121">
        <v>71304250</v>
      </c>
      <c r="B1121">
        <v>129</v>
      </c>
      <c r="C1121" t="s">
        <v>177</v>
      </c>
      <c r="D1121">
        <v>300</v>
      </c>
      <c r="E1121">
        <v>1</v>
      </c>
      <c r="F1121">
        <v>0</v>
      </c>
      <c r="G1121">
        <v>293</v>
      </c>
      <c r="H1121">
        <v>11</v>
      </c>
      <c r="I1121">
        <v>0</v>
      </c>
      <c r="J1121">
        <v>0</v>
      </c>
    </row>
    <row r="1122" spans="1:10" x14ac:dyDescent="0.25">
      <c r="A1122">
        <v>71304251</v>
      </c>
      <c r="B1122">
        <v>2178</v>
      </c>
      <c r="C1122" t="s">
        <v>58</v>
      </c>
      <c r="D1122">
        <v>300</v>
      </c>
      <c r="E1122">
        <v>1</v>
      </c>
      <c r="F1122">
        <v>0</v>
      </c>
      <c r="G1122">
        <v>0</v>
      </c>
      <c r="H1122">
        <v>75</v>
      </c>
      <c r="I1122">
        <v>0</v>
      </c>
      <c r="J1122">
        <v>0</v>
      </c>
    </row>
    <row r="1123" spans="1:10" x14ac:dyDescent="0.25">
      <c r="A1123">
        <v>71304269</v>
      </c>
      <c r="B1123">
        <v>137</v>
      </c>
      <c r="C1123" t="s">
        <v>45</v>
      </c>
      <c r="D1123">
        <v>300</v>
      </c>
      <c r="E1123">
        <v>1</v>
      </c>
      <c r="F1123">
        <v>0</v>
      </c>
      <c r="G1123">
        <v>144</v>
      </c>
      <c r="H1123">
        <v>1</v>
      </c>
      <c r="I1123">
        <v>0</v>
      </c>
      <c r="J1123">
        <v>0</v>
      </c>
    </row>
    <row r="1124" spans="1:10" x14ac:dyDescent="0.25">
      <c r="A1124">
        <v>71304270</v>
      </c>
      <c r="B1124">
        <v>48</v>
      </c>
      <c r="C1124" t="s">
        <v>136</v>
      </c>
      <c r="D1124">
        <v>300</v>
      </c>
      <c r="E1124">
        <v>1</v>
      </c>
      <c r="F1124">
        <v>0</v>
      </c>
      <c r="G1124">
        <v>530</v>
      </c>
      <c r="H1124">
        <v>0</v>
      </c>
      <c r="I1124">
        <v>0</v>
      </c>
      <c r="J1124">
        <v>0</v>
      </c>
    </row>
    <row r="1125" spans="1:10" x14ac:dyDescent="0.25">
      <c r="A1125">
        <v>71304273</v>
      </c>
      <c r="B1125">
        <v>1098</v>
      </c>
      <c r="C1125" t="s">
        <v>60</v>
      </c>
      <c r="D1125">
        <v>300</v>
      </c>
      <c r="E1125">
        <v>1</v>
      </c>
      <c r="F1125">
        <v>0</v>
      </c>
      <c r="G1125">
        <v>140</v>
      </c>
      <c r="H1125">
        <v>0</v>
      </c>
      <c r="I1125">
        <v>0</v>
      </c>
      <c r="J1125">
        <v>0</v>
      </c>
    </row>
    <row r="1126" spans="1:10" x14ac:dyDescent="0.25">
      <c r="A1126">
        <v>71304275</v>
      </c>
      <c r="B1126">
        <v>1099</v>
      </c>
      <c r="C1126" t="s">
        <v>55</v>
      </c>
      <c r="D1126">
        <v>300</v>
      </c>
      <c r="E1126">
        <v>1</v>
      </c>
      <c r="F1126">
        <v>0</v>
      </c>
      <c r="G1126">
        <v>200</v>
      </c>
      <c r="H1126">
        <v>0</v>
      </c>
      <c r="I1126">
        <v>0</v>
      </c>
      <c r="J1126">
        <v>0</v>
      </c>
    </row>
    <row r="1127" spans="1:10" x14ac:dyDescent="0.25">
      <c r="A1127">
        <v>71304283</v>
      </c>
      <c r="B1127">
        <v>86</v>
      </c>
      <c r="C1127" t="s">
        <v>53</v>
      </c>
      <c r="D1127">
        <v>300</v>
      </c>
      <c r="E1127">
        <v>1</v>
      </c>
      <c r="F1127">
        <v>0</v>
      </c>
      <c r="G1127">
        <v>0</v>
      </c>
      <c r="H1127">
        <v>50</v>
      </c>
      <c r="I1127">
        <v>0</v>
      </c>
      <c r="J1127">
        <v>0</v>
      </c>
    </row>
    <row r="1128" spans="1:10" x14ac:dyDescent="0.25">
      <c r="A1128">
        <v>71304287</v>
      </c>
      <c r="B1128">
        <v>177</v>
      </c>
      <c r="D1128">
        <v>300</v>
      </c>
      <c r="E1128">
        <v>1</v>
      </c>
      <c r="F1128">
        <v>0</v>
      </c>
      <c r="G1128">
        <v>68</v>
      </c>
      <c r="H1128">
        <v>0</v>
      </c>
      <c r="I1128">
        <v>0</v>
      </c>
      <c r="J1128">
        <v>0</v>
      </c>
    </row>
    <row r="1129" spans="1:10" x14ac:dyDescent="0.25">
      <c r="A1129">
        <v>71304288</v>
      </c>
      <c r="B1129">
        <v>114</v>
      </c>
      <c r="C1129" t="s">
        <v>65</v>
      </c>
      <c r="D1129">
        <v>300</v>
      </c>
      <c r="E1129">
        <v>1</v>
      </c>
      <c r="F1129">
        <v>0</v>
      </c>
      <c r="G1129">
        <v>0</v>
      </c>
      <c r="H1129">
        <v>35</v>
      </c>
      <c r="I1129">
        <v>0</v>
      </c>
      <c r="J1129">
        <v>0</v>
      </c>
    </row>
    <row r="1130" spans="1:10" x14ac:dyDescent="0.25">
      <c r="A1130">
        <v>71304289</v>
      </c>
      <c r="B1130">
        <v>12</v>
      </c>
      <c r="C1130" t="s">
        <v>54</v>
      </c>
      <c r="D1130">
        <v>300</v>
      </c>
      <c r="E1130">
        <v>1</v>
      </c>
      <c r="F1130">
        <v>0</v>
      </c>
      <c r="G1130">
        <v>20</v>
      </c>
      <c r="H1130">
        <v>125</v>
      </c>
      <c r="I1130">
        <v>0</v>
      </c>
      <c r="J1130">
        <v>0</v>
      </c>
    </row>
    <row r="1131" spans="1:10" x14ac:dyDescent="0.25">
      <c r="A1131">
        <v>71304295</v>
      </c>
      <c r="B1131">
        <v>23</v>
      </c>
      <c r="C1131" t="s">
        <v>180</v>
      </c>
      <c r="D1131">
        <v>300</v>
      </c>
      <c r="E1131">
        <v>1</v>
      </c>
      <c r="F1131">
        <v>0</v>
      </c>
      <c r="G1131">
        <v>0</v>
      </c>
      <c r="H1131">
        <v>100</v>
      </c>
      <c r="I1131">
        <v>0</v>
      </c>
      <c r="J1131">
        <v>0</v>
      </c>
    </row>
    <row r="1132" spans="1:10" x14ac:dyDescent="0.25">
      <c r="A1132">
        <v>71304297</v>
      </c>
      <c r="B1132">
        <v>87</v>
      </c>
      <c r="C1132" t="s">
        <v>53</v>
      </c>
      <c r="D1132">
        <v>300</v>
      </c>
      <c r="E1132">
        <v>1</v>
      </c>
      <c r="F1132">
        <v>0</v>
      </c>
      <c r="G1132">
        <v>200</v>
      </c>
      <c r="H1132">
        <v>0</v>
      </c>
      <c r="I1132">
        <v>0</v>
      </c>
      <c r="J1132">
        <v>0</v>
      </c>
    </row>
    <row r="1133" spans="1:10" x14ac:dyDescent="0.25">
      <c r="A1133">
        <v>71304299</v>
      </c>
      <c r="B1133">
        <v>88</v>
      </c>
      <c r="C1133" t="s">
        <v>53</v>
      </c>
      <c r="D1133">
        <v>300</v>
      </c>
      <c r="E1133">
        <v>1</v>
      </c>
      <c r="F1133">
        <v>0</v>
      </c>
      <c r="G1133">
        <v>150</v>
      </c>
      <c r="H1133">
        <v>0</v>
      </c>
      <c r="I1133">
        <v>0</v>
      </c>
      <c r="J1133">
        <v>0</v>
      </c>
    </row>
    <row r="1134" spans="1:10" x14ac:dyDescent="0.25">
      <c r="A1134">
        <v>71304304</v>
      </c>
      <c r="B1134">
        <v>19</v>
      </c>
      <c r="C1134" t="s">
        <v>46</v>
      </c>
      <c r="D1134">
        <v>300</v>
      </c>
      <c r="E1134">
        <v>1</v>
      </c>
      <c r="F1134">
        <v>0</v>
      </c>
      <c r="G1134">
        <v>340</v>
      </c>
      <c r="H1134">
        <v>80</v>
      </c>
      <c r="I1134">
        <v>0</v>
      </c>
      <c r="J1134">
        <v>0</v>
      </c>
    </row>
    <row r="1135" spans="1:10" x14ac:dyDescent="0.25">
      <c r="A1135">
        <v>71304305</v>
      </c>
      <c r="B1135">
        <v>115</v>
      </c>
      <c r="C1135" t="s">
        <v>65</v>
      </c>
      <c r="D1135">
        <v>300</v>
      </c>
      <c r="E1135">
        <v>1</v>
      </c>
      <c r="F1135">
        <v>0</v>
      </c>
      <c r="G1135">
        <v>70</v>
      </c>
      <c r="H1135">
        <v>15</v>
      </c>
      <c r="I1135">
        <v>0</v>
      </c>
      <c r="J1135">
        <v>0</v>
      </c>
    </row>
    <row r="1136" spans="1:10" x14ac:dyDescent="0.25">
      <c r="A1136">
        <v>71304324</v>
      </c>
      <c r="B1136">
        <v>1100</v>
      </c>
      <c r="C1136" t="s">
        <v>53</v>
      </c>
      <c r="D1136">
        <v>300</v>
      </c>
      <c r="E1136">
        <v>1</v>
      </c>
      <c r="F1136">
        <v>0</v>
      </c>
      <c r="G1136">
        <v>215</v>
      </c>
      <c r="H1136">
        <v>0</v>
      </c>
      <c r="I1136">
        <v>0</v>
      </c>
      <c r="J1136">
        <v>0</v>
      </c>
    </row>
    <row r="1137" spans="1:10" x14ac:dyDescent="0.25">
      <c r="A1137">
        <v>71304341</v>
      </c>
      <c r="B1137">
        <v>2</v>
      </c>
      <c r="C1137" t="s">
        <v>181</v>
      </c>
      <c r="D1137">
        <v>300</v>
      </c>
      <c r="E1137">
        <v>1</v>
      </c>
      <c r="F1137">
        <v>0</v>
      </c>
      <c r="G1137">
        <v>0</v>
      </c>
      <c r="H1137">
        <v>60</v>
      </c>
      <c r="I1137">
        <v>0</v>
      </c>
      <c r="J1137">
        <v>0</v>
      </c>
    </row>
    <row r="1138" spans="1:10" x14ac:dyDescent="0.25">
      <c r="A1138">
        <v>71304344</v>
      </c>
      <c r="B1138">
        <v>41</v>
      </c>
      <c r="C1138" t="s">
        <v>179</v>
      </c>
      <c r="D1138">
        <v>300</v>
      </c>
      <c r="E1138">
        <v>1</v>
      </c>
      <c r="F1138">
        <v>0</v>
      </c>
      <c r="G1138">
        <v>150</v>
      </c>
      <c r="H1138">
        <v>10</v>
      </c>
      <c r="I1138">
        <v>0</v>
      </c>
      <c r="J1138">
        <v>0</v>
      </c>
    </row>
    <row r="1139" spans="1:10" x14ac:dyDescent="0.25">
      <c r="A1139">
        <v>71304345</v>
      </c>
      <c r="B1139">
        <v>130</v>
      </c>
      <c r="C1139" t="s">
        <v>177</v>
      </c>
      <c r="D1139">
        <v>300</v>
      </c>
      <c r="E1139">
        <v>1</v>
      </c>
      <c r="F1139">
        <v>0</v>
      </c>
      <c r="G1139">
        <v>16</v>
      </c>
      <c r="H1139">
        <v>45</v>
      </c>
      <c r="I1139">
        <v>0</v>
      </c>
      <c r="J1139">
        <v>0</v>
      </c>
    </row>
    <row r="1140" spans="1:10" x14ac:dyDescent="0.25">
      <c r="A1140">
        <v>71304346</v>
      </c>
      <c r="B1140">
        <v>1144</v>
      </c>
      <c r="C1140" t="s">
        <v>54</v>
      </c>
      <c r="D1140">
        <v>300</v>
      </c>
      <c r="E1140">
        <v>1</v>
      </c>
      <c r="F1140">
        <v>0</v>
      </c>
      <c r="G1140">
        <v>0</v>
      </c>
      <c r="H1140">
        <v>5</v>
      </c>
      <c r="I1140">
        <v>0</v>
      </c>
      <c r="J1140">
        <v>0</v>
      </c>
    </row>
    <row r="1141" spans="1:10" x14ac:dyDescent="0.25">
      <c r="A1141">
        <v>71304352</v>
      </c>
      <c r="B1141">
        <v>89</v>
      </c>
      <c r="C1141" t="s">
        <v>53</v>
      </c>
      <c r="D1141">
        <v>300</v>
      </c>
      <c r="E1141">
        <v>1</v>
      </c>
      <c r="F1141">
        <v>0</v>
      </c>
      <c r="G1141">
        <v>215</v>
      </c>
      <c r="H1141">
        <v>0</v>
      </c>
      <c r="I1141">
        <v>0</v>
      </c>
      <c r="J1141">
        <v>0</v>
      </c>
    </row>
    <row r="1142" spans="1:10" x14ac:dyDescent="0.25">
      <c r="A1142">
        <v>71304355</v>
      </c>
      <c r="B1142">
        <v>49</v>
      </c>
      <c r="C1142" t="s">
        <v>136</v>
      </c>
      <c r="D1142">
        <v>300</v>
      </c>
      <c r="E1142">
        <v>1</v>
      </c>
      <c r="F1142">
        <v>0</v>
      </c>
      <c r="G1142">
        <v>150</v>
      </c>
      <c r="H1142">
        <v>0</v>
      </c>
      <c r="I1142">
        <v>0</v>
      </c>
      <c r="J1142">
        <v>0</v>
      </c>
    </row>
    <row r="1143" spans="1:10" x14ac:dyDescent="0.25">
      <c r="A1143">
        <v>71304356</v>
      </c>
      <c r="B1143">
        <v>3</v>
      </c>
      <c r="C1143" t="s">
        <v>181</v>
      </c>
      <c r="D1143">
        <v>300</v>
      </c>
      <c r="E1143">
        <v>1</v>
      </c>
      <c r="F1143">
        <v>0</v>
      </c>
      <c r="G1143">
        <v>0</v>
      </c>
      <c r="H1143">
        <v>80</v>
      </c>
      <c r="I1143">
        <v>0</v>
      </c>
      <c r="J1143">
        <v>0</v>
      </c>
    </row>
    <row r="1144" spans="1:10" x14ac:dyDescent="0.25">
      <c r="A1144">
        <v>71304357</v>
      </c>
      <c r="B1144">
        <v>1102</v>
      </c>
      <c r="C1144" t="s">
        <v>53</v>
      </c>
      <c r="D1144">
        <v>300</v>
      </c>
      <c r="E1144">
        <v>1</v>
      </c>
      <c r="F1144">
        <v>0</v>
      </c>
      <c r="G1144">
        <v>185</v>
      </c>
      <c r="H1144">
        <v>0</v>
      </c>
      <c r="I1144">
        <v>0</v>
      </c>
      <c r="J1144">
        <v>0</v>
      </c>
    </row>
    <row r="1145" spans="1:10" x14ac:dyDescent="0.25">
      <c r="A1145">
        <v>71304359</v>
      </c>
      <c r="B1145">
        <v>1103</v>
      </c>
      <c r="C1145" t="s">
        <v>53</v>
      </c>
      <c r="D1145">
        <v>300</v>
      </c>
      <c r="E1145">
        <v>1</v>
      </c>
      <c r="F1145">
        <v>0</v>
      </c>
      <c r="G1145">
        <v>0</v>
      </c>
      <c r="H1145">
        <v>220</v>
      </c>
      <c r="I1145">
        <v>0</v>
      </c>
      <c r="J1145">
        <v>0</v>
      </c>
    </row>
    <row r="1146" spans="1:10" x14ac:dyDescent="0.25">
      <c r="A1146">
        <v>71304360</v>
      </c>
      <c r="B1146">
        <v>42</v>
      </c>
      <c r="C1146" t="s">
        <v>179</v>
      </c>
      <c r="D1146">
        <v>300</v>
      </c>
      <c r="E1146">
        <v>1</v>
      </c>
      <c r="F1146">
        <v>0</v>
      </c>
      <c r="G1146">
        <v>120</v>
      </c>
      <c r="H1146">
        <v>0</v>
      </c>
      <c r="I1146">
        <v>0</v>
      </c>
      <c r="J1146">
        <v>0</v>
      </c>
    </row>
    <row r="1147" spans="1:10" x14ac:dyDescent="0.25">
      <c r="A1147">
        <v>71304365</v>
      </c>
      <c r="B1147">
        <v>1104</v>
      </c>
      <c r="C1147" t="s">
        <v>60</v>
      </c>
      <c r="D1147">
        <v>300</v>
      </c>
      <c r="E1147">
        <v>1</v>
      </c>
      <c r="F1147">
        <v>0</v>
      </c>
      <c r="G1147">
        <v>0</v>
      </c>
      <c r="H1147">
        <v>200</v>
      </c>
      <c r="I1147">
        <v>0</v>
      </c>
      <c r="J1147">
        <v>0</v>
      </c>
    </row>
    <row r="1148" spans="1:10" x14ac:dyDescent="0.25">
      <c r="A1148">
        <v>71304371</v>
      </c>
      <c r="B1148">
        <v>1105</v>
      </c>
      <c r="C1148" t="s">
        <v>53</v>
      </c>
      <c r="D1148">
        <v>300</v>
      </c>
      <c r="E1148">
        <v>1</v>
      </c>
      <c r="F1148">
        <v>0</v>
      </c>
      <c r="G1148">
        <v>0</v>
      </c>
      <c r="H1148">
        <v>150</v>
      </c>
      <c r="I1148">
        <v>0</v>
      </c>
      <c r="J1148">
        <v>0</v>
      </c>
    </row>
    <row r="1149" spans="1:10" x14ac:dyDescent="0.25">
      <c r="A1149">
        <v>71304377</v>
      </c>
      <c r="B1149">
        <v>158</v>
      </c>
      <c r="C1149" t="s">
        <v>182</v>
      </c>
      <c r="D1149">
        <v>300</v>
      </c>
      <c r="E1149">
        <v>1</v>
      </c>
      <c r="F1149">
        <v>0</v>
      </c>
      <c r="G1149">
        <v>103</v>
      </c>
      <c r="H1149">
        <v>35</v>
      </c>
      <c r="I1149">
        <v>0</v>
      </c>
      <c r="J1149">
        <v>0</v>
      </c>
    </row>
    <row r="1150" spans="1:10" x14ac:dyDescent="0.25">
      <c r="A1150">
        <v>71304379</v>
      </c>
      <c r="B1150">
        <v>68</v>
      </c>
      <c r="C1150" t="s">
        <v>55</v>
      </c>
      <c r="D1150">
        <v>300</v>
      </c>
      <c r="E1150">
        <v>1</v>
      </c>
      <c r="F1150">
        <v>0</v>
      </c>
      <c r="G1150">
        <v>11</v>
      </c>
      <c r="H1150">
        <v>15</v>
      </c>
      <c r="I1150">
        <v>0</v>
      </c>
      <c r="J1150">
        <v>0</v>
      </c>
    </row>
    <row r="1151" spans="1:10" x14ac:dyDescent="0.25">
      <c r="A1151">
        <v>71304381</v>
      </c>
      <c r="B1151">
        <v>1166</v>
      </c>
      <c r="C1151" t="s">
        <v>67</v>
      </c>
      <c r="D1151">
        <v>300</v>
      </c>
      <c r="E1151">
        <v>1</v>
      </c>
      <c r="F1151">
        <v>0</v>
      </c>
      <c r="G1151">
        <v>22</v>
      </c>
      <c r="H1151">
        <v>0</v>
      </c>
      <c r="I1151">
        <v>0</v>
      </c>
      <c r="J1151">
        <v>0</v>
      </c>
    </row>
    <row r="1152" spans="1:10" x14ac:dyDescent="0.25">
      <c r="A1152">
        <v>71304383</v>
      </c>
      <c r="B1152">
        <v>1106</v>
      </c>
      <c r="C1152" t="s">
        <v>53</v>
      </c>
      <c r="D1152">
        <v>300</v>
      </c>
      <c r="E1152">
        <v>1</v>
      </c>
      <c r="F1152">
        <v>0</v>
      </c>
      <c r="G1152">
        <v>0</v>
      </c>
      <c r="H1152">
        <v>50</v>
      </c>
      <c r="I1152">
        <v>0</v>
      </c>
      <c r="J1152">
        <v>0</v>
      </c>
    </row>
    <row r="1153" spans="1:10" x14ac:dyDescent="0.25">
      <c r="A1153">
        <v>71304386</v>
      </c>
      <c r="B1153">
        <v>116</v>
      </c>
      <c r="C1153" t="s">
        <v>65</v>
      </c>
      <c r="D1153">
        <v>300</v>
      </c>
      <c r="E1153">
        <v>1</v>
      </c>
      <c r="F1153">
        <v>0</v>
      </c>
      <c r="G1153">
        <v>0</v>
      </c>
      <c r="H1153">
        <v>30</v>
      </c>
      <c r="I1153">
        <v>0</v>
      </c>
      <c r="J1153">
        <v>0</v>
      </c>
    </row>
    <row r="1154" spans="1:10" x14ac:dyDescent="0.25">
      <c r="A1154">
        <v>71304389</v>
      </c>
      <c r="B1154">
        <v>76</v>
      </c>
      <c r="C1154" t="s">
        <v>175</v>
      </c>
      <c r="D1154">
        <v>300</v>
      </c>
      <c r="E1154">
        <v>1</v>
      </c>
      <c r="F1154">
        <v>0</v>
      </c>
      <c r="G1154">
        <v>340</v>
      </c>
      <c r="H1154">
        <v>0</v>
      </c>
      <c r="I1154">
        <v>0</v>
      </c>
      <c r="J1154">
        <v>0</v>
      </c>
    </row>
    <row r="1155" spans="1:10" x14ac:dyDescent="0.25">
      <c r="A1155">
        <v>71304390</v>
      </c>
      <c r="B1155">
        <v>50</v>
      </c>
      <c r="C1155" t="s">
        <v>136</v>
      </c>
      <c r="D1155">
        <v>300</v>
      </c>
      <c r="E1155">
        <v>1</v>
      </c>
      <c r="F1155">
        <v>0</v>
      </c>
      <c r="G1155">
        <v>155</v>
      </c>
      <c r="H1155">
        <v>0</v>
      </c>
      <c r="I1155">
        <v>0</v>
      </c>
      <c r="J1155">
        <v>0</v>
      </c>
    </row>
    <row r="1156" spans="1:10" x14ac:dyDescent="0.25">
      <c r="A1156">
        <v>71304391</v>
      </c>
      <c r="B1156">
        <v>138</v>
      </c>
      <c r="C1156" t="s">
        <v>45</v>
      </c>
      <c r="D1156">
        <v>300</v>
      </c>
      <c r="E1156">
        <v>1</v>
      </c>
      <c r="F1156">
        <v>0</v>
      </c>
      <c r="G1156">
        <v>52</v>
      </c>
      <c r="H1156">
        <v>0</v>
      </c>
      <c r="I1156">
        <v>0</v>
      </c>
      <c r="J1156">
        <v>0</v>
      </c>
    </row>
    <row r="1157" spans="1:10" x14ac:dyDescent="0.25">
      <c r="A1157">
        <v>71304396</v>
      </c>
      <c r="B1157">
        <v>20</v>
      </c>
      <c r="C1157" t="s">
        <v>46</v>
      </c>
      <c r="D1157">
        <v>300</v>
      </c>
      <c r="E1157">
        <v>1</v>
      </c>
      <c r="F1157">
        <v>0</v>
      </c>
      <c r="G1157">
        <v>180</v>
      </c>
      <c r="H1157">
        <v>0</v>
      </c>
      <c r="I1157">
        <v>0</v>
      </c>
      <c r="J1157">
        <v>0</v>
      </c>
    </row>
    <row r="1158" spans="1:10" x14ac:dyDescent="0.25">
      <c r="A1158">
        <v>71304397</v>
      </c>
      <c r="B1158">
        <v>1107</v>
      </c>
      <c r="C1158" t="s">
        <v>53</v>
      </c>
      <c r="D1158">
        <v>300</v>
      </c>
      <c r="E1158">
        <v>1</v>
      </c>
      <c r="F1158">
        <v>0</v>
      </c>
      <c r="G1158">
        <v>40</v>
      </c>
      <c r="H1158">
        <v>70</v>
      </c>
      <c r="I1158">
        <v>0</v>
      </c>
      <c r="J1158">
        <v>0</v>
      </c>
    </row>
    <row r="1159" spans="1:10" x14ac:dyDescent="0.25">
      <c r="A1159">
        <v>71304398</v>
      </c>
      <c r="B1159">
        <v>21</v>
      </c>
      <c r="C1159" t="s">
        <v>46</v>
      </c>
      <c r="D1159">
        <v>300</v>
      </c>
      <c r="E1159">
        <v>1</v>
      </c>
      <c r="F1159">
        <v>0</v>
      </c>
      <c r="G1159">
        <v>10</v>
      </c>
      <c r="H1159">
        <v>335</v>
      </c>
      <c r="I1159">
        <v>0</v>
      </c>
      <c r="J1159">
        <v>0</v>
      </c>
    </row>
    <row r="1160" spans="1:10" x14ac:dyDescent="0.25">
      <c r="A1160">
        <v>71304401</v>
      </c>
      <c r="B1160">
        <v>90</v>
      </c>
      <c r="C1160" t="s">
        <v>53</v>
      </c>
      <c r="D1160">
        <v>300</v>
      </c>
      <c r="E1160">
        <v>1</v>
      </c>
      <c r="F1160">
        <v>0</v>
      </c>
      <c r="G1160">
        <v>60</v>
      </c>
      <c r="H1160">
        <v>0</v>
      </c>
      <c r="I1160">
        <v>0</v>
      </c>
      <c r="J1160">
        <v>0</v>
      </c>
    </row>
    <row r="1161" spans="1:10" x14ac:dyDescent="0.25">
      <c r="A1161">
        <v>71304409</v>
      </c>
      <c r="B1161">
        <v>51</v>
      </c>
      <c r="C1161" t="s">
        <v>136</v>
      </c>
      <c r="D1161">
        <v>300</v>
      </c>
      <c r="E1161">
        <v>1</v>
      </c>
      <c r="F1161">
        <v>0</v>
      </c>
      <c r="G1161">
        <v>10</v>
      </c>
      <c r="H1161">
        <v>85</v>
      </c>
      <c r="I1161">
        <v>0</v>
      </c>
      <c r="J1161">
        <v>0</v>
      </c>
    </row>
    <row r="1162" spans="1:10" x14ac:dyDescent="0.25">
      <c r="A1162">
        <v>71304412</v>
      </c>
      <c r="B1162">
        <v>524</v>
      </c>
      <c r="C1162" t="s">
        <v>63</v>
      </c>
      <c r="D1162">
        <v>300</v>
      </c>
      <c r="E1162">
        <v>1</v>
      </c>
      <c r="F1162">
        <v>0</v>
      </c>
      <c r="G1162">
        <v>120</v>
      </c>
      <c r="H1162">
        <v>0</v>
      </c>
      <c r="I1162">
        <v>0</v>
      </c>
      <c r="J1162">
        <v>0</v>
      </c>
    </row>
    <row r="1163" spans="1:10" x14ac:dyDescent="0.25">
      <c r="A1163">
        <v>71304413</v>
      </c>
      <c r="B1163">
        <v>155</v>
      </c>
      <c r="C1163" t="s">
        <v>52</v>
      </c>
      <c r="D1163">
        <v>300</v>
      </c>
      <c r="E1163">
        <v>1</v>
      </c>
      <c r="F1163">
        <v>0</v>
      </c>
      <c r="G1163">
        <v>0</v>
      </c>
      <c r="H1163">
        <v>20</v>
      </c>
      <c r="I1163">
        <v>0</v>
      </c>
      <c r="J1163">
        <v>0</v>
      </c>
    </row>
    <row r="1164" spans="1:10" x14ac:dyDescent="0.25">
      <c r="A1164">
        <v>71304414</v>
      </c>
      <c r="B1164">
        <v>36</v>
      </c>
      <c r="C1164" t="s">
        <v>58</v>
      </c>
      <c r="D1164">
        <v>300</v>
      </c>
      <c r="E1164">
        <v>1</v>
      </c>
      <c r="F1164">
        <v>0</v>
      </c>
      <c r="G1164">
        <v>200</v>
      </c>
      <c r="H1164">
        <v>0</v>
      </c>
      <c r="I1164">
        <v>0</v>
      </c>
      <c r="J1164">
        <v>0</v>
      </c>
    </row>
    <row r="1165" spans="1:10" x14ac:dyDescent="0.25">
      <c r="A1165">
        <v>71304415</v>
      </c>
      <c r="B1165">
        <v>24</v>
      </c>
      <c r="C1165" t="s">
        <v>180</v>
      </c>
      <c r="D1165">
        <v>300</v>
      </c>
      <c r="E1165">
        <v>1</v>
      </c>
      <c r="F1165">
        <v>0</v>
      </c>
      <c r="G1165">
        <v>180</v>
      </c>
      <c r="H1165">
        <v>0</v>
      </c>
      <c r="I1165">
        <v>0</v>
      </c>
      <c r="J1165">
        <v>0</v>
      </c>
    </row>
    <row r="1166" spans="1:10" x14ac:dyDescent="0.25">
      <c r="A1166">
        <v>71304416</v>
      </c>
      <c r="B1166">
        <v>52</v>
      </c>
      <c r="C1166" t="s">
        <v>136</v>
      </c>
      <c r="D1166">
        <v>300</v>
      </c>
      <c r="E1166">
        <v>1</v>
      </c>
      <c r="F1166">
        <v>0</v>
      </c>
      <c r="G1166">
        <v>0</v>
      </c>
      <c r="H1166">
        <v>75</v>
      </c>
      <c r="I1166">
        <v>0</v>
      </c>
      <c r="J1166">
        <v>0</v>
      </c>
    </row>
    <row r="1167" spans="1:10" x14ac:dyDescent="0.25">
      <c r="A1167">
        <v>71304418</v>
      </c>
      <c r="B1167">
        <v>168</v>
      </c>
      <c r="C1167" t="s">
        <v>60</v>
      </c>
      <c r="D1167">
        <v>300</v>
      </c>
      <c r="E1167">
        <v>1</v>
      </c>
      <c r="F1167">
        <v>0</v>
      </c>
      <c r="G1167">
        <v>0</v>
      </c>
      <c r="H1167">
        <v>380</v>
      </c>
      <c r="I1167">
        <v>0</v>
      </c>
      <c r="J1167">
        <v>0</v>
      </c>
    </row>
    <row r="1168" spans="1:10" x14ac:dyDescent="0.25">
      <c r="A1168">
        <v>71304424</v>
      </c>
      <c r="B1168">
        <v>117</v>
      </c>
      <c r="C1168" t="s">
        <v>65</v>
      </c>
      <c r="D1168">
        <v>300</v>
      </c>
      <c r="E1168">
        <v>1</v>
      </c>
      <c r="F1168">
        <v>0</v>
      </c>
      <c r="G1168">
        <v>0</v>
      </c>
      <c r="H1168">
        <v>170</v>
      </c>
      <c r="I1168">
        <v>0</v>
      </c>
      <c r="J1168">
        <v>0</v>
      </c>
    </row>
    <row r="1169" spans="1:10" x14ac:dyDescent="0.25">
      <c r="A1169">
        <v>71304428</v>
      </c>
      <c r="B1169">
        <v>1108</v>
      </c>
      <c r="C1169" t="s">
        <v>53</v>
      </c>
      <c r="D1169">
        <v>300</v>
      </c>
      <c r="E1169">
        <v>1</v>
      </c>
      <c r="F1169">
        <v>0</v>
      </c>
      <c r="G1169">
        <v>90</v>
      </c>
      <c r="H1169">
        <v>0</v>
      </c>
      <c r="I1169">
        <v>0</v>
      </c>
      <c r="J1169">
        <v>0</v>
      </c>
    </row>
    <row r="1170" spans="1:10" x14ac:dyDescent="0.25">
      <c r="A1170">
        <v>71304431</v>
      </c>
      <c r="B1170">
        <v>25</v>
      </c>
      <c r="C1170" t="s">
        <v>180</v>
      </c>
      <c r="D1170">
        <v>300</v>
      </c>
      <c r="E1170">
        <v>1</v>
      </c>
      <c r="F1170">
        <v>0</v>
      </c>
      <c r="G1170">
        <v>198</v>
      </c>
      <c r="H1170">
        <v>0</v>
      </c>
      <c r="I1170">
        <v>0</v>
      </c>
      <c r="J1170">
        <v>0</v>
      </c>
    </row>
    <row r="1171" spans="1:10" x14ac:dyDescent="0.25">
      <c r="A1171">
        <v>71304433</v>
      </c>
      <c r="B1171">
        <v>1109</v>
      </c>
      <c r="C1171" t="s">
        <v>60</v>
      </c>
      <c r="D1171">
        <v>300</v>
      </c>
      <c r="E1171">
        <v>1</v>
      </c>
      <c r="F1171">
        <v>0</v>
      </c>
      <c r="G1171">
        <v>60</v>
      </c>
      <c r="H1171">
        <v>0</v>
      </c>
      <c r="I1171">
        <v>0</v>
      </c>
      <c r="J1171">
        <v>0</v>
      </c>
    </row>
    <row r="1172" spans="1:10" x14ac:dyDescent="0.25">
      <c r="A1172">
        <v>71304434</v>
      </c>
      <c r="B1172">
        <v>53</v>
      </c>
      <c r="C1172" t="s">
        <v>136</v>
      </c>
      <c r="D1172">
        <v>300</v>
      </c>
      <c r="E1172">
        <v>1</v>
      </c>
      <c r="F1172">
        <v>0</v>
      </c>
      <c r="G1172">
        <v>0</v>
      </c>
      <c r="H1172">
        <v>370</v>
      </c>
      <c r="I1172">
        <v>0</v>
      </c>
      <c r="J1172">
        <v>0</v>
      </c>
    </row>
    <row r="1173" spans="1:10" x14ac:dyDescent="0.25">
      <c r="A1173">
        <v>71304436</v>
      </c>
      <c r="B1173">
        <v>43</v>
      </c>
      <c r="C1173" t="s">
        <v>179</v>
      </c>
      <c r="D1173">
        <v>300</v>
      </c>
      <c r="E1173">
        <v>1</v>
      </c>
      <c r="F1173">
        <v>0</v>
      </c>
      <c r="G1173">
        <v>70</v>
      </c>
      <c r="H1173">
        <v>0</v>
      </c>
      <c r="I1173">
        <v>0</v>
      </c>
      <c r="J1173">
        <v>0</v>
      </c>
    </row>
    <row r="1174" spans="1:10" x14ac:dyDescent="0.25">
      <c r="A1174">
        <v>71304441</v>
      </c>
      <c r="B1174">
        <v>175</v>
      </c>
      <c r="C1174" t="s">
        <v>49</v>
      </c>
      <c r="D1174">
        <v>300</v>
      </c>
      <c r="E1174">
        <v>1</v>
      </c>
      <c r="F1174">
        <v>0</v>
      </c>
      <c r="G1174">
        <v>50</v>
      </c>
      <c r="H1174">
        <v>300</v>
      </c>
      <c r="I1174">
        <v>0</v>
      </c>
      <c r="J1174">
        <v>0</v>
      </c>
    </row>
    <row r="1175" spans="1:10" x14ac:dyDescent="0.25">
      <c r="A1175">
        <v>71304444</v>
      </c>
      <c r="B1175">
        <v>4</v>
      </c>
      <c r="C1175" t="s">
        <v>181</v>
      </c>
      <c r="D1175">
        <v>300</v>
      </c>
      <c r="E1175">
        <v>1</v>
      </c>
      <c r="F1175">
        <v>0</v>
      </c>
      <c r="G1175">
        <v>0</v>
      </c>
      <c r="H1175">
        <v>65</v>
      </c>
      <c r="I1175">
        <v>0</v>
      </c>
      <c r="J1175">
        <v>0</v>
      </c>
    </row>
    <row r="1176" spans="1:10" x14ac:dyDescent="0.25">
      <c r="A1176">
        <v>71304445</v>
      </c>
      <c r="B1176">
        <v>118</v>
      </c>
      <c r="C1176" t="s">
        <v>65</v>
      </c>
      <c r="D1176">
        <v>300</v>
      </c>
      <c r="E1176">
        <v>1</v>
      </c>
      <c r="F1176">
        <v>0</v>
      </c>
      <c r="G1176">
        <v>0</v>
      </c>
      <c r="H1176">
        <v>70</v>
      </c>
      <c r="I1176">
        <v>0</v>
      </c>
      <c r="J1176">
        <v>0</v>
      </c>
    </row>
    <row r="1177" spans="1:10" x14ac:dyDescent="0.25">
      <c r="A1177">
        <v>71304446</v>
      </c>
      <c r="B1177">
        <v>5</v>
      </c>
      <c r="C1177" t="s">
        <v>181</v>
      </c>
      <c r="D1177">
        <v>300</v>
      </c>
      <c r="E1177">
        <v>1</v>
      </c>
      <c r="F1177">
        <v>0</v>
      </c>
      <c r="G1177">
        <v>79</v>
      </c>
      <c r="H1177">
        <v>0</v>
      </c>
      <c r="I1177">
        <v>0</v>
      </c>
      <c r="J1177">
        <v>0</v>
      </c>
    </row>
    <row r="1178" spans="1:10" x14ac:dyDescent="0.25">
      <c r="A1178">
        <v>71304448</v>
      </c>
      <c r="B1178">
        <v>119</v>
      </c>
      <c r="C1178" t="s">
        <v>65</v>
      </c>
      <c r="D1178">
        <v>300</v>
      </c>
      <c r="E1178">
        <v>1</v>
      </c>
      <c r="F1178">
        <v>0</v>
      </c>
      <c r="G1178">
        <v>130</v>
      </c>
      <c r="H1178">
        <v>15</v>
      </c>
      <c r="I1178">
        <v>0</v>
      </c>
      <c r="J1178">
        <v>0</v>
      </c>
    </row>
    <row r="1179" spans="1:10" x14ac:dyDescent="0.25">
      <c r="A1179">
        <v>71304449</v>
      </c>
      <c r="B1179">
        <v>124</v>
      </c>
      <c r="C1179" t="s">
        <v>174</v>
      </c>
      <c r="D1179">
        <v>300</v>
      </c>
      <c r="E1179">
        <v>1</v>
      </c>
      <c r="F1179">
        <v>0</v>
      </c>
      <c r="G1179">
        <v>230</v>
      </c>
      <c r="H1179">
        <v>0</v>
      </c>
      <c r="I1179">
        <v>0</v>
      </c>
      <c r="J1179">
        <v>0</v>
      </c>
    </row>
    <row r="1180" spans="1:10" x14ac:dyDescent="0.25">
      <c r="A1180">
        <v>71304450</v>
      </c>
      <c r="B1180">
        <v>44</v>
      </c>
      <c r="C1180" t="s">
        <v>179</v>
      </c>
      <c r="D1180">
        <v>300</v>
      </c>
      <c r="E1180">
        <v>1</v>
      </c>
      <c r="F1180">
        <v>0</v>
      </c>
      <c r="G1180">
        <v>0</v>
      </c>
      <c r="H1180">
        <v>270</v>
      </c>
      <c r="I1180">
        <v>0</v>
      </c>
      <c r="J1180">
        <v>0</v>
      </c>
    </row>
    <row r="1181" spans="1:10" x14ac:dyDescent="0.25">
      <c r="A1181">
        <v>71304453</v>
      </c>
      <c r="B1181">
        <v>1110</v>
      </c>
      <c r="C1181" t="s">
        <v>53</v>
      </c>
      <c r="D1181">
        <v>300</v>
      </c>
      <c r="E1181">
        <v>1</v>
      </c>
      <c r="F1181">
        <v>0</v>
      </c>
      <c r="G1181">
        <v>0</v>
      </c>
      <c r="H1181">
        <v>350</v>
      </c>
      <c r="I1181">
        <v>0</v>
      </c>
      <c r="J1181">
        <v>0</v>
      </c>
    </row>
    <row r="1182" spans="1:10" x14ac:dyDescent="0.25">
      <c r="A1182">
        <v>71304455</v>
      </c>
      <c r="B1182">
        <v>13</v>
      </c>
      <c r="C1182" t="s">
        <v>54</v>
      </c>
      <c r="D1182">
        <v>300</v>
      </c>
      <c r="E1182">
        <v>1</v>
      </c>
      <c r="F1182">
        <v>0</v>
      </c>
      <c r="G1182">
        <v>90</v>
      </c>
      <c r="H1182">
        <v>100</v>
      </c>
      <c r="I1182">
        <v>0</v>
      </c>
      <c r="J1182">
        <v>0</v>
      </c>
    </row>
    <row r="1183" spans="1:10" x14ac:dyDescent="0.25">
      <c r="A1183">
        <v>71304456</v>
      </c>
      <c r="B1183">
        <v>91</v>
      </c>
      <c r="C1183" t="s">
        <v>53</v>
      </c>
      <c r="D1183">
        <v>300</v>
      </c>
      <c r="E1183">
        <v>1</v>
      </c>
      <c r="F1183">
        <v>0</v>
      </c>
      <c r="G1183">
        <v>110</v>
      </c>
      <c r="H1183">
        <v>0</v>
      </c>
      <c r="I1183">
        <v>0</v>
      </c>
      <c r="J1183">
        <v>0</v>
      </c>
    </row>
    <row r="1184" spans="1:10" x14ac:dyDescent="0.25">
      <c r="A1184">
        <v>71304459</v>
      </c>
      <c r="B1184">
        <v>92</v>
      </c>
      <c r="C1184" t="s">
        <v>53</v>
      </c>
      <c r="D1184">
        <v>300</v>
      </c>
      <c r="E1184">
        <v>1</v>
      </c>
      <c r="F1184">
        <v>0</v>
      </c>
      <c r="G1184">
        <v>220</v>
      </c>
      <c r="H1184">
        <v>0</v>
      </c>
      <c r="I1184">
        <v>0</v>
      </c>
      <c r="J1184">
        <v>0</v>
      </c>
    </row>
    <row r="1185" spans="1:10" x14ac:dyDescent="0.25">
      <c r="A1185">
        <v>71304460</v>
      </c>
      <c r="B1185">
        <v>93</v>
      </c>
      <c r="C1185" t="s">
        <v>53</v>
      </c>
      <c r="D1185">
        <v>300</v>
      </c>
      <c r="E1185">
        <v>1</v>
      </c>
      <c r="F1185">
        <v>0</v>
      </c>
      <c r="G1185">
        <v>200</v>
      </c>
      <c r="H1185">
        <v>0</v>
      </c>
      <c r="I1185">
        <v>0</v>
      </c>
      <c r="J1185">
        <v>0</v>
      </c>
    </row>
    <row r="1186" spans="1:10" x14ac:dyDescent="0.25">
      <c r="A1186">
        <v>71304462</v>
      </c>
      <c r="B1186">
        <v>14</v>
      </c>
      <c r="C1186" t="s">
        <v>54</v>
      </c>
      <c r="D1186">
        <v>300</v>
      </c>
      <c r="E1186">
        <v>1</v>
      </c>
      <c r="F1186">
        <v>0</v>
      </c>
      <c r="G1186">
        <v>9</v>
      </c>
      <c r="H1186">
        <v>0</v>
      </c>
      <c r="I1186">
        <v>0</v>
      </c>
      <c r="J1186">
        <v>0</v>
      </c>
    </row>
    <row r="1187" spans="1:10" x14ac:dyDescent="0.25">
      <c r="A1187">
        <v>71304463</v>
      </c>
      <c r="B1187">
        <v>2173</v>
      </c>
      <c r="C1187" t="s">
        <v>46</v>
      </c>
      <c r="D1187">
        <v>300</v>
      </c>
      <c r="E1187">
        <v>1</v>
      </c>
      <c r="F1187">
        <v>0</v>
      </c>
      <c r="G1187">
        <v>115</v>
      </c>
      <c r="H1187">
        <v>50</v>
      </c>
      <c r="I1187">
        <v>0</v>
      </c>
      <c r="J1187">
        <v>0</v>
      </c>
    </row>
    <row r="1188" spans="1:10" x14ac:dyDescent="0.25">
      <c r="A1188">
        <v>71304469</v>
      </c>
      <c r="B1188">
        <v>26</v>
      </c>
      <c r="C1188" t="s">
        <v>180</v>
      </c>
      <c r="D1188">
        <v>300</v>
      </c>
      <c r="E1188">
        <v>1</v>
      </c>
      <c r="F1188">
        <v>0</v>
      </c>
      <c r="G1188">
        <v>0</v>
      </c>
      <c r="H1188">
        <v>95</v>
      </c>
      <c r="I1188">
        <v>0</v>
      </c>
      <c r="J1188">
        <v>0</v>
      </c>
    </row>
    <row r="1189" spans="1:10" x14ac:dyDescent="0.25">
      <c r="A1189">
        <v>71304472</v>
      </c>
      <c r="B1189">
        <v>1111</v>
      </c>
      <c r="C1189" t="s">
        <v>60</v>
      </c>
      <c r="D1189">
        <v>300</v>
      </c>
      <c r="E1189">
        <v>1</v>
      </c>
      <c r="F1189">
        <v>0</v>
      </c>
      <c r="G1189">
        <v>75</v>
      </c>
      <c r="H1189">
        <v>0</v>
      </c>
      <c r="I1189">
        <v>0</v>
      </c>
      <c r="J1189">
        <v>0</v>
      </c>
    </row>
    <row r="1190" spans="1:10" x14ac:dyDescent="0.25">
      <c r="A1190">
        <v>71304475</v>
      </c>
      <c r="B1190">
        <v>131</v>
      </c>
      <c r="C1190" t="s">
        <v>177</v>
      </c>
      <c r="D1190">
        <v>300</v>
      </c>
      <c r="E1190">
        <v>1</v>
      </c>
      <c r="F1190">
        <v>0</v>
      </c>
      <c r="G1190">
        <v>81</v>
      </c>
      <c r="H1190">
        <v>0</v>
      </c>
      <c r="I1190">
        <v>0</v>
      </c>
      <c r="J1190">
        <v>0</v>
      </c>
    </row>
    <row r="1191" spans="1:10" x14ac:dyDescent="0.25">
      <c r="A1191">
        <v>71304477</v>
      </c>
      <c r="B1191">
        <v>94</v>
      </c>
      <c r="C1191" t="s">
        <v>53</v>
      </c>
      <c r="D1191">
        <v>300</v>
      </c>
      <c r="E1191">
        <v>1</v>
      </c>
      <c r="F1191">
        <v>0</v>
      </c>
      <c r="G1191">
        <v>0</v>
      </c>
      <c r="H1191">
        <v>35</v>
      </c>
      <c r="I1191">
        <v>0</v>
      </c>
      <c r="J1191">
        <v>0</v>
      </c>
    </row>
    <row r="1192" spans="1:10" x14ac:dyDescent="0.25">
      <c r="A1192">
        <v>71304478</v>
      </c>
      <c r="B1192">
        <v>120</v>
      </c>
      <c r="C1192" t="s">
        <v>65</v>
      </c>
      <c r="D1192">
        <v>300</v>
      </c>
      <c r="E1192">
        <v>1</v>
      </c>
      <c r="F1192">
        <v>0</v>
      </c>
      <c r="G1192">
        <v>0</v>
      </c>
      <c r="H1192">
        <v>25</v>
      </c>
      <c r="I1192">
        <v>0</v>
      </c>
      <c r="J1192">
        <v>0</v>
      </c>
    </row>
    <row r="1193" spans="1:10" x14ac:dyDescent="0.25">
      <c r="A1193">
        <v>71304479</v>
      </c>
      <c r="B1193">
        <v>54</v>
      </c>
      <c r="C1193" t="s">
        <v>136</v>
      </c>
      <c r="D1193">
        <v>300</v>
      </c>
      <c r="E1193">
        <v>1</v>
      </c>
      <c r="F1193">
        <v>0</v>
      </c>
      <c r="G1193">
        <v>50</v>
      </c>
      <c r="H1193">
        <v>0</v>
      </c>
      <c r="I1193">
        <v>0</v>
      </c>
      <c r="J1193">
        <v>0</v>
      </c>
    </row>
    <row r="1194" spans="1:10" x14ac:dyDescent="0.25">
      <c r="A1194">
        <v>71304481</v>
      </c>
      <c r="B1194">
        <v>78</v>
      </c>
      <c r="C1194" t="s">
        <v>178</v>
      </c>
      <c r="D1194">
        <v>300</v>
      </c>
      <c r="E1194">
        <v>1</v>
      </c>
      <c r="F1194">
        <v>0</v>
      </c>
      <c r="G1194">
        <v>20</v>
      </c>
      <c r="H1194">
        <v>30</v>
      </c>
      <c r="I1194">
        <v>0</v>
      </c>
      <c r="J1194">
        <v>0</v>
      </c>
    </row>
    <row r="1195" spans="1:10" x14ac:dyDescent="0.25">
      <c r="A1195">
        <v>71304484</v>
      </c>
      <c r="B1195">
        <v>69</v>
      </c>
      <c r="C1195" t="s">
        <v>55</v>
      </c>
      <c r="D1195">
        <v>300</v>
      </c>
      <c r="E1195">
        <v>1</v>
      </c>
      <c r="F1195">
        <v>0</v>
      </c>
      <c r="G1195">
        <v>100</v>
      </c>
      <c r="H1195">
        <v>200</v>
      </c>
      <c r="I1195">
        <v>0</v>
      </c>
      <c r="J1195">
        <v>0</v>
      </c>
    </row>
    <row r="1196" spans="1:10" x14ac:dyDescent="0.25">
      <c r="A1196">
        <v>71304485</v>
      </c>
      <c r="B1196">
        <v>159</v>
      </c>
      <c r="C1196" t="s">
        <v>182</v>
      </c>
      <c r="D1196">
        <v>300</v>
      </c>
      <c r="E1196">
        <v>1</v>
      </c>
      <c r="F1196">
        <v>0</v>
      </c>
      <c r="G1196">
        <v>104</v>
      </c>
      <c r="H1196">
        <v>0</v>
      </c>
      <c r="I1196">
        <v>0</v>
      </c>
      <c r="J1196">
        <v>0</v>
      </c>
    </row>
    <row r="1197" spans="1:10" x14ac:dyDescent="0.25">
      <c r="A1197">
        <v>71304486</v>
      </c>
      <c r="B1197">
        <v>97</v>
      </c>
      <c r="C1197" t="s">
        <v>183</v>
      </c>
      <c r="D1197">
        <v>300</v>
      </c>
      <c r="E1197">
        <v>1</v>
      </c>
      <c r="F1197">
        <v>0</v>
      </c>
      <c r="G1197">
        <v>20</v>
      </c>
      <c r="H1197">
        <v>45</v>
      </c>
      <c r="I1197">
        <v>0</v>
      </c>
      <c r="J1197">
        <v>0</v>
      </c>
    </row>
    <row r="1198" spans="1:10" x14ac:dyDescent="0.25">
      <c r="A1198">
        <v>71304487</v>
      </c>
      <c r="B1198">
        <v>1112</v>
      </c>
      <c r="C1198" t="s">
        <v>180</v>
      </c>
      <c r="D1198">
        <v>300</v>
      </c>
      <c r="E1198">
        <v>1</v>
      </c>
      <c r="F1198">
        <v>0</v>
      </c>
      <c r="G1198">
        <v>0</v>
      </c>
      <c r="H1198">
        <v>230</v>
      </c>
      <c r="I1198">
        <v>0</v>
      </c>
      <c r="J1198">
        <v>0</v>
      </c>
    </row>
    <row r="1199" spans="1:10" x14ac:dyDescent="0.25">
      <c r="A1199">
        <v>71304489</v>
      </c>
      <c r="B1199">
        <v>1113</v>
      </c>
      <c r="C1199" t="s">
        <v>53</v>
      </c>
      <c r="D1199">
        <v>300</v>
      </c>
      <c r="E1199">
        <v>1</v>
      </c>
      <c r="F1199">
        <v>3</v>
      </c>
      <c r="G1199">
        <v>52</v>
      </c>
      <c r="H1199">
        <v>0</v>
      </c>
      <c r="I1199">
        <v>0</v>
      </c>
      <c r="J1199">
        <v>0</v>
      </c>
    </row>
    <row r="1200" spans="1:10" x14ac:dyDescent="0.25">
      <c r="A1200">
        <v>71304495</v>
      </c>
      <c r="B1200">
        <v>121</v>
      </c>
      <c r="C1200" t="s">
        <v>65</v>
      </c>
      <c r="D1200">
        <v>300</v>
      </c>
      <c r="E1200">
        <v>1</v>
      </c>
      <c r="F1200">
        <v>0</v>
      </c>
      <c r="G1200">
        <v>0</v>
      </c>
      <c r="H1200">
        <v>100</v>
      </c>
      <c r="I1200">
        <v>0</v>
      </c>
      <c r="J1200">
        <v>0</v>
      </c>
    </row>
    <row r="1201" spans="1:10" x14ac:dyDescent="0.25">
      <c r="A1201">
        <v>71304496</v>
      </c>
      <c r="B1201">
        <v>55</v>
      </c>
      <c r="C1201" t="s">
        <v>136</v>
      </c>
      <c r="D1201">
        <v>300</v>
      </c>
      <c r="E1201">
        <v>1</v>
      </c>
      <c r="F1201">
        <v>0</v>
      </c>
      <c r="G1201">
        <v>70</v>
      </c>
      <c r="H1201">
        <v>0</v>
      </c>
      <c r="I1201">
        <v>0</v>
      </c>
      <c r="J1201">
        <v>0</v>
      </c>
    </row>
    <row r="1202" spans="1:10" x14ac:dyDescent="0.25">
      <c r="A1202">
        <v>71304498</v>
      </c>
      <c r="B1202">
        <v>15</v>
      </c>
      <c r="C1202" t="s">
        <v>54</v>
      </c>
      <c r="D1202">
        <v>300</v>
      </c>
      <c r="E1202">
        <v>1</v>
      </c>
      <c r="F1202">
        <v>0</v>
      </c>
      <c r="G1202">
        <v>355</v>
      </c>
      <c r="H1202">
        <v>0</v>
      </c>
      <c r="I1202">
        <v>0</v>
      </c>
      <c r="J1202">
        <v>0</v>
      </c>
    </row>
    <row r="1203" spans="1:10" x14ac:dyDescent="0.25">
      <c r="A1203">
        <v>71304500</v>
      </c>
      <c r="B1203">
        <v>27</v>
      </c>
      <c r="C1203" t="s">
        <v>180</v>
      </c>
      <c r="D1203">
        <v>300</v>
      </c>
      <c r="E1203">
        <v>1</v>
      </c>
      <c r="F1203">
        <v>0</v>
      </c>
      <c r="G1203">
        <v>201</v>
      </c>
      <c r="H1203">
        <v>0</v>
      </c>
      <c r="I1203">
        <v>0</v>
      </c>
      <c r="J1203">
        <v>0</v>
      </c>
    </row>
    <row r="1204" spans="1:10" x14ac:dyDescent="0.25">
      <c r="A1204">
        <v>71304999</v>
      </c>
      <c r="B1204">
        <v>95</v>
      </c>
      <c r="C1204" t="s">
        <v>53</v>
      </c>
      <c r="D1204">
        <v>300</v>
      </c>
      <c r="E1204">
        <v>1</v>
      </c>
      <c r="F1204">
        <v>0</v>
      </c>
      <c r="G1204">
        <v>50</v>
      </c>
      <c r="H1204">
        <v>0</v>
      </c>
      <c r="I1204">
        <v>0</v>
      </c>
      <c r="J1204">
        <v>0</v>
      </c>
    </row>
    <row r="1205" spans="1:10" x14ac:dyDescent="0.25">
      <c r="A1205">
        <v>71305005</v>
      </c>
      <c r="B1205">
        <v>122</v>
      </c>
      <c r="C1205" t="s">
        <v>65</v>
      </c>
      <c r="D1205">
        <v>300</v>
      </c>
      <c r="E1205">
        <v>1</v>
      </c>
      <c r="F1205">
        <v>0</v>
      </c>
      <c r="G1205">
        <v>0</v>
      </c>
      <c r="H1205">
        <v>50</v>
      </c>
      <c r="I1205">
        <v>0</v>
      </c>
      <c r="J1205">
        <v>0</v>
      </c>
    </row>
    <row r="1206" spans="1:10" x14ac:dyDescent="0.25">
      <c r="A1206">
        <v>71305007</v>
      </c>
      <c r="B1206">
        <v>139</v>
      </c>
      <c r="C1206" t="s">
        <v>45</v>
      </c>
      <c r="D1206">
        <v>300</v>
      </c>
      <c r="E1206">
        <v>1</v>
      </c>
      <c r="F1206">
        <v>0</v>
      </c>
      <c r="G1206">
        <v>22</v>
      </c>
      <c r="H1206">
        <v>4</v>
      </c>
      <c r="I1206">
        <v>0</v>
      </c>
      <c r="J1206">
        <v>0</v>
      </c>
    </row>
    <row r="1207" spans="1:10" x14ac:dyDescent="0.25">
      <c r="A1207">
        <v>71305008</v>
      </c>
      <c r="B1207">
        <v>483</v>
      </c>
      <c r="C1207" t="s">
        <v>64</v>
      </c>
      <c r="D1207">
        <v>300</v>
      </c>
      <c r="E1207">
        <v>1</v>
      </c>
      <c r="F1207">
        <v>0</v>
      </c>
      <c r="G1207">
        <v>0</v>
      </c>
      <c r="H1207">
        <v>75</v>
      </c>
      <c r="I1207">
        <v>0</v>
      </c>
      <c r="J1207">
        <v>0</v>
      </c>
    </row>
    <row r="1208" spans="1:10" x14ac:dyDescent="0.25">
      <c r="A1208">
        <v>71305009</v>
      </c>
      <c r="B1208">
        <v>169</v>
      </c>
      <c r="C1208" t="s">
        <v>60</v>
      </c>
      <c r="D1208">
        <v>300</v>
      </c>
      <c r="E1208">
        <v>1</v>
      </c>
      <c r="F1208">
        <v>0</v>
      </c>
      <c r="G1208">
        <v>0</v>
      </c>
      <c r="H1208">
        <v>15</v>
      </c>
      <c r="I1208">
        <v>0</v>
      </c>
      <c r="J1208">
        <v>0</v>
      </c>
    </row>
    <row r="1209" spans="1:10" x14ac:dyDescent="0.25">
      <c r="A1209">
        <v>71305010</v>
      </c>
      <c r="B1209">
        <v>98</v>
      </c>
      <c r="C1209" t="s">
        <v>183</v>
      </c>
      <c r="D1209">
        <v>300</v>
      </c>
      <c r="E1209">
        <v>1</v>
      </c>
      <c r="F1209">
        <v>0</v>
      </c>
      <c r="G1209">
        <v>17</v>
      </c>
      <c r="H1209">
        <v>0</v>
      </c>
      <c r="I1209">
        <v>0</v>
      </c>
      <c r="J1209">
        <v>0</v>
      </c>
    </row>
    <row r="1210" spans="1:10" x14ac:dyDescent="0.25">
      <c r="A1210">
        <v>71305011</v>
      </c>
      <c r="B1210">
        <v>99</v>
      </c>
      <c r="C1210" t="s">
        <v>183</v>
      </c>
      <c r="D1210">
        <v>300</v>
      </c>
      <c r="E1210">
        <v>1</v>
      </c>
      <c r="F1210">
        <v>0</v>
      </c>
      <c r="G1210">
        <v>0</v>
      </c>
      <c r="H1210">
        <v>8</v>
      </c>
      <c r="I1210">
        <v>0</v>
      </c>
      <c r="J1210">
        <v>0</v>
      </c>
    </row>
    <row r="1211" spans="1:10" x14ac:dyDescent="0.25">
      <c r="A1211">
        <v>71305012</v>
      </c>
      <c r="B1211">
        <v>1114</v>
      </c>
      <c r="C1211" t="s">
        <v>136</v>
      </c>
      <c r="D1211">
        <v>300</v>
      </c>
      <c r="E1211">
        <v>1</v>
      </c>
      <c r="F1211">
        <v>0</v>
      </c>
      <c r="G1211">
        <v>60</v>
      </c>
      <c r="H1211">
        <v>0</v>
      </c>
      <c r="I1211">
        <v>0</v>
      </c>
      <c r="J1211">
        <v>0</v>
      </c>
    </row>
    <row r="1212" spans="1:10" x14ac:dyDescent="0.25">
      <c r="A1212">
        <v>71305014</v>
      </c>
      <c r="B1212">
        <v>156</v>
      </c>
      <c r="C1212" t="s">
        <v>52</v>
      </c>
      <c r="D1212">
        <v>300</v>
      </c>
      <c r="E1212">
        <v>1</v>
      </c>
      <c r="F1212">
        <v>0</v>
      </c>
      <c r="G1212">
        <v>12</v>
      </c>
      <c r="H1212">
        <v>0</v>
      </c>
      <c r="I1212">
        <v>0</v>
      </c>
      <c r="J1212">
        <v>0</v>
      </c>
    </row>
    <row r="1213" spans="1:10" x14ac:dyDescent="0.25">
      <c r="A1213">
        <v>71305015</v>
      </c>
      <c r="B1213">
        <v>56</v>
      </c>
      <c r="C1213" t="s">
        <v>136</v>
      </c>
      <c r="D1213">
        <v>300</v>
      </c>
      <c r="E1213">
        <v>1</v>
      </c>
      <c r="F1213">
        <v>0</v>
      </c>
      <c r="G1213">
        <v>60</v>
      </c>
      <c r="H1213">
        <v>0</v>
      </c>
      <c r="I1213">
        <v>0</v>
      </c>
      <c r="J1213">
        <v>0</v>
      </c>
    </row>
    <row r="1214" spans="1:10" x14ac:dyDescent="0.25">
      <c r="A1214">
        <v>71305018</v>
      </c>
      <c r="B1214">
        <v>1115</v>
      </c>
      <c r="C1214" t="s">
        <v>178</v>
      </c>
      <c r="D1214">
        <v>300</v>
      </c>
      <c r="E1214">
        <v>1</v>
      </c>
      <c r="F1214">
        <v>0</v>
      </c>
      <c r="G1214">
        <v>290</v>
      </c>
      <c r="H1214">
        <v>200</v>
      </c>
      <c r="I1214">
        <v>0</v>
      </c>
      <c r="J1214">
        <v>0</v>
      </c>
    </row>
    <row r="1215" spans="1:10" x14ac:dyDescent="0.25">
      <c r="A1215">
        <v>71305019</v>
      </c>
      <c r="B1215">
        <v>125</v>
      </c>
      <c r="C1215" t="s">
        <v>174</v>
      </c>
      <c r="D1215">
        <v>300</v>
      </c>
      <c r="E1215">
        <v>1</v>
      </c>
      <c r="F1215">
        <v>0</v>
      </c>
      <c r="G1215">
        <v>170</v>
      </c>
      <c r="H1215">
        <v>0</v>
      </c>
      <c r="I1215">
        <v>0</v>
      </c>
      <c r="J1215">
        <v>0</v>
      </c>
    </row>
    <row r="1216" spans="1:10" x14ac:dyDescent="0.25">
      <c r="A1216">
        <v>71305022</v>
      </c>
      <c r="B1216">
        <v>28</v>
      </c>
      <c r="C1216" t="s">
        <v>180</v>
      </c>
      <c r="D1216">
        <v>300</v>
      </c>
      <c r="E1216">
        <v>1</v>
      </c>
      <c r="F1216">
        <v>0</v>
      </c>
      <c r="G1216">
        <v>0</v>
      </c>
      <c r="H1216">
        <v>119</v>
      </c>
      <c r="I1216">
        <v>0</v>
      </c>
      <c r="J1216">
        <v>0</v>
      </c>
    </row>
    <row r="1217" spans="1:10" x14ac:dyDescent="0.25">
      <c r="A1217">
        <v>71305023</v>
      </c>
      <c r="B1217">
        <v>29</v>
      </c>
      <c r="C1217" t="s">
        <v>180</v>
      </c>
      <c r="D1217">
        <v>300</v>
      </c>
      <c r="E1217">
        <v>1</v>
      </c>
      <c r="F1217">
        <v>0</v>
      </c>
      <c r="G1217">
        <v>0</v>
      </c>
      <c r="H1217">
        <v>120</v>
      </c>
      <c r="I1217">
        <v>0</v>
      </c>
      <c r="J1217">
        <v>0</v>
      </c>
    </row>
    <row r="1218" spans="1:10" x14ac:dyDescent="0.25">
      <c r="A1218">
        <v>71305025</v>
      </c>
      <c r="B1218">
        <v>22</v>
      </c>
      <c r="C1218" t="s">
        <v>46</v>
      </c>
      <c r="D1218">
        <v>300</v>
      </c>
      <c r="E1218">
        <v>1</v>
      </c>
      <c r="F1218">
        <v>0</v>
      </c>
      <c r="G1218">
        <v>0</v>
      </c>
      <c r="H1218">
        <v>220</v>
      </c>
      <c r="I1218">
        <v>0</v>
      </c>
      <c r="J1218">
        <v>0</v>
      </c>
    </row>
    <row r="1219" spans="1:10" x14ac:dyDescent="0.25">
      <c r="A1219">
        <v>71305026</v>
      </c>
      <c r="B1219">
        <v>164</v>
      </c>
      <c r="C1219" t="s">
        <v>138</v>
      </c>
      <c r="D1219">
        <v>300</v>
      </c>
      <c r="E1219">
        <v>1</v>
      </c>
      <c r="F1219">
        <v>0</v>
      </c>
      <c r="G1219">
        <v>180</v>
      </c>
      <c r="H1219">
        <v>0</v>
      </c>
      <c r="I1219">
        <v>0</v>
      </c>
      <c r="J1219">
        <v>0</v>
      </c>
    </row>
    <row r="1220" spans="1:10" x14ac:dyDescent="0.25">
      <c r="A1220">
        <v>71305027</v>
      </c>
      <c r="B1220">
        <v>165</v>
      </c>
      <c r="C1220" t="s">
        <v>138</v>
      </c>
      <c r="D1220">
        <v>300</v>
      </c>
      <c r="E1220">
        <v>1</v>
      </c>
      <c r="F1220">
        <v>0</v>
      </c>
      <c r="G1220">
        <v>108</v>
      </c>
      <c r="H1220">
        <v>0</v>
      </c>
      <c r="I1220">
        <v>0</v>
      </c>
      <c r="J1220">
        <v>0</v>
      </c>
    </row>
    <row r="1221" spans="1:10" x14ac:dyDescent="0.25">
      <c r="A1221">
        <v>71305031</v>
      </c>
      <c r="B1221">
        <v>2193</v>
      </c>
      <c r="C1221" t="s">
        <v>184</v>
      </c>
      <c r="D1221">
        <v>300</v>
      </c>
      <c r="E1221">
        <v>1</v>
      </c>
      <c r="F1221">
        <v>0</v>
      </c>
      <c r="G1221">
        <v>80</v>
      </c>
      <c r="H1221">
        <v>20</v>
      </c>
      <c r="I1221">
        <v>0</v>
      </c>
      <c r="J1221">
        <v>0</v>
      </c>
    </row>
    <row r="1222" spans="1:10" x14ac:dyDescent="0.25">
      <c r="A1222">
        <v>71305033</v>
      </c>
      <c r="B1222">
        <v>16</v>
      </c>
      <c r="C1222" t="s">
        <v>54</v>
      </c>
      <c r="D1222">
        <v>300</v>
      </c>
      <c r="E1222">
        <v>1</v>
      </c>
      <c r="F1222">
        <v>0</v>
      </c>
      <c r="G1222">
        <v>55</v>
      </c>
      <c r="H1222">
        <v>45</v>
      </c>
      <c r="I1222">
        <v>0</v>
      </c>
      <c r="J1222">
        <v>0</v>
      </c>
    </row>
    <row r="1223" spans="1:10" x14ac:dyDescent="0.25">
      <c r="A1223">
        <v>71305045</v>
      </c>
      <c r="B1223">
        <v>96</v>
      </c>
      <c r="C1223" t="s">
        <v>53</v>
      </c>
      <c r="D1223">
        <v>300</v>
      </c>
      <c r="E1223">
        <v>1</v>
      </c>
      <c r="F1223">
        <v>0</v>
      </c>
      <c r="G1223">
        <v>135</v>
      </c>
      <c r="H1223">
        <v>35</v>
      </c>
      <c r="I1223">
        <v>0</v>
      </c>
      <c r="J1223">
        <v>0</v>
      </c>
    </row>
    <row r="1224" spans="1:10" x14ac:dyDescent="0.25">
      <c r="A1224">
        <v>71305046</v>
      </c>
      <c r="B1224">
        <v>2182</v>
      </c>
      <c r="C1224" t="s">
        <v>53</v>
      </c>
      <c r="D1224">
        <v>300</v>
      </c>
      <c r="E1224">
        <v>1</v>
      </c>
      <c r="F1224">
        <v>0</v>
      </c>
      <c r="G1224">
        <v>120</v>
      </c>
      <c r="H1224">
        <v>0</v>
      </c>
      <c r="I1224">
        <v>0</v>
      </c>
      <c r="J1224">
        <v>0</v>
      </c>
    </row>
    <row r="1225" spans="1:10" x14ac:dyDescent="0.25">
      <c r="A1225">
        <v>71305054</v>
      </c>
      <c r="B1225">
        <v>484</v>
      </c>
      <c r="C1225" t="s">
        <v>64</v>
      </c>
      <c r="D1225">
        <v>300</v>
      </c>
      <c r="E1225">
        <v>1</v>
      </c>
      <c r="F1225">
        <v>16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71305061</v>
      </c>
      <c r="B1226">
        <v>2172</v>
      </c>
      <c r="C1226" t="s">
        <v>54</v>
      </c>
      <c r="D1226">
        <v>300</v>
      </c>
      <c r="E1226">
        <v>1</v>
      </c>
      <c r="F1226">
        <v>0</v>
      </c>
      <c r="G1226">
        <v>0</v>
      </c>
      <c r="H1226">
        <v>100</v>
      </c>
      <c r="I1226">
        <v>0</v>
      </c>
      <c r="J1226">
        <v>0</v>
      </c>
    </row>
    <row r="1227" spans="1:10" x14ac:dyDescent="0.25">
      <c r="A1227">
        <v>71305062</v>
      </c>
      <c r="B1227">
        <v>2189</v>
      </c>
      <c r="C1227" t="s">
        <v>53</v>
      </c>
      <c r="D1227">
        <v>300</v>
      </c>
      <c r="E1227">
        <v>1</v>
      </c>
      <c r="F1227">
        <v>0</v>
      </c>
      <c r="G1227">
        <v>0</v>
      </c>
      <c r="H1227">
        <v>80</v>
      </c>
      <c r="I1227">
        <v>0</v>
      </c>
      <c r="J1227">
        <v>0</v>
      </c>
    </row>
    <row r="1228" spans="1:10" x14ac:dyDescent="0.25">
      <c r="A1228">
        <v>71305078</v>
      </c>
      <c r="B1228">
        <v>2192</v>
      </c>
      <c r="C1228" t="s">
        <v>184</v>
      </c>
      <c r="D1228">
        <v>300</v>
      </c>
      <c r="E1228">
        <v>1</v>
      </c>
      <c r="F1228">
        <v>0</v>
      </c>
      <c r="G1228">
        <v>200</v>
      </c>
      <c r="H1228">
        <v>0</v>
      </c>
      <c r="I1228">
        <v>0</v>
      </c>
      <c r="J1228">
        <v>0</v>
      </c>
    </row>
    <row r="1229" spans="1:10" x14ac:dyDescent="0.25">
      <c r="A1229">
        <v>71305083</v>
      </c>
      <c r="B1229">
        <v>2194</v>
      </c>
      <c r="C1229" t="s">
        <v>184</v>
      </c>
      <c r="D1229">
        <v>300</v>
      </c>
      <c r="E1229">
        <v>1</v>
      </c>
      <c r="F1229">
        <v>0</v>
      </c>
      <c r="G1229">
        <v>200</v>
      </c>
      <c r="H1229">
        <v>0</v>
      </c>
      <c r="I1229">
        <v>0</v>
      </c>
      <c r="J1229">
        <v>0</v>
      </c>
    </row>
    <row r="1230" spans="1:10" x14ac:dyDescent="0.25">
      <c r="A1230">
        <v>71305084</v>
      </c>
      <c r="B1230">
        <v>2195</v>
      </c>
      <c r="C1230" t="s">
        <v>184</v>
      </c>
      <c r="D1230">
        <v>300</v>
      </c>
      <c r="E1230">
        <v>1</v>
      </c>
      <c r="F1230">
        <v>0</v>
      </c>
      <c r="G1230">
        <v>150</v>
      </c>
      <c r="H1230">
        <v>0</v>
      </c>
      <c r="I1230">
        <v>0</v>
      </c>
      <c r="J1230">
        <v>0</v>
      </c>
    </row>
    <row r="1231" spans="1:10" x14ac:dyDescent="0.25">
      <c r="A1231">
        <v>71305092</v>
      </c>
      <c r="B1231">
        <v>2188</v>
      </c>
      <c r="C1231" t="s">
        <v>53</v>
      </c>
      <c r="D1231">
        <v>300</v>
      </c>
      <c r="E1231">
        <v>1</v>
      </c>
      <c r="F1231">
        <v>0</v>
      </c>
      <c r="G1231">
        <v>290</v>
      </c>
      <c r="H1231">
        <v>30</v>
      </c>
      <c r="I1231">
        <v>0</v>
      </c>
      <c r="J1231">
        <v>0</v>
      </c>
    </row>
    <row r="1232" spans="1:10" x14ac:dyDescent="0.25">
      <c r="A1232">
        <v>71305095</v>
      </c>
      <c r="B1232">
        <v>2190</v>
      </c>
      <c r="C1232" t="s">
        <v>55</v>
      </c>
      <c r="D1232">
        <v>300</v>
      </c>
      <c r="E1232">
        <v>1</v>
      </c>
      <c r="F1232">
        <v>0</v>
      </c>
      <c r="G1232">
        <v>100</v>
      </c>
      <c r="H1232">
        <v>0</v>
      </c>
      <c r="I1232">
        <v>0</v>
      </c>
      <c r="J1232">
        <v>0</v>
      </c>
    </row>
    <row r="1233" spans="1:10" x14ac:dyDescent="0.25">
      <c r="A1233">
        <v>71305098</v>
      </c>
      <c r="B1233">
        <v>2191</v>
      </c>
      <c r="C1233" t="s">
        <v>55</v>
      </c>
      <c r="D1233">
        <v>300</v>
      </c>
      <c r="E1233">
        <v>1</v>
      </c>
      <c r="F1233">
        <v>0</v>
      </c>
      <c r="G1233">
        <v>0</v>
      </c>
      <c r="H1233">
        <v>25</v>
      </c>
      <c r="I1233">
        <v>0</v>
      </c>
      <c r="J1233">
        <v>0</v>
      </c>
    </row>
    <row r="1234" spans="1:10" x14ac:dyDescent="0.25">
      <c r="A1234">
        <v>71305238</v>
      </c>
      <c r="B1234">
        <v>70</v>
      </c>
      <c r="C1234" t="s">
        <v>55</v>
      </c>
      <c r="D1234">
        <v>300</v>
      </c>
      <c r="E1234">
        <v>1</v>
      </c>
      <c r="F1234">
        <v>0</v>
      </c>
      <c r="G1234">
        <v>57</v>
      </c>
      <c r="H1234">
        <v>0</v>
      </c>
      <c r="I1234">
        <v>0</v>
      </c>
      <c r="J1234">
        <v>0</v>
      </c>
    </row>
    <row r="1235" spans="1:10" x14ac:dyDescent="0.25">
      <c r="A1235">
        <v>71305602</v>
      </c>
      <c r="B1235">
        <v>2198</v>
      </c>
      <c r="C1235" t="s">
        <v>64</v>
      </c>
      <c r="D1235">
        <v>300</v>
      </c>
      <c r="E1235">
        <v>1</v>
      </c>
      <c r="F1235">
        <v>0</v>
      </c>
      <c r="G1235">
        <v>0</v>
      </c>
      <c r="H1235">
        <v>260</v>
      </c>
      <c r="I1235">
        <v>0</v>
      </c>
      <c r="J1235">
        <v>0</v>
      </c>
    </row>
    <row r="1236" spans="1:10" x14ac:dyDescent="0.25">
      <c r="A1236">
        <v>71305605</v>
      </c>
      <c r="B1236">
        <v>2214</v>
      </c>
      <c r="C1236" t="s">
        <v>67</v>
      </c>
      <c r="D1236">
        <v>300</v>
      </c>
      <c r="E1236">
        <v>1</v>
      </c>
      <c r="F1236">
        <v>0</v>
      </c>
      <c r="G1236">
        <v>150</v>
      </c>
      <c r="H1236">
        <v>25</v>
      </c>
      <c r="I1236">
        <v>0</v>
      </c>
      <c r="J1236">
        <v>0</v>
      </c>
    </row>
    <row r="1237" spans="1:10" x14ac:dyDescent="0.25">
      <c r="A1237">
        <v>71305608</v>
      </c>
      <c r="B1237">
        <v>2185</v>
      </c>
      <c r="C1237" t="s">
        <v>64</v>
      </c>
      <c r="D1237">
        <v>300</v>
      </c>
      <c r="E1237">
        <v>1</v>
      </c>
      <c r="F1237">
        <v>0</v>
      </c>
      <c r="G1237">
        <v>230</v>
      </c>
      <c r="H1237">
        <v>0</v>
      </c>
      <c r="I1237">
        <v>0</v>
      </c>
      <c r="J1237">
        <v>0</v>
      </c>
    </row>
    <row r="1238" spans="1:10" x14ac:dyDescent="0.25">
      <c r="A1238">
        <v>71305610</v>
      </c>
      <c r="B1238">
        <v>2184</v>
      </c>
      <c r="C1238" t="s">
        <v>68</v>
      </c>
      <c r="D1238">
        <v>300</v>
      </c>
      <c r="E1238">
        <v>1</v>
      </c>
      <c r="F1238">
        <v>0</v>
      </c>
      <c r="G1238">
        <v>70</v>
      </c>
      <c r="H1238">
        <v>0</v>
      </c>
      <c r="I1238">
        <v>0</v>
      </c>
      <c r="J1238">
        <v>0</v>
      </c>
    </row>
    <row r="1239" spans="1:10" x14ac:dyDescent="0.25">
      <c r="A1239">
        <v>71305613</v>
      </c>
      <c r="B1239">
        <v>2197</v>
      </c>
      <c r="C1239" t="s">
        <v>64</v>
      </c>
      <c r="D1239">
        <v>300</v>
      </c>
      <c r="E1239">
        <v>1</v>
      </c>
      <c r="F1239">
        <v>0</v>
      </c>
      <c r="G1239">
        <v>230</v>
      </c>
      <c r="H1239">
        <v>30</v>
      </c>
      <c r="I1239">
        <v>0</v>
      </c>
      <c r="J1239">
        <v>0</v>
      </c>
    </row>
    <row r="1240" spans="1:10" x14ac:dyDescent="0.25">
      <c r="A1240">
        <v>71305619</v>
      </c>
      <c r="B1240">
        <v>2210</v>
      </c>
      <c r="C1240" t="s">
        <v>132</v>
      </c>
      <c r="D1240">
        <v>300</v>
      </c>
      <c r="E1240">
        <v>1</v>
      </c>
      <c r="F1240">
        <v>0</v>
      </c>
      <c r="G1240">
        <v>0</v>
      </c>
      <c r="H1240">
        <v>70</v>
      </c>
      <c r="I1240">
        <v>0</v>
      </c>
      <c r="J1240">
        <v>0</v>
      </c>
    </row>
    <row r="1241" spans="1:10" x14ac:dyDescent="0.25">
      <c r="A1241">
        <v>71305622</v>
      </c>
      <c r="B1241">
        <v>2213</v>
      </c>
      <c r="C1241" t="s">
        <v>67</v>
      </c>
      <c r="D1241">
        <v>300</v>
      </c>
      <c r="E1241">
        <v>1</v>
      </c>
      <c r="F1241">
        <v>0</v>
      </c>
      <c r="G1241">
        <v>0</v>
      </c>
      <c r="H1241">
        <v>160</v>
      </c>
      <c r="I1241">
        <v>0</v>
      </c>
      <c r="J1241">
        <v>0</v>
      </c>
    </row>
    <row r="1242" spans="1:10" x14ac:dyDescent="0.25">
      <c r="A1242">
        <v>71305623</v>
      </c>
      <c r="B1242">
        <v>2196</v>
      </c>
      <c r="C1242" t="s">
        <v>64</v>
      </c>
      <c r="D1242">
        <v>300</v>
      </c>
      <c r="E1242">
        <v>1</v>
      </c>
      <c r="F1242">
        <v>0</v>
      </c>
      <c r="G1242">
        <v>200</v>
      </c>
      <c r="H1242">
        <v>0</v>
      </c>
      <c r="I1242">
        <v>0</v>
      </c>
      <c r="J1242">
        <v>0</v>
      </c>
    </row>
    <row r="1243" spans="1:10" x14ac:dyDescent="0.25">
      <c r="A1243">
        <v>71305624</v>
      </c>
      <c r="B1243">
        <v>2211</v>
      </c>
      <c r="C1243" t="s">
        <v>129</v>
      </c>
      <c r="D1243">
        <v>300</v>
      </c>
      <c r="E1243">
        <v>1</v>
      </c>
      <c r="F1243">
        <v>0</v>
      </c>
      <c r="G1243">
        <v>100</v>
      </c>
      <c r="H1243">
        <v>0</v>
      </c>
      <c r="I1243">
        <v>0</v>
      </c>
      <c r="J1243">
        <v>0</v>
      </c>
    </row>
    <row r="1244" spans="1:10" x14ac:dyDescent="0.25">
      <c r="A1244">
        <v>71305631</v>
      </c>
      <c r="B1244">
        <v>2212</v>
      </c>
      <c r="C1244" t="s">
        <v>68</v>
      </c>
      <c r="D1244">
        <v>300</v>
      </c>
      <c r="E1244">
        <v>1</v>
      </c>
      <c r="F1244">
        <v>0</v>
      </c>
      <c r="G1244">
        <v>120</v>
      </c>
      <c r="H1244">
        <v>0</v>
      </c>
      <c r="I1244">
        <v>0</v>
      </c>
      <c r="J1244">
        <v>0</v>
      </c>
    </row>
    <row r="1245" spans="1:10" x14ac:dyDescent="0.25">
      <c r="A1245">
        <v>71308168</v>
      </c>
      <c r="B1245">
        <v>485</v>
      </c>
      <c r="C1245" t="s">
        <v>64</v>
      </c>
      <c r="D1245">
        <v>300</v>
      </c>
      <c r="E1245">
        <v>1</v>
      </c>
      <c r="F1245">
        <v>35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>
        <v>713204190</v>
      </c>
      <c r="B1246">
        <v>45</v>
      </c>
      <c r="C1246" t="s">
        <v>179</v>
      </c>
      <c r="D1246">
        <v>300</v>
      </c>
      <c r="E1246">
        <v>1</v>
      </c>
      <c r="F1246">
        <v>0</v>
      </c>
      <c r="G1246">
        <v>160</v>
      </c>
      <c r="H1246">
        <v>0</v>
      </c>
      <c r="I1246">
        <v>0</v>
      </c>
      <c r="J1246">
        <v>0</v>
      </c>
    </row>
    <row r="1247" spans="1:10" x14ac:dyDescent="0.25">
      <c r="A1247">
        <v>715001</v>
      </c>
      <c r="B1247">
        <v>1022</v>
      </c>
      <c r="C1247" t="s">
        <v>121</v>
      </c>
      <c r="D1247">
        <v>300</v>
      </c>
      <c r="E1247">
        <v>1</v>
      </c>
      <c r="F1247">
        <v>0</v>
      </c>
      <c r="G1247">
        <v>0</v>
      </c>
      <c r="H1247">
        <v>0</v>
      </c>
      <c r="I1247">
        <v>2642</v>
      </c>
      <c r="J1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sheetData>
    <row r="1" spans="1:2" x14ac:dyDescent="0.25">
      <c r="A1" t="s">
        <v>185</v>
      </c>
      <c r="B1">
        <v>1</v>
      </c>
    </row>
    <row r="2" spans="1:2" x14ac:dyDescent="0.25">
      <c r="A2" t="s">
        <v>186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epiunits</vt:lpstr>
      <vt:lpstr>Inspector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ThraceActivities</dc:title>
  <dc:subject>Export</dc:subject>
  <dc:creator>Thrace Export</dc:creator>
  <cp:keywords/>
  <dc:description>Export da PhpSpreadsheet: Data intatto con formule, riferimenti interni corretti.</dc:description>
  <cp:lastModifiedBy>RiusMunoz, Pilar (NSAH)</cp:lastModifiedBy>
  <dcterms:created xsi:type="dcterms:W3CDTF">2026-01-26T08:13:12Z</dcterms:created>
  <dcterms:modified xsi:type="dcterms:W3CDTF">2026-03-05T13:34:41Z</dcterms:modified>
  <cp:category/>
</cp:coreProperties>
</file>