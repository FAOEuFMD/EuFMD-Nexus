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EUFMD\New Programme\EuFMD-Nexus\frontend\public\templates\"/>
    </mc:Choice>
  </mc:AlternateContent>
  <xr:revisionPtr revIDLastSave="0" documentId="13_ncr:1_{74DF3D57-22B5-4618-BCB8-52D19569C282}" xr6:coauthVersionLast="47" xr6:coauthVersionMax="47" xr10:uidLastSave="{00000000-0000-0000-0000-000000000000}"/>
  <bookViews>
    <workbookView xWindow="360" yWindow="645" windowWidth="21600" windowHeight="11325" xr2:uid="{00000000-000D-0000-FFFF-FFFF00000000}"/>
  </bookViews>
  <sheets>
    <sheet name="Data" sheetId="1" r:id="rId1"/>
    <sheet name="epiunits" sheetId="2" r:id="rId2"/>
    <sheet name="Inspec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0" i="1" l="1"/>
  <c r="L400" i="1"/>
  <c r="K400" i="1"/>
  <c r="J400" i="1"/>
  <c r="I400" i="1"/>
  <c r="C400" i="1"/>
  <c r="B400" i="1"/>
  <c r="A400" i="1"/>
  <c r="M399" i="1"/>
  <c r="L399" i="1"/>
  <c r="K399" i="1"/>
  <c r="J399" i="1"/>
  <c r="I399" i="1"/>
  <c r="C399" i="1"/>
  <c r="B399" i="1"/>
  <c r="A399" i="1"/>
  <c r="M398" i="1"/>
  <c r="L398" i="1"/>
  <c r="K398" i="1"/>
  <c r="J398" i="1"/>
  <c r="I398" i="1"/>
  <c r="C398" i="1"/>
  <c r="B398" i="1"/>
  <c r="A398" i="1"/>
  <c r="M397" i="1"/>
  <c r="L397" i="1"/>
  <c r="K397" i="1"/>
  <c r="J397" i="1"/>
  <c r="I397" i="1"/>
  <c r="C397" i="1"/>
  <c r="B397" i="1"/>
  <c r="A397" i="1"/>
  <c r="M396" i="1"/>
  <c r="L396" i="1"/>
  <c r="K396" i="1"/>
  <c r="J396" i="1"/>
  <c r="I396" i="1"/>
  <c r="C396" i="1"/>
  <c r="B396" i="1"/>
  <c r="A396" i="1"/>
  <c r="M395" i="1"/>
  <c r="L395" i="1"/>
  <c r="K395" i="1"/>
  <c r="J395" i="1"/>
  <c r="I395" i="1"/>
  <c r="C395" i="1"/>
  <c r="B395" i="1"/>
  <c r="A395" i="1"/>
  <c r="M394" i="1"/>
  <c r="L394" i="1"/>
  <c r="K394" i="1"/>
  <c r="J394" i="1"/>
  <c r="I394" i="1"/>
  <c r="C394" i="1"/>
  <c r="B394" i="1"/>
  <c r="A394" i="1"/>
  <c r="M393" i="1"/>
  <c r="L393" i="1"/>
  <c r="K393" i="1"/>
  <c r="J393" i="1"/>
  <c r="I393" i="1"/>
  <c r="C393" i="1"/>
  <c r="B393" i="1"/>
  <c r="A393" i="1"/>
  <c r="M392" i="1"/>
  <c r="L392" i="1"/>
  <c r="K392" i="1"/>
  <c r="J392" i="1"/>
  <c r="I392" i="1"/>
  <c r="C392" i="1"/>
  <c r="B392" i="1"/>
  <c r="A392" i="1"/>
  <c r="M391" i="1"/>
  <c r="L391" i="1"/>
  <c r="K391" i="1"/>
  <c r="J391" i="1"/>
  <c r="I391" i="1"/>
  <c r="C391" i="1"/>
  <c r="B391" i="1"/>
  <c r="A391" i="1"/>
  <c r="M390" i="1"/>
  <c r="L390" i="1"/>
  <c r="K390" i="1"/>
  <c r="J390" i="1"/>
  <c r="I390" i="1"/>
  <c r="C390" i="1"/>
  <c r="B390" i="1"/>
  <c r="A390" i="1"/>
  <c r="M389" i="1"/>
  <c r="L389" i="1"/>
  <c r="K389" i="1"/>
  <c r="J389" i="1"/>
  <c r="I389" i="1"/>
  <c r="C389" i="1"/>
  <c r="B389" i="1"/>
  <c r="A389" i="1"/>
  <c r="M388" i="1"/>
  <c r="L388" i="1"/>
  <c r="K388" i="1"/>
  <c r="J388" i="1"/>
  <c r="I388" i="1"/>
  <c r="C388" i="1"/>
  <c r="B388" i="1"/>
  <c r="A388" i="1"/>
  <c r="M387" i="1"/>
  <c r="L387" i="1"/>
  <c r="K387" i="1"/>
  <c r="J387" i="1"/>
  <c r="I387" i="1"/>
  <c r="C387" i="1"/>
  <c r="B387" i="1"/>
  <c r="A387" i="1"/>
  <c r="M386" i="1"/>
  <c r="L386" i="1"/>
  <c r="K386" i="1"/>
  <c r="J386" i="1"/>
  <c r="I386" i="1"/>
  <c r="C386" i="1"/>
  <c r="B386" i="1"/>
  <c r="A386" i="1"/>
  <c r="M385" i="1"/>
  <c r="L385" i="1"/>
  <c r="K385" i="1"/>
  <c r="J385" i="1"/>
  <c r="I385" i="1"/>
  <c r="C385" i="1"/>
  <c r="B385" i="1"/>
  <c r="A385" i="1"/>
  <c r="M384" i="1"/>
  <c r="L384" i="1"/>
  <c r="K384" i="1"/>
  <c r="J384" i="1"/>
  <c r="I384" i="1"/>
  <c r="C384" i="1"/>
  <c r="B384" i="1"/>
  <c r="A384" i="1"/>
  <c r="M383" i="1"/>
  <c r="L383" i="1"/>
  <c r="K383" i="1"/>
  <c r="J383" i="1"/>
  <c r="I383" i="1"/>
  <c r="C383" i="1"/>
  <c r="B383" i="1"/>
  <c r="A383" i="1"/>
  <c r="M382" i="1"/>
  <c r="L382" i="1"/>
  <c r="K382" i="1"/>
  <c r="J382" i="1"/>
  <c r="I382" i="1"/>
  <c r="C382" i="1"/>
  <c r="B382" i="1"/>
  <c r="A382" i="1"/>
  <c r="M381" i="1"/>
  <c r="L381" i="1"/>
  <c r="K381" i="1"/>
  <c r="J381" i="1"/>
  <c r="I381" i="1"/>
  <c r="C381" i="1"/>
  <c r="B381" i="1"/>
  <c r="A381" i="1"/>
  <c r="M380" i="1"/>
  <c r="L380" i="1"/>
  <c r="K380" i="1"/>
  <c r="J380" i="1"/>
  <c r="I380" i="1"/>
  <c r="C380" i="1"/>
  <c r="B380" i="1"/>
  <c r="A380" i="1"/>
  <c r="M379" i="1"/>
  <c r="L379" i="1"/>
  <c r="K379" i="1"/>
  <c r="J379" i="1"/>
  <c r="I379" i="1"/>
  <c r="C379" i="1"/>
  <c r="B379" i="1"/>
  <c r="A379" i="1"/>
  <c r="M378" i="1"/>
  <c r="L378" i="1"/>
  <c r="K378" i="1"/>
  <c r="J378" i="1"/>
  <c r="I378" i="1"/>
  <c r="C378" i="1"/>
  <c r="B378" i="1"/>
  <c r="A378" i="1"/>
  <c r="M377" i="1"/>
  <c r="L377" i="1"/>
  <c r="K377" i="1"/>
  <c r="J377" i="1"/>
  <c r="I377" i="1"/>
  <c r="C377" i="1"/>
  <c r="B377" i="1"/>
  <c r="A377" i="1"/>
  <c r="M376" i="1"/>
  <c r="L376" i="1"/>
  <c r="K376" i="1"/>
  <c r="J376" i="1"/>
  <c r="I376" i="1"/>
  <c r="C376" i="1"/>
  <c r="B376" i="1"/>
  <c r="A376" i="1"/>
  <c r="M375" i="1"/>
  <c r="L375" i="1"/>
  <c r="K375" i="1"/>
  <c r="J375" i="1"/>
  <c r="I375" i="1"/>
  <c r="C375" i="1"/>
  <c r="B375" i="1"/>
  <c r="A375" i="1"/>
  <c r="M374" i="1"/>
  <c r="L374" i="1"/>
  <c r="K374" i="1"/>
  <c r="J374" i="1"/>
  <c r="I374" i="1"/>
  <c r="C374" i="1"/>
  <c r="B374" i="1"/>
  <c r="A374" i="1"/>
  <c r="M373" i="1"/>
  <c r="L373" i="1"/>
  <c r="K373" i="1"/>
  <c r="J373" i="1"/>
  <c r="I373" i="1"/>
  <c r="C373" i="1"/>
  <c r="B373" i="1"/>
  <c r="A373" i="1"/>
  <c r="M372" i="1"/>
  <c r="L372" i="1"/>
  <c r="K372" i="1"/>
  <c r="J372" i="1"/>
  <c r="I372" i="1"/>
  <c r="C372" i="1"/>
  <c r="B372" i="1"/>
  <c r="A372" i="1"/>
  <c r="M371" i="1"/>
  <c r="L371" i="1"/>
  <c r="K371" i="1"/>
  <c r="J371" i="1"/>
  <c r="I371" i="1"/>
  <c r="C371" i="1"/>
  <c r="B371" i="1"/>
  <c r="A371" i="1"/>
  <c r="M370" i="1"/>
  <c r="L370" i="1"/>
  <c r="K370" i="1"/>
  <c r="J370" i="1"/>
  <c r="I370" i="1"/>
  <c r="C370" i="1"/>
  <c r="B370" i="1"/>
  <c r="A370" i="1"/>
  <c r="M369" i="1"/>
  <c r="L369" i="1"/>
  <c r="K369" i="1"/>
  <c r="J369" i="1"/>
  <c r="I369" i="1"/>
  <c r="C369" i="1"/>
  <c r="B369" i="1"/>
  <c r="A369" i="1"/>
  <c r="M368" i="1"/>
  <c r="L368" i="1"/>
  <c r="K368" i="1"/>
  <c r="J368" i="1"/>
  <c r="I368" i="1"/>
  <c r="C368" i="1"/>
  <c r="B368" i="1"/>
  <c r="A368" i="1"/>
  <c r="M367" i="1"/>
  <c r="L367" i="1"/>
  <c r="K367" i="1"/>
  <c r="J367" i="1"/>
  <c r="I367" i="1"/>
  <c r="C367" i="1"/>
  <c r="B367" i="1"/>
  <c r="A367" i="1"/>
  <c r="M366" i="1"/>
  <c r="L366" i="1"/>
  <c r="K366" i="1"/>
  <c r="J366" i="1"/>
  <c r="I366" i="1"/>
  <c r="C366" i="1"/>
  <c r="B366" i="1"/>
  <c r="A366" i="1"/>
  <c r="M365" i="1"/>
  <c r="L365" i="1"/>
  <c r="K365" i="1"/>
  <c r="J365" i="1"/>
  <c r="I365" i="1"/>
  <c r="C365" i="1"/>
  <c r="B365" i="1"/>
  <c r="A365" i="1"/>
  <c r="M364" i="1"/>
  <c r="L364" i="1"/>
  <c r="K364" i="1"/>
  <c r="J364" i="1"/>
  <c r="I364" i="1"/>
  <c r="C364" i="1"/>
  <c r="B364" i="1"/>
  <c r="A364" i="1"/>
  <c r="M363" i="1"/>
  <c r="L363" i="1"/>
  <c r="K363" i="1"/>
  <c r="J363" i="1"/>
  <c r="I363" i="1"/>
  <c r="C363" i="1"/>
  <c r="B363" i="1"/>
  <c r="A363" i="1"/>
  <c r="M362" i="1"/>
  <c r="L362" i="1"/>
  <c r="K362" i="1"/>
  <c r="J362" i="1"/>
  <c r="I362" i="1"/>
  <c r="C362" i="1"/>
  <c r="B362" i="1"/>
  <c r="A362" i="1"/>
  <c r="M361" i="1"/>
  <c r="L361" i="1"/>
  <c r="K361" i="1"/>
  <c r="J361" i="1"/>
  <c r="I361" i="1"/>
  <c r="C361" i="1"/>
  <c r="B361" i="1"/>
  <c r="A361" i="1"/>
  <c r="M360" i="1"/>
  <c r="L360" i="1"/>
  <c r="K360" i="1"/>
  <c r="J360" i="1"/>
  <c r="I360" i="1"/>
  <c r="C360" i="1"/>
  <c r="B360" i="1"/>
  <c r="A360" i="1"/>
  <c r="M359" i="1"/>
  <c r="L359" i="1"/>
  <c r="K359" i="1"/>
  <c r="J359" i="1"/>
  <c r="I359" i="1"/>
  <c r="C359" i="1"/>
  <c r="B359" i="1"/>
  <c r="A359" i="1"/>
  <c r="M358" i="1"/>
  <c r="L358" i="1"/>
  <c r="K358" i="1"/>
  <c r="J358" i="1"/>
  <c r="I358" i="1"/>
  <c r="C358" i="1"/>
  <c r="B358" i="1"/>
  <c r="A358" i="1"/>
  <c r="M357" i="1"/>
  <c r="L357" i="1"/>
  <c r="K357" i="1"/>
  <c r="J357" i="1"/>
  <c r="I357" i="1"/>
  <c r="C357" i="1"/>
  <c r="B357" i="1"/>
  <c r="A357" i="1"/>
  <c r="M356" i="1"/>
  <c r="L356" i="1"/>
  <c r="K356" i="1"/>
  <c r="J356" i="1"/>
  <c r="I356" i="1"/>
  <c r="C356" i="1"/>
  <c r="B356" i="1"/>
  <c r="A356" i="1"/>
  <c r="M355" i="1"/>
  <c r="L355" i="1"/>
  <c r="K355" i="1"/>
  <c r="J355" i="1"/>
  <c r="I355" i="1"/>
  <c r="C355" i="1"/>
  <c r="B355" i="1"/>
  <c r="A355" i="1"/>
  <c r="M354" i="1"/>
  <c r="L354" i="1"/>
  <c r="K354" i="1"/>
  <c r="J354" i="1"/>
  <c r="I354" i="1"/>
  <c r="C354" i="1"/>
  <c r="B354" i="1"/>
  <c r="A354" i="1"/>
  <c r="M353" i="1"/>
  <c r="L353" i="1"/>
  <c r="K353" i="1"/>
  <c r="J353" i="1"/>
  <c r="I353" i="1"/>
  <c r="C353" i="1"/>
  <c r="B353" i="1"/>
  <c r="A353" i="1"/>
  <c r="M352" i="1"/>
  <c r="L352" i="1"/>
  <c r="K352" i="1"/>
  <c r="J352" i="1"/>
  <c r="I352" i="1"/>
  <c r="C352" i="1"/>
  <c r="B352" i="1"/>
  <c r="A352" i="1"/>
  <c r="M351" i="1"/>
  <c r="L351" i="1"/>
  <c r="K351" i="1"/>
  <c r="J351" i="1"/>
  <c r="I351" i="1"/>
  <c r="C351" i="1"/>
  <c r="B351" i="1"/>
  <c r="A351" i="1"/>
  <c r="M350" i="1"/>
  <c r="L350" i="1"/>
  <c r="K350" i="1"/>
  <c r="J350" i="1"/>
  <c r="I350" i="1"/>
  <c r="C350" i="1"/>
  <c r="B350" i="1"/>
  <c r="A350" i="1"/>
  <c r="M349" i="1"/>
  <c r="L349" i="1"/>
  <c r="K349" i="1"/>
  <c r="J349" i="1"/>
  <c r="I349" i="1"/>
  <c r="C349" i="1"/>
  <c r="B349" i="1"/>
  <c r="A349" i="1"/>
  <c r="M348" i="1"/>
  <c r="L348" i="1"/>
  <c r="K348" i="1"/>
  <c r="J348" i="1"/>
  <c r="I348" i="1"/>
  <c r="C348" i="1"/>
  <c r="B348" i="1"/>
  <c r="A348" i="1"/>
  <c r="M347" i="1"/>
  <c r="L347" i="1"/>
  <c r="K347" i="1"/>
  <c r="J347" i="1"/>
  <c r="I347" i="1"/>
  <c r="C347" i="1"/>
  <c r="B347" i="1"/>
  <c r="A347" i="1"/>
  <c r="M346" i="1"/>
  <c r="L346" i="1"/>
  <c r="K346" i="1"/>
  <c r="J346" i="1"/>
  <c r="I346" i="1"/>
  <c r="C346" i="1"/>
  <c r="B346" i="1"/>
  <c r="A346" i="1"/>
  <c r="M345" i="1"/>
  <c r="L345" i="1"/>
  <c r="K345" i="1"/>
  <c r="J345" i="1"/>
  <c r="I345" i="1"/>
  <c r="C345" i="1"/>
  <c r="B345" i="1"/>
  <c r="A345" i="1"/>
  <c r="M344" i="1"/>
  <c r="L344" i="1"/>
  <c r="K344" i="1"/>
  <c r="J344" i="1"/>
  <c r="I344" i="1"/>
  <c r="C344" i="1"/>
  <c r="B344" i="1"/>
  <c r="A344" i="1"/>
  <c r="M343" i="1"/>
  <c r="L343" i="1"/>
  <c r="K343" i="1"/>
  <c r="J343" i="1"/>
  <c r="I343" i="1"/>
  <c r="C343" i="1"/>
  <c r="B343" i="1"/>
  <c r="A343" i="1"/>
  <c r="M342" i="1"/>
  <c r="L342" i="1"/>
  <c r="K342" i="1"/>
  <c r="J342" i="1"/>
  <c r="I342" i="1"/>
  <c r="C342" i="1"/>
  <c r="B342" i="1"/>
  <c r="A342" i="1"/>
  <c r="M341" i="1"/>
  <c r="L341" i="1"/>
  <c r="K341" i="1"/>
  <c r="J341" i="1"/>
  <c r="I341" i="1"/>
  <c r="C341" i="1"/>
  <c r="B341" i="1"/>
  <c r="A341" i="1"/>
  <c r="M340" i="1"/>
  <c r="L340" i="1"/>
  <c r="K340" i="1"/>
  <c r="J340" i="1"/>
  <c r="I340" i="1"/>
  <c r="C340" i="1"/>
  <c r="B340" i="1"/>
  <c r="A340" i="1"/>
  <c r="M339" i="1"/>
  <c r="L339" i="1"/>
  <c r="K339" i="1"/>
  <c r="J339" i="1"/>
  <c r="I339" i="1"/>
  <c r="C339" i="1"/>
  <c r="B339" i="1"/>
  <c r="A339" i="1"/>
  <c r="M338" i="1"/>
  <c r="L338" i="1"/>
  <c r="K338" i="1"/>
  <c r="J338" i="1"/>
  <c r="I338" i="1"/>
  <c r="C338" i="1"/>
  <c r="B338" i="1"/>
  <c r="A338" i="1"/>
  <c r="M337" i="1"/>
  <c r="L337" i="1"/>
  <c r="K337" i="1"/>
  <c r="J337" i="1"/>
  <c r="I337" i="1"/>
  <c r="C337" i="1"/>
  <c r="B337" i="1"/>
  <c r="A337" i="1"/>
  <c r="M336" i="1"/>
  <c r="L336" i="1"/>
  <c r="K336" i="1"/>
  <c r="J336" i="1"/>
  <c r="I336" i="1"/>
  <c r="C336" i="1"/>
  <c r="B336" i="1"/>
  <c r="A336" i="1"/>
  <c r="M335" i="1"/>
  <c r="L335" i="1"/>
  <c r="K335" i="1"/>
  <c r="J335" i="1"/>
  <c r="I335" i="1"/>
  <c r="C335" i="1"/>
  <c r="B335" i="1"/>
  <c r="A335" i="1"/>
  <c r="M334" i="1"/>
  <c r="L334" i="1"/>
  <c r="K334" i="1"/>
  <c r="J334" i="1"/>
  <c r="I334" i="1"/>
  <c r="C334" i="1"/>
  <c r="B334" i="1"/>
  <c r="A334" i="1"/>
  <c r="M333" i="1"/>
  <c r="L333" i="1"/>
  <c r="K333" i="1"/>
  <c r="J333" i="1"/>
  <c r="I333" i="1"/>
  <c r="C333" i="1"/>
  <c r="B333" i="1"/>
  <c r="A333" i="1"/>
  <c r="M332" i="1"/>
  <c r="L332" i="1"/>
  <c r="K332" i="1"/>
  <c r="J332" i="1"/>
  <c r="I332" i="1"/>
  <c r="C332" i="1"/>
  <c r="B332" i="1"/>
  <c r="A332" i="1"/>
  <c r="M331" i="1"/>
  <c r="L331" i="1"/>
  <c r="K331" i="1"/>
  <c r="J331" i="1"/>
  <c r="I331" i="1"/>
  <c r="C331" i="1"/>
  <c r="B331" i="1"/>
  <c r="A331" i="1"/>
  <c r="M330" i="1"/>
  <c r="L330" i="1"/>
  <c r="K330" i="1"/>
  <c r="J330" i="1"/>
  <c r="I330" i="1"/>
  <c r="C330" i="1"/>
  <c r="B330" i="1"/>
  <c r="A330" i="1"/>
  <c r="M329" i="1"/>
  <c r="L329" i="1"/>
  <c r="K329" i="1"/>
  <c r="J329" i="1"/>
  <c r="I329" i="1"/>
  <c r="C329" i="1"/>
  <c r="B329" i="1"/>
  <c r="A329" i="1"/>
  <c r="M328" i="1"/>
  <c r="L328" i="1"/>
  <c r="K328" i="1"/>
  <c r="J328" i="1"/>
  <c r="I328" i="1"/>
  <c r="C328" i="1"/>
  <c r="B328" i="1"/>
  <c r="A328" i="1"/>
  <c r="M327" i="1"/>
  <c r="L327" i="1"/>
  <c r="K327" i="1"/>
  <c r="J327" i="1"/>
  <c r="I327" i="1"/>
  <c r="C327" i="1"/>
  <c r="B327" i="1"/>
  <c r="A327" i="1"/>
  <c r="M326" i="1"/>
  <c r="L326" i="1"/>
  <c r="K326" i="1"/>
  <c r="J326" i="1"/>
  <c r="I326" i="1"/>
  <c r="C326" i="1"/>
  <c r="B326" i="1"/>
  <c r="A326" i="1"/>
  <c r="M325" i="1"/>
  <c r="L325" i="1"/>
  <c r="K325" i="1"/>
  <c r="J325" i="1"/>
  <c r="I325" i="1"/>
  <c r="C325" i="1"/>
  <c r="B325" i="1"/>
  <c r="A325" i="1"/>
  <c r="M324" i="1"/>
  <c r="L324" i="1"/>
  <c r="K324" i="1"/>
  <c r="J324" i="1"/>
  <c r="I324" i="1"/>
  <c r="C324" i="1"/>
  <c r="B324" i="1"/>
  <c r="A324" i="1"/>
  <c r="M323" i="1"/>
  <c r="L323" i="1"/>
  <c r="K323" i="1"/>
  <c r="J323" i="1"/>
  <c r="I323" i="1"/>
  <c r="C323" i="1"/>
  <c r="B323" i="1"/>
  <c r="A323" i="1"/>
  <c r="M322" i="1"/>
  <c r="L322" i="1"/>
  <c r="K322" i="1"/>
  <c r="J322" i="1"/>
  <c r="I322" i="1"/>
  <c r="C322" i="1"/>
  <c r="B322" i="1"/>
  <c r="A322" i="1"/>
  <c r="M321" i="1"/>
  <c r="L321" i="1"/>
  <c r="K321" i="1"/>
  <c r="J321" i="1"/>
  <c r="I321" i="1"/>
  <c r="C321" i="1"/>
  <c r="B321" i="1"/>
  <c r="A321" i="1"/>
  <c r="M320" i="1"/>
  <c r="L320" i="1"/>
  <c r="K320" i="1"/>
  <c r="J320" i="1"/>
  <c r="I320" i="1"/>
  <c r="C320" i="1"/>
  <c r="B320" i="1"/>
  <c r="A320" i="1"/>
  <c r="M319" i="1"/>
  <c r="L319" i="1"/>
  <c r="K319" i="1"/>
  <c r="J319" i="1"/>
  <c r="I319" i="1"/>
  <c r="C319" i="1"/>
  <c r="B319" i="1"/>
  <c r="A319" i="1"/>
  <c r="M318" i="1"/>
  <c r="L318" i="1"/>
  <c r="K318" i="1"/>
  <c r="J318" i="1"/>
  <c r="I318" i="1"/>
  <c r="C318" i="1"/>
  <c r="B318" i="1"/>
  <c r="A318" i="1"/>
  <c r="M317" i="1"/>
  <c r="L317" i="1"/>
  <c r="K317" i="1"/>
  <c r="J317" i="1"/>
  <c r="I317" i="1"/>
  <c r="C317" i="1"/>
  <c r="B317" i="1"/>
  <c r="A317" i="1"/>
  <c r="M316" i="1"/>
  <c r="L316" i="1"/>
  <c r="K316" i="1"/>
  <c r="J316" i="1"/>
  <c r="I316" i="1"/>
  <c r="C316" i="1"/>
  <c r="B316" i="1"/>
  <c r="A316" i="1"/>
  <c r="M315" i="1"/>
  <c r="L315" i="1"/>
  <c r="K315" i="1"/>
  <c r="J315" i="1"/>
  <c r="I315" i="1"/>
  <c r="C315" i="1"/>
  <c r="B315" i="1"/>
  <c r="A315" i="1"/>
  <c r="M314" i="1"/>
  <c r="L314" i="1"/>
  <c r="K314" i="1"/>
  <c r="J314" i="1"/>
  <c r="I314" i="1"/>
  <c r="C314" i="1"/>
  <c r="B314" i="1"/>
  <c r="A314" i="1"/>
  <c r="M313" i="1"/>
  <c r="L313" i="1"/>
  <c r="K313" i="1"/>
  <c r="J313" i="1"/>
  <c r="I313" i="1"/>
  <c r="C313" i="1"/>
  <c r="B313" i="1"/>
  <c r="A313" i="1"/>
  <c r="M312" i="1"/>
  <c r="L312" i="1"/>
  <c r="K312" i="1"/>
  <c r="J312" i="1"/>
  <c r="I312" i="1"/>
  <c r="C312" i="1"/>
  <c r="B312" i="1"/>
  <c r="A312" i="1"/>
  <c r="M311" i="1"/>
  <c r="L311" i="1"/>
  <c r="K311" i="1"/>
  <c r="J311" i="1"/>
  <c r="I311" i="1"/>
  <c r="C311" i="1"/>
  <c r="B311" i="1"/>
  <c r="A311" i="1"/>
  <c r="M310" i="1"/>
  <c r="L310" i="1"/>
  <c r="K310" i="1"/>
  <c r="J310" i="1"/>
  <c r="I310" i="1"/>
  <c r="C310" i="1"/>
  <c r="B310" i="1"/>
  <c r="A310" i="1"/>
  <c r="M309" i="1"/>
  <c r="L309" i="1"/>
  <c r="K309" i="1"/>
  <c r="J309" i="1"/>
  <c r="I309" i="1"/>
  <c r="C309" i="1"/>
  <c r="B309" i="1"/>
  <c r="A309" i="1"/>
  <c r="M308" i="1"/>
  <c r="L308" i="1"/>
  <c r="K308" i="1"/>
  <c r="J308" i="1"/>
  <c r="I308" i="1"/>
  <c r="C308" i="1"/>
  <c r="B308" i="1"/>
  <c r="A308" i="1"/>
  <c r="M307" i="1"/>
  <c r="L307" i="1"/>
  <c r="K307" i="1"/>
  <c r="J307" i="1"/>
  <c r="I307" i="1"/>
  <c r="C307" i="1"/>
  <c r="B307" i="1"/>
  <c r="A307" i="1"/>
  <c r="M306" i="1"/>
  <c r="L306" i="1"/>
  <c r="K306" i="1"/>
  <c r="J306" i="1"/>
  <c r="I306" i="1"/>
  <c r="C306" i="1"/>
  <c r="B306" i="1"/>
  <c r="A306" i="1"/>
  <c r="M305" i="1"/>
  <c r="L305" i="1"/>
  <c r="K305" i="1"/>
  <c r="J305" i="1"/>
  <c r="I305" i="1"/>
  <c r="C305" i="1"/>
  <c r="B305" i="1"/>
  <c r="A305" i="1"/>
  <c r="M304" i="1"/>
  <c r="L304" i="1"/>
  <c r="K304" i="1"/>
  <c r="J304" i="1"/>
  <c r="I304" i="1"/>
  <c r="C304" i="1"/>
  <c r="B304" i="1"/>
  <c r="A304" i="1"/>
  <c r="M303" i="1"/>
  <c r="L303" i="1"/>
  <c r="K303" i="1"/>
  <c r="J303" i="1"/>
  <c r="I303" i="1"/>
  <c r="C303" i="1"/>
  <c r="B303" i="1"/>
  <c r="A303" i="1"/>
  <c r="M302" i="1"/>
  <c r="L302" i="1"/>
  <c r="K302" i="1"/>
  <c r="J302" i="1"/>
  <c r="I302" i="1"/>
  <c r="C302" i="1"/>
  <c r="B302" i="1"/>
  <c r="A302" i="1"/>
  <c r="M301" i="1"/>
  <c r="L301" i="1"/>
  <c r="K301" i="1"/>
  <c r="J301" i="1"/>
  <c r="I301" i="1"/>
  <c r="C301" i="1"/>
  <c r="B301" i="1"/>
  <c r="A301" i="1"/>
  <c r="M300" i="1"/>
  <c r="L300" i="1"/>
  <c r="K300" i="1"/>
  <c r="J300" i="1"/>
  <c r="I300" i="1"/>
  <c r="C300" i="1"/>
  <c r="B300" i="1"/>
  <c r="A300" i="1"/>
  <c r="M299" i="1"/>
  <c r="L299" i="1"/>
  <c r="K299" i="1"/>
  <c r="J299" i="1"/>
  <c r="I299" i="1"/>
  <c r="C299" i="1"/>
  <c r="B299" i="1"/>
  <c r="A299" i="1"/>
  <c r="M298" i="1"/>
  <c r="L298" i="1"/>
  <c r="K298" i="1"/>
  <c r="J298" i="1"/>
  <c r="I298" i="1"/>
  <c r="C298" i="1"/>
  <c r="B298" i="1"/>
  <c r="A298" i="1"/>
  <c r="M297" i="1"/>
  <c r="L297" i="1"/>
  <c r="K297" i="1"/>
  <c r="J297" i="1"/>
  <c r="I297" i="1"/>
  <c r="C297" i="1"/>
  <c r="B297" i="1"/>
  <c r="A297" i="1"/>
  <c r="M296" i="1"/>
  <c r="L296" i="1"/>
  <c r="K296" i="1"/>
  <c r="J296" i="1"/>
  <c r="I296" i="1"/>
  <c r="C296" i="1"/>
  <c r="B296" i="1"/>
  <c r="A296" i="1"/>
  <c r="M295" i="1"/>
  <c r="L295" i="1"/>
  <c r="K295" i="1"/>
  <c r="J295" i="1"/>
  <c r="I295" i="1"/>
  <c r="C295" i="1"/>
  <c r="B295" i="1"/>
  <c r="A295" i="1"/>
  <c r="M294" i="1"/>
  <c r="L294" i="1"/>
  <c r="K294" i="1"/>
  <c r="J294" i="1"/>
  <c r="I294" i="1"/>
  <c r="C294" i="1"/>
  <c r="B294" i="1"/>
  <c r="A294" i="1"/>
  <c r="M293" i="1"/>
  <c r="L293" i="1"/>
  <c r="K293" i="1"/>
  <c r="J293" i="1"/>
  <c r="I293" i="1"/>
  <c r="C293" i="1"/>
  <c r="B293" i="1"/>
  <c r="A293" i="1"/>
  <c r="M292" i="1"/>
  <c r="L292" i="1"/>
  <c r="K292" i="1"/>
  <c r="J292" i="1"/>
  <c r="I292" i="1"/>
  <c r="C292" i="1"/>
  <c r="B292" i="1"/>
  <c r="A292" i="1"/>
  <c r="M291" i="1"/>
  <c r="L291" i="1"/>
  <c r="K291" i="1"/>
  <c r="J291" i="1"/>
  <c r="I291" i="1"/>
  <c r="C291" i="1"/>
  <c r="B291" i="1"/>
  <c r="A291" i="1"/>
  <c r="M290" i="1"/>
  <c r="L290" i="1"/>
  <c r="K290" i="1"/>
  <c r="J290" i="1"/>
  <c r="I290" i="1"/>
  <c r="C290" i="1"/>
  <c r="B290" i="1"/>
  <c r="A290" i="1"/>
  <c r="M289" i="1"/>
  <c r="L289" i="1"/>
  <c r="K289" i="1"/>
  <c r="J289" i="1"/>
  <c r="I289" i="1"/>
  <c r="C289" i="1"/>
  <c r="B289" i="1"/>
  <c r="A289" i="1"/>
  <c r="M288" i="1"/>
  <c r="L288" i="1"/>
  <c r="K288" i="1"/>
  <c r="J288" i="1"/>
  <c r="I288" i="1"/>
  <c r="C288" i="1"/>
  <c r="B288" i="1"/>
  <c r="A288" i="1"/>
  <c r="M287" i="1"/>
  <c r="L287" i="1"/>
  <c r="K287" i="1"/>
  <c r="J287" i="1"/>
  <c r="I287" i="1"/>
  <c r="C287" i="1"/>
  <c r="B287" i="1"/>
  <c r="A287" i="1"/>
  <c r="M286" i="1"/>
  <c r="L286" i="1"/>
  <c r="K286" i="1"/>
  <c r="J286" i="1"/>
  <c r="I286" i="1"/>
  <c r="C286" i="1"/>
  <c r="B286" i="1"/>
  <c r="A286" i="1"/>
  <c r="M285" i="1"/>
  <c r="L285" i="1"/>
  <c r="K285" i="1"/>
  <c r="J285" i="1"/>
  <c r="I285" i="1"/>
  <c r="C285" i="1"/>
  <c r="B285" i="1"/>
  <c r="A285" i="1"/>
  <c r="M284" i="1"/>
  <c r="L284" i="1"/>
  <c r="K284" i="1"/>
  <c r="J284" i="1"/>
  <c r="I284" i="1"/>
  <c r="C284" i="1"/>
  <c r="B284" i="1"/>
  <c r="A284" i="1"/>
  <c r="M283" i="1"/>
  <c r="L283" i="1"/>
  <c r="K283" i="1"/>
  <c r="J283" i="1"/>
  <c r="I283" i="1"/>
  <c r="C283" i="1"/>
  <c r="B283" i="1"/>
  <c r="A283" i="1"/>
  <c r="M282" i="1"/>
  <c r="L282" i="1"/>
  <c r="K282" i="1"/>
  <c r="J282" i="1"/>
  <c r="I282" i="1"/>
  <c r="C282" i="1"/>
  <c r="B282" i="1"/>
  <c r="A282" i="1"/>
  <c r="M281" i="1"/>
  <c r="L281" i="1"/>
  <c r="K281" i="1"/>
  <c r="J281" i="1"/>
  <c r="I281" i="1"/>
  <c r="C281" i="1"/>
  <c r="B281" i="1"/>
  <c r="A281" i="1"/>
  <c r="M280" i="1"/>
  <c r="L280" i="1"/>
  <c r="K280" i="1"/>
  <c r="J280" i="1"/>
  <c r="I280" i="1"/>
  <c r="C280" i="1"/>
  <c r="B280" i="1"/>
  <c r="A280" i="1"/>
  <c r="M279" i="1"/>
  <c r="L279" i="1"/>
  <c r="K279" i="1"/>
  <c r="J279" i="1"/>
  <c r="I279" i="1"/>
  <c r="C279" i="1"/>
  <c r="B279" i="1"/>
  <c r="A279" i="1"/>
  <c r="M278" i="1"/>
  <c r="L278" i="1"/>
  <c r="K278" i="1"/>
  <c r="J278" i="1"/>
  <c r="I278" i="1"/>
  <c r="C278" i="1"/>
  <c r="B278" i="1"/>
  <c r="A278" i="1"/>
  <c r="M277" i="1"/>
  <c r="L277" i="1"/>
  <c r="K277" i="1"/>
  <c r="J277" i="1"/>
  <c r="I277" i="1"/>
  <c r="C277" i="1"/>
  <c r="B277" i="1"/>
  <c r="A277" i="1"/>
  <c r="M276" i="1"/>
  <c r="L276" i="1"/>
  <c r="K276" i="1"/>
  <c r="J276" i="1"/>
  <c r="I276" i="1"/>
  <c r="C276" i="1"/>
  <c r="B276" i="1"/>
  <c r="A276" i="1"/>
  <c r="M275" i="1"/>
  <c r="L275" i="1"/>
  <c r="K275" i="1"/>
  <c r="J275" i="1"/>
  <c r="I275" i="1"/>
  <c r="C275" i="1"/>
  <c r="B275" i="1"/>
  <c r="A275" i="1"/>
  <c r="M274" i="1"/>
  <c r="L274" i="1"/>
  <c r="K274" i="1"/>
  <c r="J274" i="1"/>
  <c r="I274" i="1"/>
  <c r="C274" i="1"/>
  <c r="B274" i="1"/>
  <c r="A274" i="1"/>
  <c r="M273" i="1"/>
  <c r="L273" i="1"/>
  <c r="K273" i="1"/>
  <c r="J273" i="1"/>
  <c r="I273" i="1"/>
  <c r="C273" i="1"/>
  <c r="B273" i="1"/>
  <c r="A273" i="1"/>
  <c r="M272" i="1"/>
  <c r="L272" i="1"/>
  <c r="K272" i="1"/>
  <c r="J272" i="1"/>
  <c r="I272" i="1"/>
  <c r="C272" i="1"/>
  <c r="B272" i="1"/>
  <c r="A272" i="1"/>
  <c r="M271" i="1"/>
  <c r="L271" i="1"/>
  <c r="K271" i="1"/>
  <c r="J271" i="1"/>
  <c r="I271" i="1"/>
  <c r="C271" i="1"/>
  <c r="B271" i="1"/>
  <c r="A271" i="1"/>
  <c r="M270" i="1"/>
  <c r="L270" i="1"/>
  <c r="K270" i="1"/>
  <c r="J270" i="1"/>
  <c r="I270" i="1"/>
  <c r="C270" i="1"/>
  <c r="B270" i="1"/>
  <c r="A270" i="1"/>
  <c r="M269" i="1"/>
  <c r="L269" i="1"/>
  <c r="K269" i="1"/>
  <c r="J269" i="1"/>
  <c r="I269" i="1"/>
  <c r="C269" i="1"/>
  <c r="B269" i="1"/>
  <c r="A269" i="1"/>
  <c r="M268" i="1"/>
  <c r="L268" i="1"/>
  <c r="K268" i="1"/>
  <c r="J268" i="1"/>
  <c r="I268" i="1"/>
  <c r="C268" i="1"/>
  <c r="B268" i="1"/>
  <c r="A268" i="1"/>
  <c r="M267" i="1"/>
  <c r="L267" i="1"/>
  <c r="K267" i="1"/>
  <c r="J267" i="1"/>
  <c r="I267" i="1"/>
  <c r="C267" i="1"/>
  <c r="B267" i="1"/>
  <c r="A267" i="1"/>
  <c r="M266" i="1"/>
  <c r="L266" i="1"/>
  <c r="K266" i="1"/>
  <c r="J266" i="1"/>
  <c r="I266" i="1"/>
  <c r="C266" i="1"/>
  <c r="B266" i="1"/>
  <c r="A266" i="1"/>
  <c r="M265" i="1"/>
  <c r="L265" i="1"/>
  <c r="K265" i="1"/>
  <c r="J265" i="1"/>
  <c r="I265" i="1"/>
  <c r="C265" i="1"/>
  <c r="B265" i="1"/>
  <c r="A265" i="1"/>
  <c r="M264" i="1"/>
  <c r="L264" i="1"/>
  <c r="K264" i="1"/>
  <c r="J264" i="1"/>
  <c r="I264" i="1"/>
  <c r="C264" i="1"/>
  <c r="B264" i="1"/>
  <c r="A264" i="1"/>
  <c r="M263" i="1"/>
  <c r="L263" i="1"/>
  <c r="K263" i="1"/>
  <c r="J263" i="1"/>
  <c r="I263" i="1"/>
  <c r="C263" i="1"/>
  <c r="B263" i="1"/>
  <c r="A263" i="1"/>
  <c r="M262" i="1"/>
  <c r="L262" i="1"/>
  <c r="K262" i="1"/>
  <c r="J262" i="1"/>
  <c r="I262" i="1"/>
  <c r="C262" i="1"/>
  <c r="B262" i="1"/>
  <c r="A262" i="1"/>
  <c r="M261" i="1"/>
  <c r="L261" i="1"/>
  <c r="K261" i="1"/>
  <c r="J261" i="1"/>
  <c r="I261" i="1"/>
  <c r="C261" i="1"/>
  <c r="B261" i="1"/>
  <c r="A261" i="1"/>
  <c r="M260" i="1"/>
  <c r="L260" i="1"/>
  <c r="K260" i="1"/>
  <c r="J260" i="1"/>
  <c r="I260" i="1"/>
  <c r="C260" i="1"/>
  <c r="B260" i="1"/>
  <c r="A260" i="1"/>
  <c r="M259" i="1"/>
  <c r="L259" i="1"/>
  <c r="K259" i="1"/>
  <c r="J259" i="1"/>
  <c r="I259" i="1"/>
  <c r="C259" i="1"/>
  <c r="B259" i="1"/>
  <c r="A259" i="1"/>
  <c r="M258" i="1"/>
  <c r="L258" i="1"/>
  <c r="K258" i="1"/>
  <c r="J258" i="1"/>
  <c r="I258" i="1"/>
  <c r="C258" i="1"/>
  <c r="B258" i="1"/>
  <c r="A258" i="1"/>
  <c r="M257" i="1"/>
  <c r="L257" i="1"/>
  <c r="K257" i="1"/>
  <c r="J257" i="1"/>
  <c r="I257" i="1"/>
  <c r="C257" i="1"/>
  <c r="B257" i="1"/>
  <c r="A257" i="1"/>
  <c r="M256" i="1"/>
  <c r="L256" i="1"/>
  <c r="K256" i="1"/>
  <c r="J256" i="1"/>
  <c r="I256" i="1"/>
  <c r="C256" i="1"/>
  <c r="B256" i="1"/>
  <c r="A256" i="1"/>
  <c r="M255" i="1"/>
  <c r="L255" i="1"/>
  <c r="K255" i="1"/>
  <c r="J255" i="1"/>
  <c r="I255" i="1"/>
  <c r="C255" i="1"/>
  <c r="B255" i="1"/>
  <c r="A255" i="1"/>
  <c r="M254" i="1"/>
  <c r="L254" i="1"/>
  <c r="K254" i="1"/>
  <c r="J254" i="1"/>
  <c r="I254" i="1"/>
  <c r="C254" i="1"/>
  <c r="B254" i="1"/>
  <c r="A254" i="1"/>
  <c r="M253" i="1"/>
  <c r="L253" i="1"/>
  <c r="K253" i="1"/>
  <c r="J253" i="1"/>
  <c r="I253" i="1"/>
  <c r="C253" i="1"/>
  <c r="B253" i="1"/>
  <c r="A253" i="1"/>
  <c r="M252" i="1"/>
  <c r="L252" i="1"/>
  <c r="K252" i="1"/>
  <c r="J252" i="1"/>
  <c r="I252" i="1"/>
  <c r="C252" i="1"/>
  <c r="B252" i="1"/>
  <c r="A252" i="1"/>
  <c r="M251" i="1"/>
  <c r="L251" i="1"/>
  <c r="K251" i="1"/>
  <c r="J251" i="1"/>
  <c r="I251" i="1"/>
  <c r="C251" i="1"/>
  <c r="B251" i="1"/>
  <c r="A251" i="1"/>
  <c r="M250" i="1"/>
  <c r="L250" i="1"/>
  <c r="K250" i="1"/>
  <c r="J250" i="1"/>
  <c r="I250" i="1"/>
  <c r="C250" i="1"/>
  <c r="B250" i="1"/>
  <c r="A250" i="1"/>
  <c r="M249" i="1"/>
  <c r="L249" i="1"/>
  <c r="K249" i="1"/>
  <c r="J249" i="1"/>
  <c r="I249" i="1"/>
  <c r="C249" i="1"/>
  <c r="B249" i="1"/>
  <c r="A249" i="1"/>
  <c r="M248" i="1"/>
  <c r="L248" i="1"/>
  <c r="K248" i="1"/>
  <c r="J248" i="1"/>
  <c r="I248" i="1"/>
  <c r="C248" i="1"/>
  <c r="B248" i="1"/>
  <c r="A248" i="1"/>
  <c r="M247" i="1"/>
  <c r="L247" i="1"/>
  <c r="K247" i="1"/>
  <c r="J247" i="1"/>
  <c r="I247" i="1"/>
  <c r="C247" i="1"/>
  <c r="B247" i="1"/>
  <c r="A247" i="1"/>
  <c r="M246" i="1"/>
  <c r="L246" i="1"/>
  <c r="K246" i="1"/>
  <c r="J246" i="1"/>
  <c r="I246" i="1"/>
  <c r="C246" i="1"/>
  <c r="B246" i="1"/>
  <c r="A246" i="1"/>
  <c r="M245" i="1"/>
  <c r="L245" i="1"/>
  <c r="K245" i="1"/>
  <c r="J245" i="1"/>
  <c r="I245" i="1"/>
  <c r="C245" i="1"/>
  <c r="B245" i="1"/>
  <c r="A245" i="1"/>
  <c r="M244" i="1"/>
  <c r="L244" i="1"/>
  <c r="K244" i="1"/>
  <c r="J244" i="1"/>
  <c r="I244" i="1"/>
  <c r="C244" i="1"/>
  <c r="B244" i="1"/>
  <c r="A244" i="1"/>
  <c r="M243" i="1"/>
  <c r="L243" i="1"/>
  <c r="K243" i="1"/>
  <c r="J243" i="1"/>
  <c r="I243" i="1"/>
  <c r="C243" i="1"/>
  <c r="B243" i="1"/>
  <c r="A243" i="1"/>
  <c r="M242" i="1"/>
  <c r="L242" i="1"/>
  <c r="K242" i="1"/>
  <c r="J242" i="1"/>
  <c r="I242" i="1"/>
  <c r="C242" i="1"/>
  <c r="B242" i="1"/>
  <c r="A242" i="1"/>
  <c r="M241" i="1"/>
  <c r="L241" i="1"/>
  <c r="K241" i="1"/>
  <c r="J241" i="1"/>
  <c r="I241" i="1"/>
  <c r="C241" i="1"/>
  <c r="B241" i="1"/>
  <c r="A241" i="1"/>
  <c r="M240" i="1"/>
  <c r="L240" i="1"/>
  <c r="K240" i="1"/>
  <c r="J240" i="1"/>
  <c r="I240" i="1"/>
  <c r="C240" i="1"/>
  <c r="B240" i="1"/>
  <c r="A240" i="1"/>
  <c r="M239" i="1"/>
  <c r="L239" i="1"/>
  <c r="K239" i="1"/>
  <c r="J239" i="1"/>
  <c r="I239" i="1"/>
  <c r="C239" i="1"/>
  <c r="B239" i="1"/>
  <c r="A239" i="1"/>
  <c r="M238" i="1"/>
  <c r="L238" i="1"/>
  <c r="K238" i="1"/>
  <c r="J238" i="1"/>
  <c r="I238" i="1"/>
  <c r="C238" i="1"/>
  <c r="B238" i="1"/>
  <c r="A238" i="1"/>
  <c r="M237" i="1"/>
  <c r="L237" i="1"/>
  <c r="K237" i="1"/>
  <c r="J237" i="1"/>
  <c r="I237" i="1"/>
  <c r="C237" i="1"/>
  <c r="B237" i="1"/>
  <c r="A237" i="1"/>
  <c r="M236" i="1"/>
  <c r="L236" i="1"/>
  <c r="K236" i="1"/>
  <c r="J236" i="1"/>
  <c r="I236" i="1"/>
  <c r="C236" i="1"/>
  <c r="B236" i="1"/>
  <c r="A236" i="1"/>
  <c r="M235" i="1"/>
  <c r="L235" i="1"/>
  <c r="K235" i="1"/>
  <c r="J235" i="1"/>
  <c r="I235" i="1"/>
  <c r="C235" i="1"/>
  <c r="B235" i="1"/>
  <c r="A235" i="1"/>
  <c r="M234" i="1"/>
  <c r="L234" i="1"/>
  <c r="K234" i="1"/>
  <c r="J234" i="1"/>
  <c r="I234" i="1"/>
  <c r="C234" i="1"/>
  <c r="B234" i="1"/>
  <c r="A234" i="1"/>
  <c r="M233" i="1"/>
  <c r="L233" i="1"/>
  <c r="K233" i="1"/>
  <c r="J233" i="1"/>
  <c r="I233" i="1"/>
  <c r="C233" i="1"/>
  <c r="B233" i="1"/>
  <c r="A233" i="1"/>
  <c r="M232" i="1"/>
  <c r="L232" i="1"/>
  <c r="K232" i="1"/>
  <c r="J232" i="1"/>
  <c r="I232" i="1"/>
  <c r="C232" i="1"/>
  <c r="B232" i="1"/>
  <c r="A232" i="1"/>
  <c r="M231" i="1"/>
  <c r="L231" i="1"/>
  <c r="K231" i="1"/>
  <c r="J231" i="1"/>
  <c r="I231" i="1"/>
  <c r="C231" i="1"/>
  <c r="B231" i="1"/>
  <c r="A231" i="1"/>
  <c r="M230" i="1"/>
  <c r="L230" i="1"/>
  <c r="K230" i="1"/>
  <c r="J230" i="1"/>
  <c r="I230" i="1"/>
  <c r="C230" i="1"/>
  <c r="B230" i="1"/>
  <c r="A230" i="1"/>
  <c r="M229" i="1"/>
  <c r="L229" i="1"/>
  <c r="K229" i="1"/>
  <c r="J229" i="1"/>
  <c r="I229" i="1"/>
  <c r="C229" i="1"/>
  <c r="B229" i="1"/>
  <c r="A229" i="1"/>
  <c r="M228" i="1"/>
  <c r="L228" i="1"/>
  <c r="K228" i="1"/>
  <c r="J228" i="1"/>
  <c r="I228" i="1"/>
  <c r="C228" i="1"/>
  <c r="B228" i="1"/>
  <c r="A228" i="1"/>
  <c r="M227" i="1"/>
  <c r="L227" i="1"/>
  <c r="K227" i="1"/>
  <c r="J227" i="1"/>
  <c r="I227" i="1"/>
  <c r="C227" i="1"/>
  <c r="B227" i="1"/>
  <c r="A227" i="1"/>
  <c r="M226" i="1"/>
  <c r="L226" i="1"/>
  <c r="K226" i="1"/>
  <c r="J226" i="1"/>
  <c r="I226" i="1"/>
  <c r="C226" i="1"/>
  <c r="B226" i="1"/>
  <c r="A226" i="1"/>
  <c r="M225" i="1"/>
  <c r="L225" i="1"/>
  <c r="K225" i="1"/>
  <c r="J225" i="1"/>
  <c r="I225" i="1"/>
  <c r="C225" i="1"/>
  <c r="B225" i="1"/>
  <c r="A225" i="1"/>
  <c r="M224" i="1"/>
  <c r="L224" i="1"/>
  <c r="K224" i="1"/>
  <c r="J224" i="1"/>
  <c r="I224" i="1"/>
  <c r="C224" i="1"/>
  <c r="B224" i="1"/>
  <c r="A224" i="1"/>
  <c r="M223" i="1"/>
  <c r="L223" i="1"/>
  <c r="K223" i="1"/>
  <c r="J223" i="1"/>
  <c r="I223" i="1"/>
  <c r="C223" i="1"/>
  <c r="B223" i="1"/>
  <c r="A223" i="1"/>
  <c r="M222" i="1"/>
  <c r="L222" i="1"/>
  <c r="K222" i="1"/>
  <c r="J222" i="1"/>
  <c r="I222" i="1"/>
  <c r="C222" i="1"/>
  <c r="B222" i="1"/>
  <c r="A222" i="1"/>
  <c r="M221" i="1"/>
  <c r="L221" i="1"/>
  <c r="K221" i="1"/>
  <c r="J221" i="1"/>
  <c r="I221" i="1"/>
  <c r="C221" i="1"/>
  <c r="B221" i="1"/>
  <c r="A221" i="1"/>
  <c r="M220" i="1"/>
  <c r="L220" i="1"/>
  <c r="K220" i="1"/>
  <c r="J220" i="1"/>
  <c r="I220" i="1"/>
  <c r="C220" i="1"/>
  <c r="B220" i="1"/>
  <c r="A220" i="1"/>
  <c r="M219" i="1"/>
  <c r="L219" i="1"/>
  <c r="K219" i="1"/>
  <c r="J219" i="1"/>
  <c r="I219" i="1"/>
  <c r="C219" i="1"/>
  <c r="B219" i="1"/>
  <c r="A219" i="1"/>
  <c r="M218" i="1"/>
  <c r="L218" i="1"/>
  <c r="K218" i="1"/>
  <c r="J218" i="1"/>
  <c r="I218" i="1"/>
  <c r="C218" i="1"/>
  <c r="B218" i="1"/>
  <c r="A218" i="1"/>
  <c r="M217" i="1"/>
  <c r="L217" i="1"/>
  <c r="K217" i="1"/>
  <c r="J217" i="1"/>
  <c r="I217" i="1"/>
  <c r="C217" i="1"/>
  <c r="B217" i="1"/>
  <c r="A217" i="1"/>
  <c r="M216" i="1"/>
  <c r="L216" i="1"/>
  <c r="K216" i="1"/>
  <c r="J216" i="1"/>
  <c r="I216" i="1"/>
  <c r="C216" i="1"/>
  <c r="B216" i="1"/>
  <c r="A216" i="1"/>
  <c r="M215" i="1"/>
  <c r="L215" i="1"/>
  <c r="K215" i="1"/>
  <c r="J215" i="1"/>
  <c r="I215" i="1"/>
  <c r="C215" i="1"/>
  <c r="B215" i="1"/>
  <c r="A215" i="1"/>
  <c r="M214" i="1"/>
  <c r="L214" i="1"/>
  <c r="K214" i="1"/>
  <c r="J214" i="1"/>
  <c r="I214" i="1"/>
  <c r="C214" i="1"/>
  <c r="B214" i="1"/>
  <c r="A214" i="1"/>
  <c r="M213" i="1"/>
  <c r="L213" i="1"/>
  <c r="K213" i="1"/>
  <c r="J213" i="1"/>
  <c r="I213" i="1"/>
  <c r="C213" i="1"/>
  <c r="B213" i="1"/>
  <c r="A213" i="1"/>
  <c r="M212" i="1"/>
  <c r="L212" i="1"/>
  <c r="K212" i="1"/>
  <c r="J212" i="1"/>
  <c r="I212" i="1"/>
  <c r="C212" i="1"/>
  <c r="B212" i="1"/>
  <c r="A212" i="1"/>
  <c r="M211" i="1"/>
  <c r="L211" i="1"/>
  <c r="K211" i="1"/>
  <c r="J211" i="1"/>
  <c r="I211" i="1"/>
  <c r="C211" i="1"/>
  <c r="B211" i="1"/>
  <c r="A211" i="1"/>
  <c r="M210" i="1"/>
  <c r="L210" i="1"/>
  <c r="K210" i="1"/>
  <c r="J210" i="1"/>
  <c r="I210" i="1"/>
  <c r="C210" i="1"/>
  <c r="B210" i="1"/>
  <c r="A210" i="1"/>
  <c r="M209" i="1"/>
  <c r="L209" i="1"/>
  <c r="K209" i="1"/>
  <c r="J209" i="1"/>
  <c r="I209" i="1"/>
  <c r="C209" i="1"/>
  <c r="B209" i="1"/>
  <c r="A209" i="1"/>
  <c r="M208" i="1"/>
  <c r="L208" i="1"/>
  <c r="K208" i="1"/>
  <c r="J208" i="1"/>
  <c r="I208" i="1"/>
  <c r="C208" i="1"/>
  <c r="B208" i="1"/>
  <c r="A208" i="1"/>
  <c r="M207" i="1"/>
  <c r="L207" i="1"/>
  <c r="K207" i="1"/>
  <c r="J207" i="1"/>
  <c r="I207" i="1"/>
  <c r="C207" i="1"/>
  <c r="B207" i="1"/>
  <c r="A207" i="1"/>
  <c r="M206" i="1"/>
  <c r="L206" i="1"/>
  <c r="K206" i="1"/>
  <c r="J206" i="1"/>
  <c r="I206" i="1"/>
  <c r="C206" i="1"/>
  <c r="B206" i="1"/>
  <c r="A206" i="1"/>
  <c r="M205" i="1"/>
  <c r="L205" i="1"/>
  <c r="K205" i="1"/>
  <c r="J205" i="1"/>
  <c r="I205" i="1"/>
  <c r="C205" i="1"/>
  <c r="B205" i="1"/>
  <c r="A205" i="1"/>
  <c r="M204" i="1"/>
  <c r="L204" i="1"/>
  <c r="K204" i="1"/>
  <c r="J204" i="1"/>
  <c r="I204" i="1"/>
  <c r="C204" i="1"/>
  <c r="B204" i="1"/>
  <c r="A204" i="1"/>
  <c r="M203" i="1"/>
  <c r="L203" i="1"/>
  <c r="K203" i="1"/>
  <c r="J203" i="1"/>
  <c r="I203" i="1"/>
  <c r="C203" i="1"/>
  <c r="B203" i="1"/>
  <c r="A203" i="1"/>
  <c r="M202" i="1"/>
  <c r="L202" i="1"/>
  <c r="K202" i="1"/>
  <c r="J202" i="1"/>
  <c r="I202" i="1"/>
  <c r="C202" i="1"/>
  <c r="B202" i="1"/>
  <c r="A202" i="1"/>
  <c r="M201" i="1"/>
  <c r="L201" i="1"/>
  <c r="K201" i="1"/>
  <c r="J201" i="1"/>
  <c r="I201" i="1"/>
  <c r="C201" i="1"/>
  <c r="B201" i="1"/>
  <c r="A201" i="1"/>
  <c r="M200" i="1"/>
  <c r="L200" i="1"/>
  <c r="K200" i="1"/>
  <c r="J200" i="1"/>
  <c r="I200" i="1"/>
  <c r="C200" i="1"/>
  <c r="B200" i="1"/>
  <c r="A200" i="1"/>
  <c r="M199" i="1"/>
  <c r="L199" i="1"/>
  <c r="K199" i="1"/>
  <c r="J199" i="1"/>
  <c r="I199" i="1"/>
  <c r="C199" i="1"/>
  <c r="B199" i="1"/>
  <c r="A199" i="1"/>
  <c r="M198" i="1"/>
  <c r="L198" i="1"/>
  <c r="K198" i="1"/>
  <c r="J198" i="1"/>
  <c r="I198" i="1"/>
  <c r="C198" i="1"/>
  <c r="B198" i="1"/>
  <c r="A198" i="1"/>
  <c r="M197" i="1"/>
  <c r="L197" i="1"/>
  <c r="K197" i="1"/>
  <c r="J197" i="1"/>
  <c r="I197" i="1"/>
  <c r="C197" i="1"/>
  <c r="B197" i="1"/>
  <c r="A197" i="1"/>
  <c r="M196" i="1"/>
  <c r="L196" i="1"/>
  <c r="K196" i="1"/>
  <c r="J196" i="1"/>
  <c r="I196" i="1"/>
  <c r="C196" i="1"/>
  <c r="B196" i="1"/>
  <c r="A196" i="1"/>
  <c r="M195" i="1"/>
  <c r="L195" i="1"/>
  <c r="K195" i="1"/>
  <c r="J195" i="1"/>
  <c r="I195" i="1"/>
  <c r="C195" i="1"/>
  <c r="B195" i="1"/>
  <c r="A195" i="1"/>
  <c r="M194" i="1"/>
  <c r="L194" i="1"/>
  <c r="K194" i="1"/>
  <c r="J194" i="1"/>
  <c r="I194" i="1"/>
  <c r="C194" i="1"/>
  <c r="B194" i="1"/>
  <c r="A194" i="1"/>
  <c r="M193" i="1"/>
  <c r="L193" i="1"/>
  <c r="K193" i="1"/>
  <c r="J193" i="1"/>
  <c r="I193" i="1"/>
  <c r="C193" i="1"/>
  <c r="B193" i="1"/>
  <c r="A193" i="1"/>
  <c r="M192" i="1"/>
  <c r="L192" i="1"/>
  <c r="K192" i="1"/>
  <c r="J192" i="1"/>
  <c r="I192" i="1"/>
  <c r="C192" i="1"/>
  <c r="B192" i="1"/>
  <c r="A192" i="1"/>
  <c r="M191" i="1"/>
  <c r="L191" i="1"/>
  <c r="K191" i="1"/>
  <c r="J191" i="1"/>
  <c r="I191" i="1"/>
  <c r="C191" i="1"/>
  <c r="B191" i="1"/>
  <c r="A191" i="1"/>
  <c r="M190" i="1"/>
  <c r="L190" i="1"/>
  <c r="K190" i="1"/>
  <c r="J190" i="1"/>
  <c r="I190" i="1"/>
  <c r="C190" i="1"/>
  <c r="B190" i="1"/>
  <c r="A190" i="1"/>
  <c r="M189" i="1"/>
  <c r="L189" i="1"/>
  <c r="K189" i="1"/>
  <c r="J189" i="1"/>
  <c r="I189" i="1"/>
  <c r="C189" i="1"/>
  <c r="B189" i="1"/>
  <c r="A189" i="1"/>
  <c r="M188" i="1"/>
  <c r="L188" i="1"/>
  <c r="K188" i="1"/>
  <c r="J188" i="1"/>
  <c r="I188" i="1"/>
  <c r="C188" i="1"/>
  <c r="B188" i="1"/>
  <c r="A188" i="1"/>
  <c r="M187" i="1"/>
  <c r="L187" i="1"/>
  <c r="K187" i="1"/>
  <c r="J187" i="1"/>
  <c r="I187" i="1"/>
  <c r="C187" i="1"/>
  <c r="B187" i="1"/>
  <c r="A187" i="1"/>
  <c r="M186" i="1"/>
  <c r="L186" i="1"/>
  <c r="K186" i="1"/>
  <c r="J186" i="1"/>
  <c r="I186" i="1"/>
  <c r="C186" i="1"/>
  <c r="B186" i="1"/>
  <c r="A186" i="1"/>
  <c r="M185" i="1"/>
  <c r="L185" i="1"/>
  <c r="K185" i="1"/>
  <c r="J185" i="1"/>
  <c r="I185" i="1"/>
  <c r="C185" i="1"/>
  <c r="B185" i="1"/>
  <c r="A185" i="1"/>
  <c r="M184" i="1"/>
  <c r="L184" i="1"/>
  <c r="K184" i="1"/>
  <c r="J184" i="1"/>
  <c r="I184" i="1"/>
  <c r="C184" i="1"/>
  <c r="B184" i="1"/>
  <c r="A184" i="1"/>
  <c r="M183" i="1"/>
  <c r="L183" i="1"/>
  <c r="K183" i="1"/>
  <c r="J183" i="1"/>
  <c r="I183" i="1"/>
  <c r="C183" i="1"/>
  <c r="B183" i="1"/>
  <c r="A183" i="1"/>
  <c r="M182" i="1"/>
  <c r="L182" i="1"/>
  <c r="K182" i="1"/>
  <c r="J182" i="1"/>
  <c r="I182" i="1"/>
  <c r="C182" i="1"/>
  <c r="B182" i="1"/>
  <c r="A182" i="1"/>
  <c r="M181" i="1"/>
  <c r="L181" i="1"/>
  <c r="K181" i="1"/>
  <c r="J181" i="1"/>
  <c r="I181" i="1"/>
  <c r="C181" i="1"/>
  <c r="B181" i="1"/>
  <c r="A181" i="1"/>
  <c r="M180" i="1"/>
  <c r="L180" i="1"/>
  <c r="K180" i="1"/>
  <c r="J180" i="1"/>
  <c r="I180" i="1"/>
  <c r="C180" i="1"/>
  <c r="B180" i="1"/>
  <c r="A180" i="1"/>
  <c r="M179" i="1"/>
  <c r="L179" i="1"/>
  <c r="K179" i="1"/>
  <c r="J179" i="1"/>
  <c r="I179" i="1"/>
  <c r="C179" i="1"/>
  <c r="B179" i="1"/>
  <c r="A179" i="1"/>
  <c r="M178" i="1"/>
  <c r="L178" i="1"/>
  <c r="K178" i="1"/>
  <c r="J178" i="1"/>
  <c r="I178" i="1"/>
  <c r="C178" i="1"/>
  <c r="B178" i="1"/>
  <c r="A178" i="1"/>
  <c r="M177" i="1"/>
  <c r="L177" i="1"/>
  <c r="K177" i="1"/>
  <c r="J177" i="1"/>
  <c r="I177" i="1"/>
  <c r="C177" i="1"/>
  <c r="B177" i="1"/>
  <c r="A177" i="1"/>
  <c r="M176" i="1"/>
  <c r="L176" i="1"/>
  <c r="K176" i="1"/>
  <c r="J176" i="1"/>
  <c r="I176" i="1"/>
  <c r="C176" i="1"/>
  <c r="B176" i="1"/>
  <c r="A176" i="1"/>
  <c r="M175" i="1"/>
  <c r="L175" i="1"/>
  <c r="K175" i="1"/>
  <c r="J175" i="1"/>
  <c r="I175" i="1"/>
  <c r="C175" i="1"/>
  <c r="B175" i="1"/>
  <c r="A175" i="1"/>
  <c r="M174" i="1"/>
  <c r="L174" i="1"/>
  <c r="K174" i="1"/>
  <c r="J174" i="1"/>
  <c r="I174" i="1"/>
  <c r="C174" i="1"/>
  <c r="B174" i="1"/>
  <c r="A174" i="1"/>
  <c r="M173" i="1"/>
  <c r="L173" i="1"/>
  <c r="K173" i="1"/>
  <c r="J173" i="1"/>
  <c r="I173" i="1"/>
  <c r="C173" i="1"/>
  <c r="B173" i="1"/>
  <c r="A173" i="1"/>
  <c r="M172" i="1"/>
  <c r="L172" i="1"/>
  <c r="K172" i="1"/>
  <c r="J172" i="1"/>
  <c r="I172" i="1"/>
  <c r="C172" i="1"/>
  <c r="B172" i="1"/>
  <c r="A172" i="1"/>
  <c r="M171" i="1"/>
  <c r="L171" i="1"/>
  <c r="K171" i="1"/>
  <c r="J171" i="1"/>
  <c r="I171" i="1"/>
  <c r="C171" i="1"/>
  <c r="B171" i="1"/>
  <c r="A171" i="1"/>
  <c r="M170" i="1"/>
  <c r="L170" i="1"/>
  <c r="K170" i="1"/>
  <c r="J170" i="1"/>
  <c r="I170" i="1"/>
  <c r="C170" i="1"/>
  <c r="B170" i="1"/>
  <c r="A170" i="1"/>
  <c r="M169" i="1"/>
  <c r="L169" i="1"/>
  <c r="K169" i="1"/>
  <c r="J169" i="1"/>
  <c r="I169" i="1"/>
  <c r="C169" i="1"/>
  <c r="B169" i="1"/>
  <c r="A169" i="1"/>
  <c r="M168" i="1"/>
  <c r="L168" i="1"/>
  <c r="K168" i="1"/>
  <c r="J168" i="1"/>
  <c r="I168" i="1"/>
  <c r="C168" i="1"/>
  <c r="B168" i="1"/>
  <c r="A168" i="1"/>
  <c r="M167" i="1"/>
  <c r="L167" i="1"/>
  <c r="K167" i="1"/>
  <c r="J167" i="1"/>
  <c r="I167" i="1"/>
  <c r="C167" i="1"/>
  <c r="B167" i="1"/>
  <c r="A167" i="1"/>
  <c r="M166" i="1"/>
  <c r="L166" i="1"/>
  <c r="K166" i="1"/>
  <c r="J166" i="1"/>
  <c r="I166" i="1"/>
  <c r="C166" i="1"/>
  <c r="B166" i="1"/>
  <c r="A166" i="1"/>
  <c r="M165" i="1"/>
  <c r="L165" i="1"/>
  <c r="K165" i="1"/>
  <c r="J165" i="1"/>
  <c r="I165" i="1"/>
  <c r="C165" i="1"/>
  <c r="B165" i="1"/>
  <c r="A165" i="1"/>
  <c r="M164" i="1"/>
  <c r="L164" i="1"/>
  <c r="K164" i="1"/>
  <c r="J164" i="1"/>
  <c r="I164" i="1"/>
  <c r="C164" i="1"/>
  <c r="B164" i="1"/>
  <c r="A164" i="1"/>
  <c r="M163" i="1"/>
  <c r="L163" i="1"/>
  <c r="K163" i="1"/>
  <c r="J163" i="1"/>
  <c r="I163" i="1"/>
  <c r="C163" i="1"/>
  <c r="B163" i="1"/>
  <c r="A163" i="1"/>
  <c r="M162" i="1"/>
  <c r="L162" i="1"/>
  <c r="K162" i="1"/>
  <c r="J162" i="1"/>
  <c r="I162" i="1"/>
  <c r="C162" i="1"/>
  <c r="B162" i="1"/>
  <c r="A162" i="1"/>
  <c r="M161" i="1"/>
  <c r="L161" i="1"/>
  <c r="K161" i="1"/>
  <c r="J161" i="1"/>
  <c r="I161" i="1"/>
  <c r="C161" i="1"/>
  <c r="B161" i="1"/>
  <c r="A161" i="1"/>
  <c r="M160" i="1"/>
  <c r="L160" i="1"/>
  <c r="K160" i="1"/>
  <c r="J160" i="1"/>
  <c r="I160" i="1"/>
  <c r="C160" i="1"/>
  <c r="B160" i="1"/>
  <c r="A160" i="1"/>
  <c r="M159" i="1"/>
  <c r="L159" i="1"/>
  <c r="K159" i="1"/>
  <c r="J159" i="1"/>
  <c r="I159" i="1"/>
  <c r="C159" i="1"/>
  <c r="B159" i="1"/>
  <c r="A159" i="1"/>
  <c r="M158" i="1"/>
  <c r="L158" i="1"/>
  <c r="K158" i="1"/>
  <c r="J158" i="1"/>
  <c r="I158" i="1"/>
  <c r="C158" i="1"/>
  <c r="B158" i="1"/>
  <c r="A158" i="1"/>
  <c r="M157" i="1"/>
  <c r="L157" i="1"/>
  <c r="K157" i="1"/>
  <c r="J157" i="1"/>
  <c r="I157" i="1"/>
  <c r="C157" i="1"/>
  <c r="B157" i="1"/>
  <c r="A157" i="1"/>
  <c r="M156" i="1"/>
  <c r="L156" i="1"/>
  <c r="K156" i="1"/>
  <c r="J156" i="1"/>
  <c r="I156" i="1"/>
  <c r="C156" i="1"/>
  <c r="B156" i="1"/>
  <c r="A156" i="1"/>
  <c r="M155" i="1"/>
  <c r="L155" i="1"/>
  <c r="K155" i="1"/>
  <c r="J155" i="1"/>
  <c r="I155" i="1"/>
  <c r="C155" i="1"/>
  <c r="B155" i="1"/>
  <c r="A155" i="1"/>
  <c r="M154" i="1"/>
  <c r="L154" i="1"/>
  <c r="K154" i="1"/>
  <c r="J154" i="1"/>
  <c r="I154" i="1"/>
  <c r="C154" i="1"/>
  <c r="B154" i="1"/>
  <c r="A154" i="1"/>
  <c r="M153" i="1"/>
  <c r="L153" i="1"/>
  <c r="K153" i="1"/>
  <c r="J153" i="1"/>
  <c r="I153" i="1"/>
  <c r="C153" i="1"/>
  <c r="B153" i="1"/>
  <c r="A153" i="1"/>
  <c r="M152" i="1"/>
  <c r="L152" i="1"/>
  <c r="K152" i="1"/>
  <c r="J152" i="1"/>
  <c r="I152" i="1"/>
  <c r="C152" i="1"/>
  <c r="B152" i="1"/>
  <c r="A152" i="1"/>
  <c r="M151" i="1"/>
  <c r="L151" i="1"/>
  <c r="K151" i="1"/>
  <c r="J151" i="1"/>
  <c r="I151" i="1"/>
  <c r="C151" i="1"/>
  <c r="B151" i="1"/>
  <c r="A151" i="1"/>
  <c r="M150" i="1"/>
  <c r="L150" i="1"/>
  <c r="K150" i="1"/>
  <c r="J150" i="1"/>
  <c r="I150" i="1"/>
  <c r="C150" i="1"/>
  <c r="B150" i="1"/>
  <c r="A150" i="1"/>
  <c r="M149" i="1"/>
  <c r="L149" i="1"/>
  <c r="K149" i="1"/>
  <c r="J149" i="1"/>
  <c r="I149" i="1"/>
  <c r="C149" i="1"/>
  <c r="B149" i="1"/>
  <c r="A149" i="1"/>
  <c r="M148" i="1"/>
  <c r="L148" i="1"/>
  <c r="K148" i="1"/>
  <c r="J148" i="1"/>
  <c r="I148" i="1"/>
  <c r="C148" i="1"/>
  <c r="B148" i="1"/>
  <c r="A148" i="1"/>
  <c r="M147" i="1"/>
  <c r="L147" i="1"/>
  <c r="K147" i="1"/>
  <c r="J147" i="1"/>
  <c r="I147" i="1"/>
  <c r="C147" i="1"/>
  <c r="B147" i="1"/>
  <c r="A147" i="1"/>
  <c r="M146" i="1"/>
  <c r="L146" i="1"/>
  <c r="K146" i="1"/>
  <c r="J146" i="1"/>
  <c r="I146" i="1"/>
  <c r="C146" i="1"/>
  <c r="B146" i="1"/>
  <c r="A146" i="1"/>
  <c r="M145" i="1"/>
  <c r="L145" i="1"/>
  <c r="K145" i="1"/>
  <c r="J145" i="1"/>
  <c r="I145" i="1"/>
  <c r="C145" i="1"/>
  <c r="B145" i="1"/>
  <c r="A145" i="1"/>
  <c r="M144" i="1"/>
  <c r="L144" i="1"/>
  <c r="K144" i="1"/>
  <c r="J144" i="1"/>
  <c r="I144" i="1"/>
  <c r="C144" i="1"/>
  <c r="B144" i="1"/>
  <c r="A144" i="1"/>
  <c r="M143" i="1"/>
  <c r="L143" i="1"/>
  <c r="K143" i="1"/>
  <c r="J143" i="1"/>
  <c r="I143" i="1"/>
  <c r="C143" i="1"/>
  <c r="B143" i="1"/>
  <c r="A143" i="1"/>
  <c r="M142" i="1"/>
  <c r="L142" i="1"/>
  <c r="K142" i="1"/>
  <c r="J142" i="1"/>
  <c r="I142" i="1"/>
  <c r="C142" i="1"/>
  <c r="B142" i="1"/>
  <c r="A142" i="1"/>
  <c r="M141" i="1"/>
  <c r="L141" i="1"/>
  <c r="K141" i="1"/>
  <c r="J141" i="1"/>
  <c r="I141" i="1"/>
  <c r="C141" i="1"/>
  <c r="B141" i="1"/>
  <c r="A141" i="1"/>
  <c r="M140" i="1"/>
  <c r="L140" i="1"/>
  <c r="K140" i="1"/>
  <c r="J140" i="1"/>
  <c r="I140" i="1"/>
  <c r="C140" i="1"/>
  <c r="B140" i="1"/>
  <c r="A140" i="1"/>
  <c r="M139" i="1"/>
  <c r="L139" i="1"/>
  <c r="K139" i="1"/>
  <c r="J139" i="1"/>
  <c r="I139" i="1"/>
  <c r="C139" i="1"/>
  <c r="B139" i="1"/>
  <c r="A139" i="1"/>
  <c r="M138" i="1"/>
  <c r="L138" i="1"/>
  <c r="K138" i="1"/>
  <c r="J138" i="1"/>
  <c r="I138" i="1"/>
  <c r="C138" i="1"/>
  <c r="B138" i="1"/>
  <c r="A138" i="1"/>
  <c r="M137" i="1"/>
  <c r="L137" i="1"/>
  <c r="K137" i="1"/>
  <c r="J137" i="1"/>
  <c r="I137" i="1"/>
  <c r="C137" i="1"/>
  <c r="B137" i="1"/>
  <c r="A137" i="1"/>
  <c r="M136" i="1"/>
  <c r="L136" i="1"/>
  <c r="K136" i="1"/>
  <c r="J136" i="1"/>
  <c r="I136" i="1"/>
  <c r="C136" i="1"/>
  <c r="B136" i="1"/>
  <c r="A136" i="1"/>
  <c r="M135" i="1"/>
  <c r="L135" i="1"/>
  <c r="K135" i="1"/>
  <c r="J135" i="1"/>
  <c r="I135" i="1"/>
  <c r="C135" i="1"/>
  <c r="B135" i="1"/>
  <c r="A135" i="1"/>
  <c r="M134" i="1"/>
  <c r="L134" i="1"/>
  <c r="K134" i="1"/>
  <c r="J134" i="1"/>
  <c r="I134" i="1"/>
  <c r="C134" i="1"/>
  <c r="B134" i="1"/>
  <c r="A134" i="1"/>
  <c r="M133" i="1"/>
  <c r="L133" i="1"/>
  <c r="K133" i="1"/>
  <c r="J133" i="1"/>
  <c r="I133" i="1"/>
  <c r="C133" i="1"/>
  <c r="B133" i="1"/>
  <c r="A133" i="1"/>
  <c r="M132" i="1"/>
  <c r="L132" i="1"/>
  <c r="K132" i="1"/>
  <c r="J132" i="1"/>
  <c r="I132" i="1"/>
  <c r="C132" i="1"/>
  <c r="B132" i="1"/>
  <c r="A132" i="1"/>
  <c r="M131" i="1"/>
  <c r="L131" i="1"/>
  <c r="K131" i="1"/>
  <c r="J131" i="1"/>
  <c r="I131" i="1"/>
  <c r="C131" i="1"/>
  <c r="B131" i="1"/>
  <c r="A131" i="1"/>
  <c r="M130" i="1"/>
  <c r="L130" i="1"/>
  <c r="K130" i="1"/>
  <c r="J130" i="1"/>
  <c r="I130" i="1"/>
  <c r="C130" i="1"/>
  <c r="B130" i="1"/>
  <c r="A130" i="1"/>
  <c r="M129" i="1"/>
  <c r="L129" i="1"/>
  <c r="K129" i="1"/>
  <c r="J129" i="1"/>
  <c r="I129" i="1"/>
  <c r="C129" i="1"/>
  <c r="B129" i="1"/>
  <c r="A129" i="1"/>
  <c r="M128" i="1"/>
  <c r="L128" i="1"/>
  <c r="K128" i="1"/>
  <c r="J128" i="1"/>
  <c r="I128" i="1"/>
  <c r="C128" i="1"/>
  <c r="B128" i="1"/>
  <c r="A128" i="1"/>
  <c r="M127" i="1"/>
  <c r="L127" i="1"/>
  <c r="K127" i="1"/>
  <c r="J127" i="1"/>
  <c r="I127" i="1"/>
  <c r="C127" i="1"/>
  <c r="B127" i="1"/>
  <c r="A127" i="1"/>
  <c r="M126" i="1"/>
  <c r="L126" i="1"/>
  <c r="K126" i="1"/>
  <c r="J126" i="1"/>
  <c r="I126" i="1"/>
  <c r="C126" i="1"/>
  <c r="B126" i="1"/>
  <c r="A126" i="1"/>
  <c r="M125" i="1"/>
  <c r="L125" i="1"/>
  <c r="K125" i="1"/>
  <c r="J125" i="1"/>
  <c r="I125" i="1"/>
  <c r="C125" i="1"/>
  <c r="B125" i="1"/>
  <c r="A125" i="1"/>
  <c r="M124" i="1"/>
  <c r="L124" i="1"/>
  <c r="K124" i="1"/>
  <c r="J124" i="1"/>
  <c r="I124" i="1"/>
  <c r="C124" i="1"/>
  <c r="B124" i="1"/>
  <c r="A124" i="1"/>
  <c r="M123" i="1"/>
  <c r="L123" i="1"/>
  <c r="K123" i="1"/>
  <c r="J123" i="1"/>
  <c r="I123" i="1"/>
  <c r="C123" i="1"/>
  <c r="B123" i="1"/>
  <c r="A123" i="1"/>
  <c r="M122" i="1"/>
  <c r="L122" i="1"/>
  <c r="K122" i="1"/>
  <c r="J122" i="1"/>
  <c r="I122" i="1"/>
  <c r="C122" i="1"/>
  <c r="B122" i="1"/>
  <c r="A122" i="1"/>
  <c r="M121" i="1"/>
  <c r="L121" i="1"/>
  <c r="K121" i="1"/>
  <c r="J121" i="1"/>
  <c r="I121" i="1"/>
  <c r="C121" i="1"/>
  <c r="B121" i="1"/>
  <c r="A121" i="1"/>
  <c r="M120" i="1"/>
  <c r="L120" i="1"/>
  <c r="K120" i="1"/>
  <c r="J120" i="1"/>
  <c r="I120" i="1"/>
  <c r="C120" i="1"/>
  <c r="B120" i="1"/>
  <c r="A120" i="1"/>
  <c r="M119" i="1"/>
  <c r="L119" i="1"/>
  <c r="K119" i="1"/>
  <c r="J119" i="1"/>
  <c r="I119" i="1"/>
  <c r="C119" i="1"/>
  <c r="B119" i="1"/>
  <c r="A119" i="1"/>
  <c r="M118" i="1"/>
  <c r="L118" i="1"/>
  <c r="K118" i="1"/>
  <c r="J118" i="1"/>
  <c r="I118" i="1"/>
  <c r="C118" i="1"/>
  <c r="B118" i="1"/>
  <c r="A118" i="1"/>
  <c r="M117" i="1"/>
  <c r="L117" i="1"/>
  <c r="K117" i="1"/>
  <c r="J117" i="1"/>
  <c r="I117" i="1"/>
  <c r="C117" i="1"/>
  <c r="B117" i="1"/>
  <c r="A117" i="1"/>
  <c r="M116" i="1"/>
  <c r="L116" i="1"/>
  <c r="K116" i="1"/>
  <c r="J116" i="1"/>
  <c r="I116" i="1"/>
  <c r="C116" i="1"/>
  <c r="B116" i="1"/>
  <c r="A116" i="1"/>
  <c r="M115" i="1"/>
  <c r="L115" i="1"/>
  <c r="K115" i="1"/>
  <c r="J115" i="1"/>
  <c r="I115" i="1"/>
  <c r="C115" i="1"/>
  <c r="B115" i="1"/>
  <c r="A115" i="1"/>
  <c r="M114" i="1"/>
  <c r="L114" i="1"/>
  <c r="K114" i="1"/>
  <c r="J114" i="1"/>
  <c r="I114" i="1"/>
  <c r="C114" i="1"/>
  <c r="B114" i="1"/>
  <c r="A114" i="1"/>
  <c r="M113" i="1"/>
  <c r="L113" i="1"/>
  <c r="K113" i="1"/>
  <c r="J113" i="1"/>
  <c r="I113" i="1"/>
  <c r="C113" i="1"/>
  <c r="B113" i="1"/>
  <c r="A113" i="1"/>
  <c r="M112" i="1"/>
  <c r="L112" i="1"/>
  <c r="K112" i="1"/>
  <c r="J112" i="1"/>
  <c r="I112" i="1"/>
  <c r="C112" i="1"/>
  <c r="B112" i="1"/>
  <c r="A112" i="1"/>
  <c r="M111" i="1"/>
  <c r="L111" i="1"/>
  <c r="K111" i="1"/>
  <c r="J111" i="1"/>
  <c r="I111" i="1"/>
  <c r="C111" i="1"/>
  <c r="B111" i="1"/>
  <c r="A111" i="1"/>
  <c r="M110" i="1"/>
  <c r="L110" i="1"/>
  <c r="K110" i="1"/>
  <c r="J110" i="1"/>
  <c r="I110" i="1"/>
  <c r="C110" i="1"/>
  <c r="B110" i="1"/>
  <c r="A110" i="1"/>
  <c r="M109" i="1"/>
  <c r="L109" i="1"/>
  <c r="K109" i="1"/>
  <c r="J109" i="1"/>
  <c r="I109" i="1"/>
  <c r="C109" i="1"/>
  <c r="B109" i="1"/>
  <c r="A109" i="1"/>
  <c r="M108" i="1"/>
  <c r="L108" i="1"/>
  <c r="K108" i="1"/>
  <c r="J108" i="1"/>
  <c r="I108" i="1"/>
  <c r="C108" i="1"/>
  <c r="B108" i="1"/>
  <c r="A108" i="1"/>
  <c r="M107" i="1"/>
  <c r="L107" i="1"/>
  <c r="K107" i="1"/>
  <c r="J107" i="1"/>
  <c r="I107" i="1"/>
  <c r="C107" i="1"/>
  <c r="B107" i="1"/>
  <c r="A107" i="1"/>
  <c r="M106" i="1"/>
  <c r="L106" i="1"/>
  <c r="K106" i="1"/>
  <c r="J106" i="1"/>
  <c r="I106" i="1"/>
  <c r="C106" i="1"/>
  <c r="B106" i="1"/>
  <c r="A106" i="1"/>
  <c r="M105" i="1"/>
  <c r="L105" i="1"/>
  <c r="K105" i="1"/>
  <c r="J105" i="1"/>
  <c r="I105" i="1"/>
  <c r="C105" i="1"/>
  <c r="B105" i="1"/>
  <c r="A105" i="1"/>
  <c r="M104" i="1"/>
  <c r="L104" i="1"/>
  <c r="K104" i="1"/>
  <c r="J104" i="1"/>
  <c r="I104" i="1"/>
  <c r="C104" i="1"/>
  <c r="B104" i="1"/>
  <c r="A104" i="1"/>
  <c r="M103" i="1"/>
  <c r="L103" i="1"/>
  <c r="K103" i="1"/>
  <c r="J103" i="1"/>
  <c r="I103" i="1"/>
  <c r="C103" i="1"/>
  <c r="B103" i="1"/>
  <c r="A103" i="1"/>
  <c r="M102" i="1"/>
  <c r="L102" i="1"/>
  <c r="K102" i="1"/>
  <c r="J102" i="1"/>
  <c r="I102" i="1"/>
  <c r="C102" i="1"/>
  <c r="B102" i="1"/>
  <c r="A102" i="1"/>
  <c r="M101" i="1"/>
  <c r="L101" i="1"/>
  <c r="K101" i="1"/>
  <c r="J101" i="1"/>
  <c r="I101" i="1"/>
  <c r="C101" i="1"/>
  <c r="B101" i="1"/>
  <c r="A101" i="1"/>
  <c r="M100" i="1"/>
  <c r="L100" i="1"/>
  <c r="K100" i="1"/>
  <c r="J100" i="1"/>
  <c r="I100" i="1"/>
  <c r="C100" i="1"/>
  <c r="B100" i="1"/>
  <c r="A100" i="1"/>
  <c r="M99" i="1"/>
  <c r="L99" i="1"/>
  <c r="K99" i="1"/>
  <c r="J99" i="1"/>
  <c r="I99" i="1"/>
  <c r="C99" i="1"/>
  <c r="B99" i="1"/>
  <c r="A99" i="1"/>
  <c r="M98" i="1"/>
  <c r="L98" i="1"/>
  <c r="K98" i="1"/>
  <c r="J98" i="1"/>
  <c r="I98" i="1"/>
  <c r="C98" i="1"/>
  <c r="B98" i="1"/>
  <c r="A98" i="1"/>
  <c r="M97" i="1"/>
  <c r="L97" i="1"/>
  <c r="K97" i="1"/>
  <c r="J97" i="1"/>
  <c r="I97" i="1"/>
  <c r="C97" i="1"/>
  <c r="B97" i="1"/>
  <c r="A97" i="1"/>
  <c r="M96" i="1"/>
  <c r="L96" i="1"/>
  <c r="K96" i="1"/>
  <c r="J96" i="1"/>
  <c r="I96" i="1"/>
  <c r="C96" i="1"/>
  <c r="B96" i="1"/>
  <c r="A96" i="1"/>
  <c r="M95" i="1"/>
  <c r="L95" i="1"/>
  <c r="K95" i="1"/>
  <c r="J95" i="1"/>
  <c r="I95" i="1"/>
  <c r="C95" i="1"/>
  <c r="B95" i="1"/>
  <c r="A95" i="1"/>
  <c r="M94" i="1"/>
  <c r="L94" i="1"/>
  <c r="K94" i="1"/>
  <c r="J94" i="1"/>
  <c r="I94" i="1"/>
  <c r="C94" i="1"/>
  <c r="B94" i="1"/>
  <c r="A94" i="1"/>
  <c r="M93" i="1"/>
  <c r="L93" i="1"/>
  <c r="K93" i="1"/>
  <c r="J93" i="1"/>
  <c r="I93" i="1"/>
  <c r="C93" i="1"/>
  <c r="B93" i="1"/>
  <c r="A93" i="1"/>
  <c r="M92" i="1"/>
  <c r="L92" i="1"/>
  <c r="K92" i="1"/>
  <c r="J92" i="1"/>
  <c r="I92" i="1"/>
  <c r="C92" i="1"/>
  <c r="B92" i="1"/>
  <c r="A92" i="1"/>
  <c r="M91" i="1"/>
  <c r="L91" i="1"/>
  <c r="K91" i="1"/>
  <c r="J91" i="1"/>
  <c r="I91" i="1"/>
  <c r="C91" i="1"/>
  <c r="B91" i="1"/>
  <c r="A91" i="1"/>
  <c r="M90" i="1"/>
  <c r="L90" i="1"/>
  <c r="K90" i="1"/>
  <c r="J90" i="1"/>
  <c r="I90" i="1"/>
  <c r="C90" i="1"/>
  <c r="B90" i="1"/>
  <c r="A90" i="1"/>
  <c r="M89" i="1"/>
  <c r="L89" i="1"/>
  <c r="K89" i="1"/>
  <c r="J89" i="1"/>
  <c r="I89" i="1"/>
  <c r="C89" i="1"/>
  <c r="B89" i="1"/>
  <c r="A89" i="1"/>
  <c r="M88" i="1"/>
  <c r="L88" i="1"/>
  <c r="K88" i="1"/>
  <c r="J88" i="1"/>
  <c r="I88" i="1"/>
  <c r="C88" i="1"/>
  <c r="B88" i="1"/>
  <c r="A88" i="1"/>
  <c r="M87" i="1"/>
  <c r="L87" i="1"/>
  <c r="K87" i="1"/>
  <c r="J87" i="1"/>
  <c r="I87" i="1"/>
  <c r="C87" i="1"/>
  <c r="B87" i="1"/>
  <c r="A87" i="1"/>
  <c r="M86" i="1"/>
  <c r="L86" i="1"/>
  <c r="K86" i="1"/>
  <c r="J86" i="1"/>
  <c r="I86" i="1"/>
  <c r="C86" i="1"/>
  <c r="B86" i="1"/>
  <c r="A86" i="1"/>
  <c r="M85" i="1"/>
  <c r="L85" i="1"/>
  <c r="K85" i="1"/>
  <c r="J85" i="1"/>
  <c r="I85" i="1"/>
  <c r="C85" i="1"/>
  <c r="B85" i="1"/>
  <c r="A85" i="1"/>
  <c r="M84" i="1"/>
  <c r="L84" i="1"/>
  <c r="K84" i="1"/>
  <c r="J84" i="1"/>
  <c r="I84" i="1"/>
  <c r="C84" i="1"/>
  <c r="B84" i="1"/>
  <c r="A84" i="1"/>
  <c r="M83" i="1"/>
  <c r="L83" i="1"/>
  <c r="K83" i="1"/>
  <c r="J83" i="1"/>
  <c r="I83" i="1"/>
  <c r="C83" i="1"/>
  <c r="B83" i="1"/>
  <c r="A83" i="1"/>
  <c r="M82" i="1"/>
  <c r="L82" i="1"/>
  <c r="K82" i="1"/>
  <c r="J82" i="1"/>
  <c r="I82" i="1"/>
  <c r="C82" i="1"/>
  <c r="B82" i="1"/>
  <c r="A82" i="1"/>
  <c r="M81" i="1"/>
  <c r="L81" i="1"/>
  <c r="K81" i="1"/>
  <c r="J81" i="1"/>
  <c r="I81" i="1"/>
  <c r="C81" i="1"/>
  <c r="B81" i="1"/>
  <c r="A81" i="1"/>
  <c r="M80" i="1"/>
  <c r="L80" i="1"/>
  <c r="K80" i="1"/>
  <c r="J80" i="1"/>
  <c r="I80" i="1"/>
  <c r="C80" i="1"/>
  <c r="B80" i="1"/>
  <c r="A80" i="1"/>
  <c r="M79" i="1"/>
  <c r="L79" i="1"/>
  <c r="K79" i="1"/>
  <c r="J79" i="1"/>
  <c r="I79" i="1"/>
  <c r="C79" i="1"/>
  <c r="B79" i="1"/>
  <c r="A79" i="1"/>
  <c r="M78" i="1"/>
  <c r="L78" i="1"/>
  <c r="K78" i="1"/>
  <c r="J78" i="1"/>
  <c r="I78" i="1"/>
  <c r="C78" i="1"/>
  <c r="B78" i="1"/>
  <c r="A78" i="1"/>
  <c r="M77" i="1"/>
  <c r="L77" i="1"/>
  <c r="K77" i="1"/>
  <c r="J77" i="1"/>
  <c r="I77" i="1"/>
  <c r="C77" i="1"/>
  <c r="B77" i="1"/>
  <c r="A77" i="1"/>
  <c r="M76" i="1"/>
  <c r="L76" i="1"/>
  <c r="K76" i="1"/>
  <c r="J76" i="1"/>
  <c r="I76" i="1"/>
  <c r="C76" i="1"/>
  <c r="B76" i="1"/>
  <c r="A76" i="1"/>
  <c r="M75" i="1"/>
  <c r="L75" i="1"/>
  <c r="K75" i="1"/>
  <c r="J75" i="1"/>
  <c r="I75" i="1"/>
  <c r="C75" i="1"/>
  <c r="B75" i="1"/>
  <c r="A75" i="1"/>
  <c r="M74" i="1"/>
  <c r="L74" i="1"/>
  <c r="K74" i="1"/>
  <c r="J74" i="1"/>
  <c r="I74" i="1"/>
  <c r="C74" i="1"/>
  <c r="B74" i="1"/>
  <c r="A74" i="1"/>
  <c r="M73" i="1"/>
  <c r="L73" i="1"/>
  <c r="K73" i="1"/>
  <c r="J73" i="1"/>
  <c r="I73" i="1"/>
  <c r="C73" i="1"/>
  <c r="B73" i="1"/>
  <c r="A73" i="1"/>
  <c r="M72" i="1"/>
  <c r="L72" i="1"/>
  <c r="K72" i="1"/>
  <c r="J72" i="1"/>
  <c r="I72" i="1"/>
  <c r="C72" i="1"/>
  <c r="B72" i="1"/>
  <c r="A72" i="1"/>
  <c r="M71" i="1"/>
  <c r="L71" i="1"/>
  <c r="K71" i="1"/>
  <c r="J71" i="1"/>
  <c r="I71" i="1"/>
  <c r="C71" i="1"/>
  <c r="B71" i="1"/>
  <c r="A71" i="1"/>
  <c r="M70" i="1"/>
  <c r="L70" i="1"/>
  <c r="K70" i="1"/>
  <c r="J70" i="1"/>
  <c r="I70" i="1"/>
  <c r="C70" i="1"/>
  <c r="B70" i="1"/>
  <c r="A70" i="1"/>
  <c r="M69" i="1"/>
  <c r="L69" i="1"/>
  <c r="K69" i="1"/>
  <c r="J69" i="1"/>
  <c r="I69" i="1"/>
  <c r="C69" i="1"/>
  <c r="B69" i="1"/>
  <c r="A69" i="1"/>
  <c r="M68" i="1"/>
  <c r="L68" i="1"/>
  <c r="K68" i="1"/>
  <c r="J68" i="1"/>
  <c r="I68" i="1"/>
  <c r="C68" i="1"/>
  <c r="B68" i="1"/>
  <c r="A68" i="1"/>
  <c r="M67" i="1"/>
  <c r="L67" i="1"/>
  <c r="K67" i="1"/>
  <c r="J67" i="1"/>
  <c r="I67" i="1"/>
  <c r="C67" i="1"/>
  <c r="B67" i="1"/>
  <c r="A67" i="1"/>
  <c r="M66" i="1"/>
  <c r="L66" i="1"/>
  <c r="K66" i="1"/>
  <c r="J66" i="1"/>
  <c r="I66" i="1"/>
  <c r="C66" i="1"/>
  <c r="B66" i="1"/>
  <c r="A66" i="1"/>
  <c r="M65" i="1"/>
  <c r="L65" i="1"/>
  <c r="K65" i="1"/>
  <c r="J65" i="1"/>
  <c r="I65" i="1"/>
  <c r="C65" i="1"/>
  <c r="B65" i="1"/>
  <c r="A65" i="1"/>
  <c r="M64" i="1"/>
  <c r="L64" i="1"/>
  <c r="K64" i="1"/>
  <c r="J64" i="1"/>
  <c r="I64" i="1"/>
  <c r="C64" i="1"/>
  <c r="B64" i="1"/>
  <c r="A64" i="1"/>
  <c r="M63" i="1"/>
  <c r="L63" i="1"/>
  <c r="K63" i="1"/>
  <c r="J63" i="1"/>
  <c r="I63" i="1"/>
  <c r="C63" i="1"/>
  <c r="B63" i="1"/>
  <c r="A63" i="1"/>
  <c r="M62" i="1"/>
  <c r="L62" i="1"/>
  <c r="K62" i="1"/>
  <c r="J62" i="1"/>
  <c r="I62" i="1"/>
  <c r="C62" i="1"/>
  <c r="B62" i="1"/>
  <c r="A62" i="1"/>
  <c r="M61" i="1"/>
  <c r="L61" i="1"/>
  <c r="K61" i="1"/>
  <c r="J61" i="1"/>
  <c r="I61" i="1"/>
  <c r="C61" i="1"/>
  <c r="B61" i="1"/>
  <c r="A61" i="1"/>
  <c r="M60" i="1"/>
  <c r="L60" i="1"/>
  <c r="K60" i="1"/>
  <c r="J60" i="1"/>
  <c r="I60" i="1"/>
  <c r="C60" i="1"/>
  <c r="B60" i="1"/>
  <c r="A60" i="1"/>
  <c r="M59" i="1"/>
  <c r="L59" i="1"/>
  <c r="K59" i="1"/>
  <c r="J59" i="1"/>
  <c r="I59" i="1"/>
  <c r="C59" i="1"/>
  <c r="B59" i="1"/>
  <c r="A59" i="1"/>
  <c r="M58" i="1"/>
  <c r="L58" i="1"/>
  <c r="K58" i="1"/>
  <c r="J58" i="1"/>
  <c r="I58" i="1"/>
  <c r="C58" i="1"/>
  <c r="B58" i="1"/>
  <c r="A58" i="1"/>
  <c r="M57" i="1"/>
  <c r="L57" i="1"/>
  <c r="K57" i="1"/>
  <c r="J57" i="1"/>
  <c r="I57" i="1"/>
  <c r="C57" i="1"/>
  <c r="B57" i="1"/>
  <c r="A57" i="1"/>
  <c r="M56" i="1"/>
  <c r="L56" i="1"/>
  <c r="K56" i="1"/>
  <c r="J56" i="1"/>
  <c r="I56" i="1"/>
  <c r="C56" i="1"/>
  <c r="B56" i="1"/>
  <c r="A56" i="1"/>
  <c r="M55" i="1"/>
  <c r="L55" i="1"/>
  <c r="K55" i="1"/>
  <c r="J55" i="1"/>
  <c r="I55" i="1"/>
  <c r="C55" i="1"/>
  <c r="B55" i="1"/>
  <c r="A55" i="1"/>
  <c r="M54" i="1"/>
  <c r="L54" i="1"/>
  <c r="K54" i="1"/>
  <c r="J54" i="1"/>
  <c r="I54" i="1"/>
  <c r="C54" i="1"/>
  <c r="B54" i="1"/>
  <c r="A54" i="1"/>
  <c r="M53" i="1"/>
  <c r="L53" i="1"/>
  <c r="K53" i="1"/>
  <c r="J53" i="1"/>
  <c r="I53" i="1"/>
  <c r="C53" i="1"/>
  <c r="B53" i="1"/>
  <c r="A53" i="1"/>
  <c r="M52" i="1"/>
  <c r="L52" i="1"/>
  <c r="K52" i="1"/>
  <c r="J52" i="1"/>
  <c r="I52" i="1"/>
  <c r="C52" i="1"/>
  <c r="B52" i="1"/>
  <c r="A52" i="1"/>
  <c r="M51" i="1"/>
  <c r="L51" i="1"/>
  <c r="K51" i="1"/>
  <c r="J51" i="1"/>
  <c r="I51" i="1"/>
  <c r="C51" i="1"/>
  <c r="B51" i="1"/>
  <c r="A51" i="1"/>
  <c r="M50" i="1"/>
  <c r="L50" i="1"/>
  <c r="K50" i="1"/>
  <c r="J50" i="1"/>
  <c r="I50" i="1"/>
  <c r="C50" i="1"/>
  <c r="B50" i="1"/>
  <c r="A50" i="1"/>
  <c r="M49" i="1"/>
  <c r="L49" i="1"/>
  <c r="K49" i="1"/>
  <c r="J49" i="1"/>
  <c r="I49" i="1"/>
  <c r="C49" i="1"/>
  <c r="B49" i="1"/>
  <c r="A49" i="1"/>
  <c r="M48" i="1"/>
  <c r="L48" i="1"/>
  <c r="K48" i="1"/>
  <c r="J48" i="1"/>
  <c r="I48" i="1"/>
  <c r="C48" i="1"/>
  <c r="B48" i="1"/>
  <c r="A48" i="1"/>
  <c r="M47" i="1"/>
  <c r="L47" i="1"/>
  <c r="K47" i="1"/>
  <c r="J47" i="1"/>
  <c r="I47" i="1"/>
  <c r="C47" i="1"/>
  <c r="B47" i="1"/>
  <c r="A47" i="1"/>
  <c r="M46" i="1"/>
  <c r="L46" i="1"/>
  <c r="K46" i="1"/>
  <c r="J46" i="1"/>
  <c r="I46" i="1"/>
  <c r="C46" i="1"/>
  <c r="B46" i="1"/>
  <c r="A46" i="1"/>
  <c r="M45" i="1"/>
  <c r="L45" i="1"/>
  <c r="K45" i="1"/>
  <c r="J45" i="1"/>
  <c r="I45" i="1"/>
  <c r="C45" i="1"/>
  <c r="B45" i="1"/>
  <c r="A45" i="1"/>
  <c r="M44" i="1"/>
  <c r="L44" i="1"/>
  <c r="K44" i="1"/>
  <c r="J44" i="1"/>
  <c r="I44" i="1"/>
  <c r="C44" i="1"/>
  <c r="B44" i="1"/>
  <c r="A44" i="1"/>
  <c r="M43" i="1"/>
  <c r="L43" i="1"/>
  <c r="K43" i="1"/>
  <c r="J43" i="1"/>
  <c r="I43" i="1"/>
  <c r="C43" i="1"/>
  <c r="B43" i="1"/>
  <c r="A43" i="1"/>
  <c r="M42" i="1"/>
  <c r="L42" i="1"/>
  <c r="K42" i="1"/>
  <c r="J42" i="1"/>
  <c r="I42" i="1"/>
  <c r="C42" i="1"/>
  <c r="B42" i="1"/>
  <c r="A42" i="1"/>
  <c r="M41" i="1"/>
  <c r="L41" i="1"/>
  <c r="K41" i="1"/>
  <c r="J41" i="1"/>
  <c r="I41" i="1"/>
  <c r="C41" i="1"/>
  <c r="B41" i="1"/>
  <c r="A41" i="1"/>
  <c r="M40" i="1"/>
  <c r="L40" i="1"/>
  <c r="K40" i="1"/>
  <c r="J40" i="1"/>
  <c r="I40" i="1"/>
  <c r="C40" i="1"/>
  <c r="B40" i="1"/>
  <c r="A40" i="1"/>
  <c r="M39" i="1"/>
  <c r="L39" i="1"/>
  <c r="K39" i="1"/>
  <c r="J39" i="1"/>
  <c r="I39" i="1"/>
  <c r="C39" i="1"/>
  <c r="B39" i="1"/>
  <c r="A39" i="1"/>
  <c r="M38" i="1"/>
  <c r="L38" i="1"/>
  <c r="K38" i="1"/>
  <c r="J38" i="1"/>
  <c r="I38" i="1"/>
  <c r="C38" i="1"/>
  <c r="B38" i="1"/>
  <c r="A38" i="1"/>
  <c r="M37" i="1"/>
  <c r="L37" i="1"/>
  <c r="K37" i="1"/>
  <c r="J37" i="1"/>
  <c r="I37" i="1"/>
  <c r="C37" i="1"/>
  <c r="B37" i="1"/>
  <c r="A37" i="1"/>
  <c r="M36" i="1"/>
  <c r="L36" i="1"/>
  <c r="K36" i="1"/>
  <c r="J36" i="1"/>
  <c r="I36" i="1"/>
  <c r="C36" i="1"/>
  <c r="B36" i="1"/>
  <c r="A36" i="1"/>
  <c r="M35" i="1"/>
  <c r="L35" i="1"/>
  <c r="K35" i="1"/>
  <c r="J35" i="1"/>
  <c r="I35" i="1"/>
  <c r="C35" i="1"/>
  <c r="B35" i="1"/>
  <c r="A35" i="1"/>
  <c r="M34" i="1"/>
  <c r="L34" i="1"/>
  <c r="K34" i="1"/>
  <c r="J34" i="1"/>
  <c r="I34" i="1"/>
  <c r="C34" i="1"/>
  <c r="B34" i="1"/>
  <c r="A34" i="1"/>
  <c r="M33" i="1"/>
  <c r="L33" i="1"/>
  <c r="K33" i="1"/>
  <c r="J33" i="1"/>
  <c r="I33" i="1"/>
  <c r="C33" i="1"/>
  <c r="B33" i="1"/>
  <c r="A33" i="1"/>
  <c r="M32" i="1"/>
  <c r="L32" i="1"/>
  <c r="K32" i="1"/>
  <c r="J32" i="1"/>
  <c r="I32" i="1"/>
  <c r="C32" i="1"/>
  <c r="B32" i="1"/>
  <c r="A32" i="1"/>
  <c r="M31" i="1"/>
  <c r="L31" i="1"/>
  <c r="K31" i="1"/>
  <c r="J31" i="1"/>
  <c r="I31" i="1"/>
  <c r="C31" i="1"/>
  <c r="B31" i="1"/>
  <c r="A31" i="1"/>
  <c r="M30" i="1"/>
  <c r="L30" i="1"/>
  <c r="K30" i="1"/>
  <c r="J30" i="1"/>
  <c r="I30" i="1"/>
  <c r="C30" i="1"/>
  <c r="B30" i="1"/>
  <c r="A30" i="1"/>
  <c r="M29" i="1"/>
  <c r="L29" i="1"/>
  <c r="K29" i="1"/>
  <c r="J29" i="1"/>
  <c r="I29" i="1"/>
  <c r="C29" i="1"/>
  <c r="B29" i="1"/>
  <c r="A29" i="1"/>
  <c r="M28" i="1"/>
  <c r="L28" i="1"/>
  <c r="K28" i="1"/>
  <c r="J28" i="1"/>
  <c r="I28" i="1"/>
  <c r="C28" i="1"/>
  <c r="B28" i="1"/>
  <c r="A28" i="1"/>
  <c r="M27" i="1"/>
  <c r="L27" i="1"/>
  <c r="K27" i="1"/>
  <c r="J27" i="1"/>
  <c r="I27" i="1"/>
  <c r="C27" i="1"/>
  <c r="B27" i="1"/>
  <c r="A27" i="1"/>
  <c r="M26" i="1"/>
  <c r="L26" i="1"/>
  <c r="K26" i="1"/>
  <c r="J26" i="1"/>
  <c r="I26" i="1"/>
  <c r="C26" i="1"/>
  <c r="B26" i="1"/>
  <c r="A26" i="1"/>
  <c r="M25" i="1"/>
  <c r="L25" i="1"/>
  <c r="K25" i="1"/>
  <c r="J25" i="1"/>
  <c r="I25" i="1"/>
  <c r="C25" i="1"/>
  <c r="B25" i="1"/>
  <c r="A25" i="1"/>
  <c r="M24" i="1"/>
  <c r="L24" i="1"/>
  <c r="K24" i="1"/>
  <c r="J24" i="1"/>
  <c r="I24" i="1"/>
  <c r="C24" i="1"/>
  <c r="B24" i="1"/>
  <c r="A24" i="1"/>
  <c r="M23" i="1"/>
  <c r="L23" i="1"/>
  <c r="K23" i="1"/>
  <c r="J23" i="1"/>
  <c r="I23" i="1"/>
  <c r="C23" i="1"/>
  <c r="B23" i="1"/>
  <c r="A23" i="1"/>
  <c r="M22" i="1"/>
  <c r="L22" i="1"/>
  <c r="K22" i="1"/>
  <c r="J22" i="1"/>
  <c r="I22" i="1"/>
  <c r="C22" i="1"/>
  <c r="B22" i="1"/>
  <c r="A22" i="1"/>
  <c r="M21" i="1"/>
  <c r="L21" i="1"/>
  <c r="K21" i="1"/>
  <c r="J21" i="1"/>
  <c r="I21" i="1"/>
  <c r="C21" i="1"/>
  <c r="B21" i="1"/>
  <c r="A21" i="1"/>
  <c r="M20" i="1"/>
  <c r="L20" i="1"/>
  <c r="K20" i="1"/>
  <c r="J20" i="1"/>
  <c r="I20" i="1"/>
  <c r="C20" i="1"/>
  <c r="B20" i="1"/>
  <c r="A20" i="1"/>
  <c r="M19" i="1"/>
  <c r="L19" i="1"/>
  <c r="K19" i="1"/>
  <c r="J19" i="1"/>
  <c r="I19" i="1"/>
  <c r="C19" i="1"/>
  <c r="B19" i="1"/>
  <c r="A19" i="1"/>
  <c r="M18" i="1"/>
  <c r="L18" i="1"/>
  <c r="K18" i="1"/>
  <c r="J18" i="1"/>
  <c r="I18" i="1"/>
  <c r="C18" i="1"/>
  <c r="B18" i="1"/>
  <c r="A18" i="1"/>
  <c r="M17" i="1"/>
  <c r="L17" i="1"/>
  <c r="K17" i="1"/>
  <c r="J17" i="1"/>
  <c r="I17" i="1"/>
  <c r="C17" i="1"/>
  <c r="B17" i="1"/>
  <c r="A17" i="1"/>
  <c r="M16" i="1"/>
  <c r="L16" i="1"/>
  <c r="K16" i="1"/>
  <c r="J16" i="1"/>
  <c r="I16" i="1"/>
  <c r="C16" i="1"/>
  <c r="B16" i="1"/>
  <c r="A16" i="1"/>
  <c r="M15" i="1"/>
  <c r="L15" i="1"/>
  <c r="K15" i="1"/>
  <c r="J15" i="1"/>
  <c r="I15" i="1"/>
  <c r="C15" i="1"/>
  <c r="B15" i="1"/>
  <c r="A15" i="1"/>
  <c r="M14" i="1"/>
  <c r="L14" i="1"/>
  <c r="K14" i="1"/>
  <c r="J14" i="1"/>
  <c r="I14" i="1"/>
  <c r="C14" i="1"/>
  <c r="B14" i="1"/>
  <c r="A14" i="1"/>
  <c r="M13" i="1"/>
  <c r="L13" i="1"/>
  <c r="K13" i="1"/>
  <c r="J13" i="1"/>
  <c r="I13" i="1"/>
  <c r="C13" i="1"/>
  <c r="B13" i="1"/>
  <c r="A13" i="1"/>
  <c r="M12" i="1"/>
  <c r="L12" i="1"/>
  <c r="K12" i="1"/>
  <c r="J12" i="1"/>
  <c r="I12" i="1"/>
  <c r="C12" i="1"/>
  <c r="B12" i="1"/>
  <c r="A12" i="1"/>
  <c r="M11" i="1"/>
  <c r="L11" i="1"/>
  <c r="K11" i="1"/>
  <c r="J11" i="1"/>
  <c r="I11" i="1"/>
  <c r="C11" i="1"/>
  <c r="B11" i="1"/>
  <c r="A11" i="1"/>
  <c r="M10" i="1"/>
  <c r="L10" i="1"/>
  <c r="K10" i="1"/>
  <c r="J10" i="1"/>
  <c r="I10" i="1"/>
  <c r="C10" i="1"/>
  <c r="B10" i="1"/>
  <c r="A10" i="1"/>
  <c r="M9" i="1"/>
  <c r="L9" i="1"/>
  <c r="K9" i="1"/>
  <c r="J9" i="1"/>
  <c r="I9" i="1"/>
  <c r="C9" i="1"/>
  <c r="B9" i="1"/>
  <c r="A9" i="1"/>
  <c r="M8" i="1"/>
  <c r="L8" i="1"/>
  <c r="K8" i="1"/>
  <c r="J8" i="1"/>
  <c r="I8" i="1"/>
  <c r="C8" i="1"/>
  <c r="B8" i="1"/>
  <c r="A8" i="1"/>
  <c r="M7" i="1"/>
  <c r="L7" i="1"/>
  <c r="K7" i="1"/>
  <c r="J7" i="1"/>
  <c r="I7" i="1"/>
  <c r="C7" i="1"/>
  <c r="B7" i="1"/>
  <c r="A7" i="1"/>
  <c r="M6" i="1"/>
  <c r="L6" i="1"/>
  <c r="K6" i="1"/>
  <c r="J6" i="1"/>
  <c r="I6" i="1"/>
  <c r="C6" i="1"/>
  <c r="B6" i="1"/>
  <c r="A6" i="1"/>
  <c r="M5" i="1"/>
  <c r="L5" i="1"/>
  <c r="K5" i="1"/>
  <c r="J5" i="1"/>
  <c r="I5" i="1"/>
  <c r="C5" i="1"/>
  <c r="B5" i="1"/>
  <c r="A5" i="1"/>
  <c r="M4" i="1"/>
  <c r="L4" i="1"/>
  <c r="K4" i="1"/>
  <c r="J4" i="1"/>
  <c r="I4" i="1"/>
  <c r="C4" i="1"/>
  <c r="B4" i="1"/>
  <c r="A4" i="1"/>
  <c r="M3" i="1"/>
  <c r="L3" i="1"/>
  <c r="K3" i="1"/>
  <c r="J3" i="1"/>
  <c r="I3" i="1"/>
  <c r="C3" i="1"/>
  <c r="B3" i="1"/>
  <c r="A3" i="1"/>
  <c r="M2" i="1"/>
  <c r="L2" i="1"/>
  <c r="K2" i="1"/>
  <c r="J2" i="1"/>
  <c r="I2" i="1"/>
  <c r="C2" i="1"/>
  <c r="B2" i="1"/>
  <c r="A2" i="1"/>
</calcChain>
</file>

<file path=xl/sharedStrings.xml><?xml version="1.0" encoding="utf-8"?>
<sst xmlns="http://schemas.openxmlformats.org/spreadsheetml/2006/main" count="99" uniqueCount="78">
  <si>
    <t>Farm ID</t>
  </si>
  <si>
    <t>InspectorID</t>
  </si>
  <si>
    <t>Village/Epiunit code</t>
  </si>
  <si>
    <t>Entered by</t>
  </si>
  <si>
    <t>Year</t>
  </si>
  <si>
    <t>Month</t>
  </si>
  <si>
    <t>Day</t>
  </si>
  <si>
    <t>Cattle</t>
  </si>
  <si>
    <t>Sheep</t>
  </si>
  <si>
    <t>Goats</t>
  </si>
  <si>
    <t>Pigs</t>
  </si>
  <si>
    <t>W Buffalo</t>
  </si>
  <si>
    <t>Cattle clin exam</t>
  </si>
  <si>
    <t>Cattle clin pos FMD</t>
  </si>
  <si>
    <t>Cattle clin pos LSD</t>
  </si>
  <si>
    <t>Sheep clin exam</t>
  </si>
  <si>
    <t>Sheep clin pos FMD</t>
  </si>
  <si>
    <t>Sheep clin pos SGP</t>
  </si>
  <si>
    <t>Sheep clin pos PPR</t>
  </si>
  <si>
    <t>Goats clin exam</t>
  </si>
  <si>
    <t>Goats clin pos FMD</t>
  </si>
  <si>
    <t>Goats clin pos SGP</t>
  </si>
  <si>
    <t>Goats clin pos PPR</t>
  </si>
  <si>
    <t>Buffalo clin exam</t>
  </si>
  <si>
    <t>Buffalo clin pos FMD</t>
  </si>
  <si>
    <t>Buffalo clin pos LSD</t>
  </si>
  <si>
    <t>Cattle smpl</t>
  </si>
  <si>
    <t>Cattle sero pos FMD</t>
  </si>
  <si>
    <t>Cattle pos LSD</t>
  </si>
  <si>
    <t>Sheep smpl</t>
  </si>
  <si>
    <t>Sheep sero pos FMD</t>
  </si>
  <si>
    <t>Sheep test pos SGP</t>
  </si>
  <si>
    <t>Sheep sero pos PPR</t>
  </si>
  <si>
    <t>Goats smpl</t>
  </si>
  <si>
    <t>Goats sero pos FMD</t>
  </si>
  <si>
    <t>Goats test pos SGP</t>
  </si>
  <si>
    <t>Goat sero pos PPR</t>
  </si>
  <si>
    <t>Pigs smpl</t>
  </si>
  <si>
    <t>Pigs sero pos FMD</t>
  </si>
  <si>
    <t>Buffalo smpl</t>
  </si>
  <si>
    <t>Buffalo sero pos FMD</t>
  </si>
  <si>
    <t>Buffalo test pos LSD</t>
  </si>
  <si>
    <t>Wild smpl</t>
  </si>
  <si>
    <t>Wild sero pos FMD</t>
  </si>
  <si>
    <t>aa</t>
  </si>
  <si>
    <t>BELEVREN</t>
  </si>
  <si>
    <t>BLIZNAK</t>
  </si>
  <si>
    <t>BRODILOVO</t>
  </si>
  <si>
    <t>FILIPOVO</t>
  </si>
  <si>
    <t>GOLYAM DERVENT</t>
  </si>
  <si>
    <t>GORNO YABALKOVO</t>
  </si>
  <si>
    <t>KAPITAN ANDREEVO</t>
  </si>
  <si>
    <t>KOSTI</t>
  </si>
  <si>
    <t>KRAYNOVO</t>
  </si>
  <si>
    <t>LESOVO</t>
  </si>
  <si>
    <t>MALKO TARNOVO</t>
  </si>
  <si>
    <t>MATOCHINA</t>
  </si>
  <si>
    <t>PRISADETS</t>
  </si>
  <si>
    <t>RADOVETS</t>
  </si>
  <si>
    <t>SHTIT</t>
  </si>
  <si>
    <t>SINEMORETS</t>
  </si>
  <si>
    <t>SLIVAROVO</t>
  </si>
  <si>
    <t>STRANDZHA</t>
  </si>
  <si>
    <t>TRAKIITSI</t>
  </si>
  <si>
    <t>VALCHA POLYANA</t>
  </si>
  <si>
    <t>ALEKSANDRA MITEVA</t>
  </si>
  <si>
    <t>DIMITAR NIKOLOV</t>
  </si>
  <si>
    <t>GEORGI GERGIEV</t>
  </si>
  <si>
    <t>GEORGI PISKYULIEV</t>
  </si>
  <si>
    <t>NIKOLA SPIROV</t>
  </si>
  <si>
    <t>STOJAN MOLDOVANOV</t>
  </si>
  <si>
    <t>YORDAN PANAYOTOV</t>
  </si>
  <si>
    <t>Cattle tested</t>
  </si>
  <si>
    <t>Sheep tested</t>
  </si>
  <si>
    <t>Goats tested</t>
  </si>
  <si>
    <t>Pigs tested</t>
  </si>
  <si>
    <t>Buffalo tested</t>
  </si>
  <si>
    <t>Wild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</si>
</sst>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00"/>
  <sheetViews>
    <sheetView tabSelected="1" topLeftCell="AD1" workbookViewId="0">
      <selection activeCell="AW2" sqref="AW2"/>
    </sheetView>
  </sheetViews>
  <sheetFormatPr defaultRowHeight="15" x14ac:dyDescent="0.25"/>
  <cols>
    <col min="14" max="14" width="15" customWidth="1"/>
  </cols>
  <sheetData>
    <row r="1" spans="1:5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72</v>
      </c>
      <c r="AC1" s="1" t="s">
        <v>26</v>
      </c>
      <c r="AD1" s="1" t="s">
        <v>27</v>
      </c>
      <c r="AE1" s="1" t="s">
        <v>28</v>
      </c>
      <c r="AF1" s="1" t="s">
        <v>73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74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75</v>
      </c>
      <c r="AQ1" s="1" t="s">
        <v>37</v>
      </c>
      <c r="AR1" s="1" t="s">
        <v>38</v>
      </c>
      <c r="AS1" s="1" t="s">
        <v>76</v>
      </c>
      <c r="AT1" s="1" t="s">
        <v>39</v>
      </c>
      <c r="AU1" s="1" t="s">
        <v>40</v>
      </c>
      <c r="AV1" s="1" t="s">
        <v>41</v>
      </c>
      <c r="AW1" s="1" t="s">
        <v>77</v>
      </c>
      <c r="AX1" s="1" t="s">
        <v>42</v>
      </c>
      <c r="AY1" s="1" t="s">
        <v>43</v>
      </c>
    </row>
    <row r="2" spans="1:51" x14ac:dyDescent="0.25">
      <c r="A2" s="1" t="e">
        <f>VLOOKUP(D2,epiunits!A$1:C$4000,2,FALSE)</f>
        <v>#N/A</v>
      </c>
      <c r="B2" s="1" t="e">
        <f>VLOOKUP(D2,epiunits!A$1:C$4000,3,FALSE)</f>
        <v>#N/A</v>
      </c>
      <c r="C2" s="1" t="e">
        <f>VLOOKUP(E2,Inspector!A$1:B$50,2,FALSE)</f>
        <v>#N/A</v>
      </c>
      <c r="D2" s="1" t="s">
        <v>44</v>
      </c>
      <c r="E2" s="1" t="s">
        <v>44</v>
      </c>
      <c r="I2" s="1" t="e">
        <f>VLOOKUP(D2,epiunits!A$1:J$4000,6,FALSE)</f>
        <v>#N/A</v>
      </c>
      <c r="J2" s="1" t="e">
        <f>VLOOKUP(D2,epiunits!A$1:J$4000,7,FALSE)</f>
        <v>#N/A</v>
      </c>
      <c r="K2" s="1" t="e">
        <f>VLOOKUP(D2,epiunits!A$1:J$4000,8,FALSE)</f>
        <v>#N/A</v>
      </c>
      <c r="L2" s="1" t="e">
        <f>VLOOKUP(D2,epiunits!A$1:J$4000,9,FALSE)</f>
        <v>#N/A</v>
      </c>
      <c r="M2" s="1" t="e">
        <f>VLOOKUP(D2,epiunits!A$1:J$4000,10,FALSE)</f>
        <v>#N/A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</row>
    <row r="3" spans="1:51" x14ac:dyDescent="0.25">
      <c r="A3" s="1" t="e">
        <f>VLOOKUP(D3,epiunits!A$1:C$4000,2,FALSE)</f>
        <v>#N/A</v>
      </c>
      <c r="B3" s="1" t="e">
        <f>VLOOKUP(D3,epiunits!A$1:C$4000,3,FALSE)</f>
        <v>#N/A</v>
      </c>
      <c r="C3" s="1" t="e">
        <f>VLOOKUP(E3,Inspector!A$1:B$50,2,FALSE)</f>
        <v>#N/A</v>
      </c>
      <c r="I3" s="1" t="e">
        <f>VLOOKUP(D3,epiunits!A$1:J$4000,6,FALSE)</f>
        <v>#N/A</v>
      </c>
      <c r="J3" s="1" t="e">
        <f>VLOOKUP(D3,epiunits!A$1:J$4000,7,FALSE)</f>
        <v>#N/A</v>
      </c>
      <c r="K3" s="1" t="e">
        <f>VLOOKUP(D3,epiunits!A$1:J$4000,8,FALSE)</f>
        <v>#N/A</v>
      </c>
      <c r="L3" s="1" t="e">
        <f>VLOOKUP(D3,epiunits!A$1:J$4000,9,FALSE)</f>
        <v>#N/A</v>
      </c>
      <c r="M3" s="1" t="e">
        <f>VLOOKUP(D3,epiunits!A$1:J$4000,10,FALSE)</f>
        <v>#N/A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</row>
    <row r="4" spans="1:51" x14ac:dyDescent="0.25">
      <c r="A4" s="1" t="e">
        <f>VLOOKUP(D4,epiunits!A$1:C$4000,2,FALSE)</f>
        <v>#N/A</v>
      </c>
      <c r="B4" s="1" t="e">
        <f>VLOOKUP(D4,epiunits!A$1:C$4000,3,FALSE)</f>
        <v>#N/A</v>
      </c>
      <c r="C4" s="1" t="e">
        <f>VLOOKUP(E4,Inspector!A$1:B$50,2,FALSE)</f>
        <v>#N/A</v>
      </c>
      <c r="I4" s="1" t="e">
        <f>VLOOKUP(D4,epiunits!A$1:J$4000,6,FALSE)</f>
        <v>#N/A</v>
      </c>
      <c r="J4" s="1" t="e">
        <f>VLOOKUP(D4,epiunits!A$1:J$4000,7,FALSE)</f>
        <v>#N/A</v>
      </c>
      <c r="K4" s="1" t="e">
        <f>VLOOKUP(D4,epiunits!A$1:J$4000,8,FALSE)</f>
        <v>#N/A</v>
      </c>
      <c r="L4" s="1" t="e">
        <f>VLOOKUP(D4,epiunits!A$1:J$4000,9,FALSE)</f>
        <v>#N/A</v>
      </c>
      <c r="M4" s="1" t="e">
        <f>VLOOKUP(D4,epiunits!A$1:J$4000,10,FALSE)</f>
        <v>#N/A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</row>
    <row r="5" spans="1:51" x14ac:dyDescent="0.25">
      <c r="A5" s="1" t="e">
        <f>VLOOKUP(D5,epiunits!A$1:C$4000,2,FALSE)</f>
        <v>#N/A</v>
      </c>
      <c r="B5" s="1" t="e">
        <f>VLOOKUP(D5,epiunits!A$1:C$4000,3,FALSE)</f>
        <v>#N/A</v>
      </c>
      <c r="C5" s="1" t="e">
        <f>VLOOKUP(E5,Inspector!A$1:B$50,2,FALSE)</f>
        <v>#N/A</v>
      </c>
      <c r="I5" s="1" t="e">
        <f>VLOOKUP(D5,epiunits!A$1:J$4000,6,FALSE)</f>
        <v>#N/A</v>
      </c>
      <c r="J5" s="1" t="e">
        <f>VLOOKUP(D5,epiunits!A$1:J$4000,7,FALSE)</f>
        <v>#N/A</v>
      </c>
      <c r="K5" s="1" t="e">
        <f>VLOOKUP(D5,epiunits!A$1:J$4000,8,FALSE)</f>
        <v>#N/A</v>
      </c>
      <c r="L5" s="1" t="e">
        <f>VLOOKUP(D5,epiunits!A$1:J$4000,9,FALSE)</f>
        <v>#N/A</v>
      </c>
      <c r="M5" s="1" t="e">
        <f>VLOOKUP(D5,epiunits!A$1:J$4000,10,FALSE)</f>
        <v>#N/A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</row>
    <row r="6" spans="1:51" x14ac:dyDescent="0.25">
      <c r="A6" s="1" t="e">
        <f>VLOOKUP(D6,epiunits!A$1:C$4000,2,FALSE)</f>
        <v>#N/A</v>
      </c>
      <c r="B6" s="1" t="e">
        <f>VLOOKUP(D6,epiunits!A$1:C$4000,3,FALSE)</f>
        <v>#N/A</v>
      </c>
      <c r="C6" s="1" t="e">
        <f>VLOOKUP(E6,Inspector!A$1:B$50,2,FALSE)</f>
        <v>#N/A</v>
      </c>
      <c r="I6" s="1" t="e">
        <f>VLOOKUP(D6,epiunits!A$1:J$4000,6,FALSE)</f>
        <v>#N/A</v>
      </c>
      <c r="J6" s="1" t="e">
        <f>VLOOKUP(D6,epiunits!A$1:J$4000,7,FALSE)</f>
        <v>#N/A</v>
      </c>
      <c r="K6" s="1" t="e">
        <f>VLOOKUP(D6,epiunits!A$1:J$4000,8,FALSE)</f>
        <v>#N/A</v>
      </c>
      <c r="L6" s="1" t="e">
        <f>VLOOKUP(D6,epiunits!A$1:J$4000,9,FALSE)</f>
        <v>#N/A</v>
      </c>
      <c r="M6" s="1" t="e">
        <f>VLOOKUP(D6,epiunits!A$1:J$4000,10,FALSE)</f>
        <v>#N/A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</row>
    <row r="7" spans="1:51" x14ac:dyDescent="0.25">
      <c r="A7" s="1" t="e">
        <f>VLOOKUP(D7,epiunits!A$1:C$4000,2,FALSE)</f>
        <v>#N/A</v>
      </c>
      <c r="B7" s="1" t="e">
        <f>VLOOKUP(D7,epiunits!A$1:C$4000,3,FALSE)</f>
        <v>#N/A</v>
      </c>
      <c r="C7" s="1" t="e">
        <f>VLOOKUP(E7,Inspector!A$1:B$50,2,FALSE)</f>
        <v>#N/A</v>
      </c>
      <c r="I7" s="1" t="e">
        <f>VLOOKUP(D7,epiunits!A$1:J$4000,6,FALSE)</f>
        <v>#N/A</v>
      </c>
      <c r="J7" s="1" t="e">
        <f>VLOOKUP(D7,epiunits!A$1:J$4000,7,FALSE)</f>
        <v>#N/A</v>
      </c>
      <c r="K7" s="1" t="e">
        <f>VLOOKUP(D7,epiunits!A$1:J$4000,8,FALSE)</f>
        <v>#N/A</v>
      </c>
      <c r="L7" s="1" t="e">
        <f>VLOOKUP(D7,epiunits!A$1:J$4000,9,FALSE)</f>
        <v>#N/A</v>
      </c>
      <c r="M7" s="1" t="e">
        <f>VLOOKUP(D7,epiunits!A$1:J$4000,10,FALSE)</f>
        <v>#N/A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x14ac:dyDescent="0.25">
      <c r="A8" s="1" t="e">
        <f>VLOOKUP(D8,epiunits!A$1:C$4000,2,FALSE)</f>
        <v>#N/A</v>
      </c>
      <c r="B8" s="1" t="e">
        <f>VLOOKUP(D8,epiunits!A$1:C$4000,3,FALSE)</f>
        <v>#N/A</v>
      </c>
      <c r="C8" s="1" t="e">
        <f>VLOOKUP(E8,Inspector!A$1:B$50,2,FALSE)</f>
        <v>#N/A</v>
      </c>
      <c r="I8" s="1" t="e">
        <f>VLOOKUP(D8,epiunits!A$1:J$4000,6,FALSE)</f>
        <v>#N/A</v>
      </c>
      <c r="J8" s="1" t="e">
        <f>VLOOKUP(D8,epiunits!A$1:J$4000,7,FALSE)</f>
        <v>#N/A</v>
      </c>
      <c r="K8" s="1" t="e">
        <f>VLOOKUP(D8,epiunits!A$1:J$4000,8,FALSE)</f>
        <v>#N/A</v>
      </c>
      <c r="L8" s="1" t="e">
        <f>VLOOKUP(D8,epiunits!A$1:J$4000,9,FALSE)</f>
        <v>#N/A</v>
      </c>
      <c r="M8" s="1" t="e">
        <f>VLOOKUP(D8,epiunits!A$1:J$4000,10,FALSE)</f>
        <v>#N/A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</row>
    <row r="9" spans="1:51" x14ac:dyDescent="0.25">
      <c r="A9" s="1" t="e">
        <f>VLOOKUP(D9,epiunits!A$1:C$4000,2,FALSE)</f>
        <v>#N/A</v>
      </c>
      <c r="B9" s="1" t="e">
        <f>VLOOKUP(D9,epiunits!A$1:C$4000,3,FALSE)</f>
        <v>#N/A</v>
      </c>
      <c r="C9" s="1" t="e">
        <f>VLOOKUP(E9,Inspector!A$1:B$50,2,FALSE)</f>
        <v>#N/A</v>
      </c>
      <c r="I9" s="1" t="e">
        <f>VLOOKUP(D9,epiunits!A$1:J$4000,6,FALSE)</f>
        <v>#N/A</v>
      </c>
      <c r="J9" s="1" t="e">
        <f>VLOOKUP(D9,epiunits!A$1:J$4000,7,FALSE)</f>
        <v>#N/A</v>
      </c>
      <c r="K9" s="1" t="e">
        <f>VLOOKUP(D9,epiunits!A$1:J$4000,8,FALSE)</f>
        <v>#N/A</v>
      </c>
      <c r="L9" s="1" t="e">
        <f>VLOOKUP(D9,epiunits!A$1:J$4000,9,FALSE)</f>
        <v>#N/A</v>
      </c>
      <c r="M9" s="1" t="e">
        <f>VLOOKUP(D9,epiunits!A$1:J$4000,10,FALSE)</f>
        <v>#N/A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</row>
    <row r="10" spans="1:51" x14ac:dyDescent="0.25">
      <c r="A10" s="1" t="e">
        <f>VLOOKUP(D10,epiunits!A$1:C$4000,2,FALSE)</f>
        <v>#N/A</v>
      </c>
      <c r="B10" s="1" t="e">
        <f>VLOOKUP(D10,epiunits!A$1:C$4000,3,FALSE)</f>
        <v>#N/A</v>
      </c>
      <c r="C10" s="1" t="e">
        <f>VLOOKUP(E10,Inspector!A$1:B$50,2,FALSE)</f>
        <v>#N/A</v>
      </c>
      <c r="I10" s="1" t="e">
        <f>VLOOKUP(D10,epiunits!A$1:J$4000,6,FALSE)</f>
        <v>#N/A</v>
      </c>
      <c r="J10" s="1" t="e">
        <f>VLOOKUP(D10,epiunits!A$1:J$4000,7,FALSE)</f>
        <v>#N/A</v>
      </c>
      <c r="K10" s="1" t="e">
        <f>VLOOKUP(D10,epiunits!A$1:J$4000,8,FALSE)</f>
        <v>#N/A</v>
      </c>
      <c r="L10" s="1" t="e">
        <f>VLOOKUP(D10,epiunits!A$1:J$4000,9,FALSE)</f>
        <v>#N/A</v>
      </c>
      <c r="M10" s="1" t="e">
        <f>VLOOKUP(D10,epiunits!A$1:J$4000,10,FALSE)</f>
        <v>#N/A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</row>
    <row r="11" spans="1:51" x14ac:dyDescent="0.25">
      <c r="A11" s="1" t="e">
        <f>VLOOKUP(D11,epiunits!A$1:C$4000,2,FALSE)</f>
        <v>#N/A</v>
      </c>
      <c r="B11" s="1" t="e">
        <f>VLOOKUP(D11,epiunits!A$1:C$4000,3,FALSE)</f>
        <v>#N/A</v>
      </c>
      <c r="C11" s="1" t="e">
        <f>VLOOKUP(E11,Inspector!A$1:B$50,2,FALSE)</f>
        <v>#N/A</v>
      </c>
      <c r="I11" s="1" t="e">
        <f>VLOOKUP(D11,epiunits!A$1:J$4000,6,FALSE)</f>
        <v>#N/A</v>
      </c>
      <c r="J11" s="1" t="e">
        <f>VLOOKUP(D11,epiunits!A$1:J$4000,7,FALSE)</f>
        <v>#N/A</v>
      </c>
      <c r="K11" s="1" t="e">
        <f>VLOOKUP(D11,epiunits!A$1:J$4000,8,FALSE)</f>
        <v>#N/A</v>
      </c>
      <c r="L11" s="1" t="e">
        <f>VLOOKUP(D11,epiunits!A$1:J$4000,9,FALSE)</f>
        <v>#N/A</v>
      </c>
      <c r="M11" s="1" t="e">
        <f>VLOOKUP(D11,epiunits!A$1:J$4000,10,FALSE)</f>
        <v>#N/A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</row>
    <row r="12" spans="1:51" x14ac:dyDescent="0.25">
      <c r="A12" s="1" t="e">
        <f>VLOOKUP(D12,epiunits!A$1:C$4000,2,FALSE)</f>
        <v>#N/A</v>
      </c>
      <c r="B12" s="1" t="e">
        <f>VLOOKUP(D12,epiunits!A$1:C$4000,3,FALSE)</f>
        <v>#N/A</v>
      </c>
      <c r="C12" s="1" t="e">
        <f>VLOOKUP(E12,Inspector!A$1:B$50,2,FALSE)</f>
        <v>#N/A</v>
      </c>
      <c r="I12" s="1" t="e">
        <f>VLOOKUP(D12,epiunits!A$1:J$4000,6,FALSE)</f>
        <v>#N/A</v>
      </c>
      <c r="J12" s="1" t="e">
        <f>VLOOKUP(D12,epiunits!A$1:J$4000,7,FALSE)</f>
        <v>#N/A</v>
      </c>
      <c r="K12" s="1" t="e">
        <f>VLOOKUP(D12,epiunits!A$1:J$4000,8,FALSE)</f>
        <v>#N/A</v>
      </c>
      <c r="L12" s="1" t="e">
        <f>VLOOKUP(D12,epiunits!A$1:J$4000,9,FALSE)</f>
        <v>#N/A</v>
      </c>
      <c r="M12" s="1" t="e">
        <f>VLOOKUP(D12,epiunits!A$1:J$4000,10,FALSE)</f>
        <v>#N/A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</row>
    <row r="13" spans="1:51" x14ac:dyDescent="0.25">
      <c r="A13" s="1" t="e">
        <f>VLOOKUP(D13,epiunits!A$1:C$4000,2,FALSE)</f>
        <v>#N/A</v>
      </c>
      <c r="B13" s="1" t="e">
        <f>VLOOKUP(D13,epiunits!A$1:C$4000,3,FALSE)</f>
        <v>#N/A</v>
      </c>
      <c r="C13" s="1" t="e">
        <f>VLOOKUP(E13,Inspector!A$1:B$50,2,FALSE)</f>
        <v>#N/A</v>
      </c>
      <c r="I13" s="1" t="e">
        <f>VLOOKUP(D13,epiunits!A$1:J$4000,6,FALSE)</f>
        <v>#N/A</v>
      </c>
      <c r="J13" s="1" t="e">
        <f>VLOOKUP(D13,epiunits!A$1:J$4000,7,FALSE)</f>
        <v>#N/A</v>
      </c>
      <c r="K13" s="1" t="e">
        <f>VLOOKUP(D13,epiunits!A$1:J$4000,8,FALSE)</f>
        <v>#N/A</v>
      </c>
      <c r="L13" s="1" t="e">
        <f>VLOOKUP(D13,epiunits!A$1:J$4000,9,FALSE)</f>
        <v>#N/A</v>
      </c>
      <c r="M13" s="1" t="e">
        <f>VLOOKUP(D13,epiunits!A$1:J$4000,10,FALSE)</f>
        <v>#N/A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</row>
    <row r="14" spans="1:51" x14ac:dyDescent="0.25">
      <c r="A14" s="1" t="e">
        <f>VLOOKUP(D14,epiunits!A$1:C$4000,2,FALSE)</f>
        <v>#N/A</v>
      </c>
      <c r="B14" s="1" t="e">
        <f>VLOOKUP(D14,epiunits!A$1:C$4000,3,FALSE)</f>
        <v>#N/A</v>
      </c>
      <c r="C14" s="1" t="e">
        <f>VLOOKUP(E14,Inspector!A$1:B$50,2,FALSE)</f>
        <v>#N/A</v>
      </c>
      <c r="I14" s="1" t="e">
        <f>VLOOKUP(D14,epiunits!A$1:J$4000,6,FALSE)</f>
        <v>#N/A</v>
      </c>
      <c r="J14" s="1" t="e">
        <f>VLOOKUP(D14,epiunits!A$1:J$4000,7,FALSE)</f>
        <v>#N/A</v>
      </c>
      <c r="K14" s="1" t="e">
        <f>VLOOKUP(D14,epiunits!A$1:J$4000,8,FALSE)</f>
        <v>#N/A</v>
      </c>
      <c r="L14" s="1" t="e">
        <f>VLOOKUP(D14,epiunits!A$1:J$4000,9,FALSE)</f>
        <v>#N/A</v>
      </c>
      <c r="M14" s="1" t="e">
        <f>VLOOKUP(D14,epiunits!A$1:J$4000,10,FALSE)</f>
        <v>#N/A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</row>
    <row r="15" spans="1:51" x14ac:dyDescent="0.25">
      <c r="A15" s="1" t="e">
        <f>VLOOKUP(D15,epiunits!A$1:C$4000,2,FALSE)</f>
        <v>#N/A</v>
      </c>
      <c r="B15" s="1" t="e">
        <f>VLOOKUP(D15,epiunits!A$1:C$4000,3,FALSE)</f>
        <v>#N/A</v>
      </c>
      <c r="C15" s="1" t="e">
        <f>VLOOKUP(E15,Inspector!A$1:B$50,2,FALSE)</f>
        <v>#N/A</v>
      </c>
      <c r="I15" s="1" t="e">
        <f>VLOOKUP(D15,epiunits!A$1:J$4000,6,FALSE)</f>
        <v>#N/A</v>
      </c>
      <c r="J15" s="1" t="e">
        <f>VLOOKUP(D15,epiunits!A$1:J$4000,7,FALSE)</f>
        <v>#N/A</v>
      </c>
      <c r="K15" s="1" t="e">
        <f>VLOOKUP(D15,epiunits!A$1:J$4000,8,FALSE)</f>
        <v>#N/A</v>
      </c>
      <c r="L15" s="1" t="e">
        <f>VLOOKUP(D15,epiunits!A$1:J$4000,9,FALSE)</f>
        <v>#N/A</v>
      </c>
      <c r="M15" s="1" t="e">
        <f>VLOOKUP(D15,epiunits!A$1:J$4000,10,FALSE)</f>
        <v>#N/A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</row>
    <row r="16" spans="1:51" x14ac:dyDescent="0.25">
      <c r="A16" s="1" t="e">
        <f>VLOOKUP(D16,epiunits!A$1:C$4000,2,FALSE)</f>
        <v>#N/A</v>
      </c>
      <c r="B16" s="1" t="e">
        <f>VLOOKUP(D16,epiunits!A$1:C$4000,3,FALSE)</f>
        <v>#N/A</v>
      </c>
      <c r="C16" s="1" t="e">
        <f>VLOOKUP(E16,Inspector!A$1:B$50,2,FALSE)</f>
        <v>#N/A</v>
      </c>
      <c r="I16" s="1" t="e">
        <f>VLOOKUP(D16,epiunits!A$1:J$4000,6,FALSE)</f>
        <v>#N/A</v>
      </c>
      <c r="J16" s="1" t="e">
        <f>VLOOKUP(D16,epiunits!A$1:J$4000,7,FALSE)</f>
        <v>#N/A</v>
      </c>
      <c r="K16" s="1" t="e">
        <f>VLOOKUP(D16,epiunits!A$1:J$4000,8,FALSE)</f>
        <v>#N/A</v>
      </c>
      <c r="L16" s="1" t="e">
        <f>VLOOKUP(D16,epiunits!A$1:J$4000,9,FALSE)</f>
        <v>#N/A</v>
      </c>
      <c r="M16" s="1" t="e">
        <f>VLOOKUP(D16,epiunits!A$1:J$4000,10,FALSE)</f>
        <v>#N/A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</row>
    <row r="17" spans="1:51" x14ac:dyDescent="0.25">
      <c r="A17" s="1" t="e">
        <f>VLOOKUP(D17,epiunits!A$1:C$4000,2,FALSE)</f>
        <v>#N/A</v>
      </c>
      <c r="B17" s="1" t="e">
        <f>VLOOKUP(D17,epiunits!A$1:C$4000,3,FALSE)</f>
        <v>#N/A</v>
      </c>
      <c r="C17" s="1" t="e">
        <f>VLOOKUP(E17,Inspector!A$1:B$50,2,FALSE)</f>
        <v>#N/A</v>
      </c>
      <c r="I17" s="1" t="e">
        <f>VLOOKUP(D17,epiunits!A$1:J$4000,6,FALSE)</f>
        <v>#N/A</v>
      </c>
      <c r="J17" s="1" t="e">
        <f>VLOOKUP(D17,epiunits!A$1:J$4000,7,FALSE)</f>
        <v>#N/A</v>
      </c>
      <c r="K17" s="1" t="e">
        <f>VLOOKUP(D17,epiunits!A$1:J$4000,8,FALSE)</f>
        <v>#N/A</v>
      </c>
      <c r="L17" s="1" t="e">
        <f>VLOOKUP(D17,epiunits!A$1:J$4000,9,FALSE)</f>
        <v>#N/A</v>
      </c>
      <c r="M17" s="1" t="e">
        <f>VLOOKUP(D17,epiunits!A$1:J$4000,10,FALSE)</f>
        <v>#N/A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25">
      <c r="A18" s="1" t="e">
        <f>VLOOKUP(D18,epiunits!A$1:C$4000,2,FALSE)</f>
        <v>#N/A</v>
      </c>
      <c r="B18" s="1" t="e">
        <f>VLOOKUP(D18,epiunits!A$1:C$4000,3,FALSE)</f>
        <v>#N/A</v>
      </c>
      <c r="C18" s="1" t="e">
        <f>VLOOKUP(E18,Inspector!A$1:B$50,2,FALSE)</f>
        <v>#N/A</v>
      </c>
      <c r="I18" s="1" t="e">
        <f>VLOOKUP(D18,epiunits!A$1:J$4000,6,FALSE)</f>
        <v>#N/A</v>
      </c>
      <c r="J18" s="1" t="e">
        <f>VLOOKUP(D18,epiunits!A$1:J$4000,7,FALSE)</f>
        <v>#N/A</v>
      </c>
      <c r="K18" s="1" t="e">
        <f>VLOOKUP(D18,epiunits!A$1:J$4000,8,FALSE)</f>
        <v>#N/A</v>
      </c>
      <c r="L18" s="1" t="e">
        <f>VLOOKUP(D18,epiunits!A$1:J$4000,9,FALSE)</f>
        <v>#N/A</v>
      </c>
      <c r="M18" s="1" t="e">
        <f>VLOOKUP(D18,epiunits!A$1:J$4000,10,FALSE)</f>
        <v>#N/A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</row>
    <row r="19" spans="1:51" x14ac:dyDescent="0.25">
      <c r="A19" s="1" t="e">
        <f>VLOOKUP(D19,epiunits!A$1:C$4000,2,FALSE)</f>
        <v>#N/A</v>
      </c>
      <c r="B19" s="1" t="e">
        <f>VLOOKUP(D19,epiunits!A$1:C$4000,3,FALSE)</f>
        <v>#N/A</v>
      </c>
      <c r="C19" s="1" t="e">
        <f>VLOOKUP(E19,Inspector!A$1:B$50,2,FALSE)</f>
        <v>#N/A</v>
      </c>
      <c r="I19" s="1" t="e">
        <f>VLOOKUP(D19,epiunits!A$1:J$4000,6,FALSE)</f>
        <v>#N/A</v>
      </c>
      <c r="J19" s="1" t="e">
        <f>VLOOKUP(D19,epiunits!A$1:J$4000,7,FALSE)</f>
        <v>#N/A</v>
      </c>
      <c r="K19" s="1" t="e">
        <f>VLOOKUP(D19,epiunits!A$1:J$4000,8,FALSE)</f>
        <v>#N/A</v>
      </c>
      <c r="L19" s="1" t="e">
        <f>VLOOKUP(D19,epiunits!A$1:J$4000,9,FALSE)</f>
        <v>#N/A</v>
      </c>
      <c r="M19" s="1" t="e">
        <f>VLOOKUP(D19,epiunits!A$1:J$4000,10,FALSE)</f>
        <v>#N/A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</row>
    <row r="20" spans="1:51" x14ac:dyDescent="0.25">
      <c r="A20" s="1" t="e">
        <f>VLOOKUP(D20,epiunits!A$1:C$4000,2,FALSE)</f>
        <v>#N/A</v>
      </c>
      <c r="B20" s="1" t="e">
        <f>VLOOKUP(D20,epiunits!A$1:C$4000,3,FALSE)</f>
        <v>#N/A</v>
      </c>
      <c r="C20" s="1" t="e">
        <f>VLOOKUP(E20,Inspector!A$1:B$50,2,FALSE)</f>
        <v>#N/A</v>
      </c>
      <c r="I20" s="1" t="e">
        <f>VLOOKUP(D20,epiunits!A$1:J$4000,6,FALSE)</f>
        <v>#N/A</v>
      </c>
      <c r="J20" s="1" t="e">
        <f>VLOOKUP(D20,epiunits!A$1:J$4000,7,FALSE)</f>
        <v>#N/A</v>
      </c>
      <c r="K20" s="1" t="e">
        <f>VLOOKUP(D20,epiunits!A$1:J$4000,8,FALSE)</f>
        <v>#N/A</v>
      </c>
      <c r="L20" s="1" t="e">
        <f>VLOOKUP(D20,epiunits!A$1:J$4000,9,FALSE)</f>
        <v>#N/A</v>
      </c>
      <c r="M20" s="1" t="e">
        <f>VLOOKUP(D20,epiunits!A$1:J$4000,10,FALSE)</f>
        <v>#N/A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</row>
    <row r="21" spans="1:51" x14ac:dyDescent="0.25">
      <c r="A21" s="1" t="e">
        <f>VLOOKUP(D21,epiunits!A$1:C$4000,2,FALSE)</f>
        <v>#N/A</v>
      </c>
      <c r="B21" s="1" t="e">
        <f>VLOOKUP(D21,epiunits!A$1:C$4000,3,FALSE)</f>
        <v>#N/A</v>
      </c>
      <c r="C21" s="1" t="e">
        <f>VLOOKUP(E21,Inspector!A$1:B$50,2,FALSE)</f>
        <v>#N/A</v>
      </c>
      <c r="I21" s="1" t="e">
        <f>VLOOKUP(D21,epiunits!A$1:J$4000,6,FALSE)</f>
        <v>#N/A</v>
      </c>
      <c r="J21" s="1" t="e">
        <f>VLOOKUP(D21,epiunits!A$1:J$4000,7,FALSE)</f>
        <v>#N/A</v>
      </c>
      <c r="K21" s="1" t="e">
        <f>VLOOKUP(D21,epiunits!A$1:J$4000,8,FALSE)</f>
        <v>#N/A</v>
      </c>
      <c r="L21" s="1" t="e">
        <f>VLOOKUP(D21,epiunits!A$1:J$4000,9,FALSE)</f>
        <v>#N/A</v>
      </c>
      <c r="M21" s="1" t="e">
        <f>VLOOKUP(D21,epiunits!A$1:J$4000,10,FALSE)</f>
        <v>#N/A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</row>
    <row r="22" spans="1:51" x14ac:dyDescent="0.25">
      <c r="A22" s="1" t="e">
        <f>VLOOKUP(D22,epiunits!A$1:C$4000,2,FALSE)</f>
        <v>#N/A</v>
      </c>
      <c r="B22" s="1" t="e">
        <f>VLOOKUP(D22,epiunits!A$1:C$4000,3,FALSE)</f>
        <v>#N/A</v>
      </c>
      <c r="C22" s="1" t="e">
        <f>VLOOKUP(E22,Inspector!A$1:B$50,2,FALSE)</f>
        <v>#N/A</v>
      </c>
      <c r="I22" s="1" t="e">
        <f>VLOOKUP(D22,epiunits!A$1:J$4000,6,FALSE)</f>
        <v>#N/A</v>
      </c>
      <c r="J22" s="1" t="e">
        <f>VLOOKUP(D22,epiunits!A$1:J$4000,7,FALSE)</f>
        <v>#N/A</v>
      </c>
      <c r="K22" s="1" t="e">
        <f>VLOOKUP(D22,epiunits!A$1:J$4000,8,FALSE)</f>
        <v>#N/A</v>
      </c>
      <c r="L22" s="1" t="e">
        <f>VLOOKUP(D22,epiunits!A$1:J$4000,9,FALSE)</f>
        <v>#N/A</v>
      </c>
      <c r="M22" s="1" t="e">
        <f>VLOOKUP(D22,epiunits!A$1:J$4000,10,FALSE)</f>
        <v>#N/A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25">
      <c r="A23" s="1" t="e">
        <f>VLOOKUP(D23,epiunits!A$1:C$4000,2,FALSE)</f>
        <v>#N/A</v>
      </c>
      <c r="B23" s="1" t="e">
        <f>VLOOKUP(D23,epiunits!A$1:C$4000,3,FALSE)</f>
        <v>#N/A</v>
      </c>
      <c r="C23" s="1" t="e">
        <f>VLOOKUP(E23,Inspector!A$1:B$50,2,FALSE)</f>
        <v>#N/A</v>
      </c>
      <c r="I23" s="1" t="e">
        <f>VLOOKUP(D23,epiunits!A$1:J$4000,6,FALSE)</f>
        <v>#N/A</v>
      </c>
      <c r="J23" s="1" t="e">
        <f>VLOOKUP(D23,epiunits!A$1:J$4000,7,FALSE)</f>
        <v>#N/A</v>
      </c>
      <c r="K23" s="1" t="e">
        <f>VLOOKUP(D23,epiunits!A$1:J$4000,8,FALSE)</f>
        <v>#N/A</v>
      </c>
      <c r="L23" s="1" t="e">
        <f>VLOOKUP(D23,epiunits!A$1:J$4000,9,FALSE)</f>
        <v>#N/A</v>
      </c>
      <c r="M23" s="1" t="e">
        <f>VLOOKUP(D23,epiunits!A$1:J$4000,10,FALSE)</f>
        <v>#N/A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</row>
    <row r="24" spans="1:51" x14ac:dyDescent="0.25">
      <c r="A24" s="1" t="e">
        <f>VLOOKUP(D24,epiunits!A$1:C$4000,2,FALSE)</f>
        <v>#N/A</v>
      </c>
      <c r="B24" s="1" t="e">
        <f>VLOOKUP(D24,epiunits!A$1:C$4000,3,FALSE)</f>
        <v>#N/A</v>
      </c>
      <c r="C24" s="1" t="e">
        <f>VLOOKUP(E24,Inspector!A$1:B$50,2,FALSE)</f>
        <v>#N/A</v>
      </c>
      <c r="I24" s="1" t="e">
        <f>VLOOKUP(D24,epiunits!A$1:J$4000,6,FALSE)</f>
        <v>#N/A</v>
      </c>
      <c r="J24" s="1" t="e">
        <f>VLOOKUP(D24,epiunits!A$1:J$4000,7,FALSE)</f>
        <v>#N/A</v>
      </c>
      <c r="K24" s="1" t="e">
        <f>VLOOKUP(D24,epiunits!A$1:J$4000,8,FALSE)</f>
        <v>#N/A</v>
      </c>
      <c r="L24" s="1" t="e">
        <f>VLOOKUP(D24,epiunits!A$1:J$4000,9,FALSE)</f>
        <v>#N/A</v>
      </c>
      <c r="M24" s="1" t="e">
        <f>VLOOKUP(D24,epiunits!A$1:J$4000,10,FALSE)</f>
        <v>#N/A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</row>
    <row r="25" spans="1:51" x14ac:dyDescent="0.25">
      <c r="A25" s="1" t="e">
        <f>VLOOKUP(D25,epiunits!A$1:C$4000,2,FALSE)</f>
        <v>#N/A</v>
      </c>
      <c r="B25" s="1" t="e">
        <f>VLOOKUP(D25,epiunits!A$1:C$4000,3,FALSE)</f>
        <v>#N/A</v>
      </c>
      <c r="C25" s="1" t="e">
        <f>VLOOKUP(E25,Inspector!A$1:B$50,2,FALSE)</f>
        <v>#N/A</v>
      </c>
      <c r="I25" s="1" t="e">
        <f>VLOOKUP(D25,epiunits!A$1:J$4000,6,FALSE)</f>
        <v>#N/A</v>
      </c>
      <c r="J25" s="1" t="e">
        <f>VLOOKUP(D25,epiunits!A$1:J$4000,7,FALSE)</f>
        <v>#N/A</v>
      </c>
      <c r="K25" s="1" t="e">
        <f>VLOOKUP(D25,epiunits!A$1:J$4000,8,FALSE)</f>
        <v>#N/A</v>
      </c>
      <c r="L25" s="1" t="e">
        <f>VLOOKUP(D25,epiunits!A$1:J$4000,9,FALSE)</f>
        <v>#N/A</v>
      </c>
      <c r="M25" s="1" t="e">
        <f>VLOOKUP(D25,epiunits!A$1:J$4000,10,FALSE)</f>
        <v>#N/A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</row>
    <row r="26" spans="1:51" x14ac:dyDescent="0.25">
      <c r="A26" s="1" t="e">
        <f>VLOOKUP(D26,epiunits!A$1:C$4000,2,FALSE)</f>
        <v>#N/A</v>
      </c>
      <c r="B26" s="1" t="e">
        <f>VLOOKUP(D26,epiunits!A$1:C$4000,3,FALSE)</f>
        <v>#N/A</v>
      </c>
      <c r="C26" s="1" t="e">
        <f>VLOOKUP(E26,Inspector!A$1:B$50,2,FALSE)</f>
        <v>#N/A</v>
      </c>
      <c r="I26" s="1" t="e">
        <f>VLOOKUP(D26,epiunits!A$1:J$4000,6,FALSE)</f>
        <v>#N/A</v>
      </c>
      <c r="J26" s="1" t="e">
        <f>VLOOKUP(D26,epiunits!A$1:J$4000,7,FALSE)</f>
        <v>#N/A</v>
      </c>
      <c r="K26" s="1" t="e">
        <f>VLOOKUP(D26,epiunits!A$1:J$4000,8,FALSE)</f>
        <v>#N/A</v>
      </c>
      <c r="L26" s="1" t="e">
        <f>VLOOKUP(D26,epiunits!A$1:J$4000,9,FALSE)</f>
        <v>#N/A</v>
      </c>
      <c r="M26" s="1" t="e">
        <f>VLOOKUP(D26,epiunits!A$1:J$4000,10,FALSE)</f>
        <v>#N/A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</row>
    <row r="27" spans="1:51" x14ac:dyDescent="0.25">
      <c r="A27" s="1" t="e">
        <f>VLOOKUP(D27,epiunits!A$1:C$4000,2,FALSE)</f>
        <v>#N/A</v>
      </c>
      <c r="B27" s="1" t="e">
        <f>VLOOKUP(D27,epiunits!A$1:C$4000,3,FALSE)</f>
        <v>#N/A</v>
      </c>
      <c r="C27" s="1" t="e">
        <f>VLOOKUP(E27,Inspector!A$1:B$50,2,FALSE)</f>
        <v>#N/A</v>
      </c>
      <c r="I27" s="1" t="e">
        <f>VLOOKUP(D27,epiunits!A$1:J$4000,6,FALSE)</f>
        <v>#N/A</v>
      </c>
      <c r="J27" s="1" t="e">
        <f>VLOOKUP(D27,epiunits!A$1:J$4000,7,FALSE)</f>
        <v>#N/A</v>
      </c>
      <c r="K27" s="1" t="e">
        <f>VLOOKUP(D27,epiunits!A$1:J$4000,8,FALSE)</f>
        <v>#N/A</v>
      </c>
      <c r="L27" s="1" t="e">
        <f>VLOOKUP(D27,epiunits!A$1:J$4000,9,FALSE)</f>
        <v>#N/A</v>
      </c>
      <c r="M27" s="1" t="e">
        <f>VLOOKUP(D27,epiunits!A$1:J$4000,10,FALSE)</f>
        <v>#N/A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</row>
    <row r="28" spans="1:51" x14ac:dyDescent="0.25">
      <c r="A28" s="1" t="e">
        <f>VLOOKUP(D28,epiunits!A$1:C$4000,2,FALSE)</f>
        <v>#N/A</v>
      </c>
      <c r="B28" s="1" t="e">
        <f>VLOOKUP(D28,epiunits!A$1:C$4000,3,FALSE)</f>
        <v>#N/A</v>
      </c>
      <c r="C28" s="1" t="e">
        <f>VLOOKUP(E28,Inspector!A$1:B$50,2,FALSE)</f>
        <v>#N/A</v>
      </c>
      <c r="I28" s="1" t="e">
        <f>VLOOKUP(D28,epiunits!A$1:J$4000,6,FALSE)</f>
        <v>#N/A</v>
      </c>
      <c r="J28" s="1" t="e">
        <f>VLOOKUP(D28,epiunits!A$1:J$4000,7,FALSE)</f>
        <v>#N/A</v>
      </c>
      <c r="K28" s="1" t="e">
        <f>VLOOKUP(D28,epiunits!A$1:J$4000,8,FALSE)</f>
        <v>#N/A</v>
      </c>
      <c r="L28" s="1" t="e">
        <f>VLOOKUP(D28,epiunits!A$1:J$4000,9,FALSE)</f>
        <v>#N/A</v>
      </c>
      <c r="M28" s="1" t="e">
        <f>VLOOKUP(D28,epiunits!A$1:J$4000,10,FALSE)</f>
        <v>#N/A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25">
      <c r="A29" s="1" t="e">
        <f>VLOOKUP(D29,epiunits!A$1:C$4000,2,FALSE)</f>
        <v>#N/A</v>
      </c>
      <c r="B29" s="1" t="e">
        <f>VLOOKUP(D29,epiunits!A$1:C$4000,3,FALSE)</f>
        <v>#N/A</v>
      </c>
      <c r="C29" s="1" t="e">
        <f>VLOOKUP(E29,Inspector!A$1:B$50,2,FALSE)</f>
        <v>#N/A</v>
      </c>
      <c r="I29" s="1" t="e">
        <f>VLOOKUP(D29,epiunits!A$1:J$4000,6,FALSE)</f>
        <v>#N/A</v>
      </c>
      <c r="J29" s="1" t="e">
        <f>VLOOKUP(D29,epiunits!A$1:J$4000,7,FALSE)</f>
        <v>#N/A</v>
      </c>
      <c r="K29" s="1" t="e">
        <f>VLOOKUP(D29,epiunits!A$1:J$4000,8,FALSE)</f>
        <v>#N/A</v>
      </c>
      <c r="L29" s="1" t="e">
        <f>VLOOKUP(D29,epiunits!A$1:J$4000,9,FALSE)</f>
        <v>#N/A</v>
      </c>
      <c r="M29" s="1" t="e">
        <f>VLOOKUP(D29,epiunits!A$1:J$4000,10,FALSE)</f>
        <v>#N/A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</row>
    <row r="30" spans="1:51" x14ac:dyDescent="0.25">
      <c r="A30" s="1" t="e">
        <f>VLOOKUP(D30,epiunits!A$1:C$4000,2,FALSE)</f>
        <v>#N/A</v>
      </c>
      <c r="B30" s="1" t="e">
        <f>VLOOKUP(D30,epiunits!A$1:C$4000,3,FALSE)</f>
        <v>#N/A</v>
      </c>
      <c r="C30" s="1" t="e">
        <f>VLOOKUP(E30,Inspector!A$1:B$50,2,FALSE)</f>
        <v>#N/A</v>
      </c>
      <c r="I30" s="1" t="e">
        <f>VLOOKUP(D30,epiunits!A$1:J$4000,6,FALSE)</f>
        <v>#N/A</v>
      </c>
      <c r="J30" s="1" t="e">
        <f>VLOOKUP(D30,epiunits!A$1:J$4000,7,FALSE)</f>
        <v>#N/A</v>
      </c>
      <c r="K30" s="1" t="e">
        <f>VLOOKUP(D30,epiunits!A$1:J$4000,8,FALSE)</f>
        <v>#N/A</v>
      </c>
      <c r="L30" s="1" t="e">
        <f>VLOOKUP(D30,epiunits!A$1:J$4000,9,FALSE)</f>
        <v>#N/A</v>
      </c>
      <c r="M30" s="1" t="e">
        <f>VLOOKUP(D30,epiunits!A$1:J$4000,10,FALSE)</f>
        <v>#N/A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</row>
    <row r="31" spans="1:51" x14ac:dyDescent="0.25">
      <c r="A31" s="1" t="e">
        <f>VLOOKUP(D31,epiunits!A$1:C$4000,2,FALSE)</f>
        <v>#N/A</v>
      </c>
      <c r="B31" s="1" t="e">
        <f>VLOOKUP(D31,epiunits!A$1:C$4000,3,FALSE)</f>
        <v>#N/A</v>
      </c>
      <c r="C31" s="1" t="e">
        <f>VLOOKUP(E31,Inspector!A$1:B$50,2,FALSE)</f>
        <v>#N/A</v>
      </c>
      <c r="I31" s="1" t="e">
        <f>VLOOKUP(D31,epiunits!A$1:J$4000,6,FALSE)</f>
        <v>#N/A</v>
      </c>
      <c r="J31" s="1" t="e">
        <f>VLOOKUP(D31,epiunits!A$1:J$4000,7,FALSE)</f>
        <v>#N/A</v>
      </c>
      <c r="K31" s="1" t="e">
        <f>VLOOKUP(D31,epiunits!A$1:J$4000,8,FALSE)</f>
        <v>#N/A</v>
      </c>
      <c r="L31" s="1" t="e">
        <f>VLOOKUP(D31,epiunits!A$1:J$4000,9,FALSE)</f>
        <v>#N/A</v>
      </c>
      <c r="M31" s="1" t="e">
        <f>VLOOKUP(D31,epiunits!A$1:J$4000,10,FALSE)</f>
        <v>#N/A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</row>
    <row r="32" spans="1:51" x14ac:dyDescent="0.25">
      <c r="A32" s="1" t="e">
        <f>VLOOKUP(D32,epiunits!A$1:C$4000,2,FALSE)</f>
        <v>#N/A</v>
      </c>
      <c r="B32" s="1" t="e">
        <f>VLOOKUP(D32,epiunits!A$1:C$4000,3,FALSE)</f>
        <v>#N/A</v>
      </c>
      <c r="C32" s="1" t="e">
        <f>VLOOKUP(E32,Inspector!A$1:B$50,2,FALSE)</f>
        <v>#N/A</v>
      </c>
      <c r="I32" s="1" t="e">
        <f>VLOOKUP(D32,epiunits!A$1:J$4000,6,FALSE)</f>
        <v>#N/A</v>
      </c>
      <c r="J32" s="1" t="e">
        <f>VLOOKUP(D32,epiunits!A$1:J$4000,7,FALSE)</f>
        <v>#N/A</v>
      </c>
      <c r="K32" s="1" t="e">
        <f>VLOOKUP(D32,epiunits!A$1:J$4000,8,FALSE)</f>
        <v>#N/A</v>
      </c>
      <c r="L32" s="1" t="e">
        <f>VLOOKUP(D32,epiunits!A$1:J$4000,9,FALSE)</f>
        <v>#N/A</v>
      </c>
      <c r="M32" s="1" t="e">
        <f>VLOOKUP(D32,epiunits!A$1:J$4000,10,FALSE)</f>
        <v>#N/A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</row>
    <row r="33" spans="1:51" x14ac:dyDescent="0.25">
      <c r="A33" s="1" t="e">
        <f>VLOOKUP(D33,epiunits!A$1:C$4000,2,FALSE)</f>
        <v>#N/A</v>
      </c>
      <c r="B33" s="1" t="e">
        <f>VLOOKUP(D33,epiunits!A$1:C$4000,3,FALSE)</f>
        <v>#N/A</v>
      </c>
      <c r="C33" s="1" t="e">
        <f>VLOOKUP(E33,Inspector!A$1:B$50,2,FALSE)</f>
        <v>#N/A</v>
      </c>
      <c r="I33" s="1" t="e">
        <f>VLOOKUP(D33,epiunits!A$1:J$4000,6,FALSE)</f>
        <v>#N/A</v>
      </c>
      <c r="J33" s="1" t="e">
        <f>VLOOKUP(D33,epiunits!A$1:J$4000,7,FALSE)</f>
        <v>#N/A</v>
      </c>
      <c r="K33" s="1" t="e">
        <f>VLOOKUP(D33,epiunits!A$1:J$4000,8,FALSE)</f>
        <v>#N/A</v>
      </c>
      <c r="L33" s="1" t="e">
        <f>VLOOKUP(D33,epiunits!A$1:J$4000,9,FALSE)</f>
        <v>#N/A</v>
      </c>
      <c r="M33" s="1" t="e">
        <f>VLOOKUP(D33,epiunits!A$1:J$4000,10,FALSE)</f>
        <v>#N/A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25">
      <c r="A34" s="1" t="e">
        <f>VLOOKUP(D34,epiunits!A$1:C$4000,2,FALSE)</f>
        <v>#N/A</v>
      </c>
      <c r="B34" s="1" t="e">
        <f>VLOOKUP(D34,epiunits!A$1:C$4000,3,FALSE)</f>
        <v>#N/A</v>
      </c>
      <c r="C34" s="1" t="e">
        <f>VLOOKUP(E34,Inspector!A$1:B$50,2,FALSE)</f>
        <v>#N/A</v>
      </c>
      <c r="I34" s="1" t="e">
        <f>VLOOKUP(D34,epiunits!A$1:J$4000,6,FALSE)</f>
        <v>#N/A</v>
      </c>
      <c r="J34" s="1" t="e">
        <f>VLOOKUP(D34,epiunits!A$1:J$4000,7,FALSE)</f>
        <v>#N/A</v>
      </c>
      <c r="K34" s="1" t="e">
        <f>VLOOKUP(D34,epiunits!A$1:J$4000,8,FALSE)</f>
        <v>#N/A</v>
      </c>
      <c r="L34" s="1" t="e">
        <f>VLOOKUP(D34,epiunits!A$1:J$4000,9,FALSE)</f>
        <v>#N/A</v>
      </c>
      <c r="M34" s="1" t="e">
        <f>VLOOKUP(D34,epiunits!A$1:J$4000,10,FALSE)</f>
        <v>#N/A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</row>
    <row r="35" spans="1:51" x14ac:dyDescent="0.25">
      <c r="A35" s="1" t="e">
        <f>VLOOKUP(D35,epiunits!A$1:C$4000,2,FALSE)</f>
        <v>#N/A</v>
      </c>
      <c r="B35" s="1" t="e">
        <f>VLOOKUP(D35,epiunits!A$1:C$4000,3,FALSE)</f>
        <v>#N/A</v>
      </c>
      <c r="C35" s="1" t="e">
        <f>VLOOKUP(E35,Inspector!A$1:B$50,2,FALSE)</f>
        <v>#N/A</v>
      </c>
      <c r="I35" s="1" t="e">
        <f>VLOOKUP(D35,epiunits!A$1:J$4000,6,FALSE)</f>
        <v>#N/A</v>
      </c>
      <c r="J35" s="1" t="e">
        <f>VLOOKUP(D35,epiunits!A$1:J$4000,7,FALSE)</f>
        <v>#N/A</v>
      </c>
      <c r="K35" s="1" t="e">
        <f>VLOOKUP(D35,epiunits!A$1:J$4000,8,FALSE)</f>
        <v>#N/A</v>
      </c>
      <c r="L35" s="1" t="e">
        <f>VLOOKUP(D35,epiunits!A$1:J$4000,9,FALSE)</f>
        <v>#N/A</v>
      </c>
      <c r="M35" s="1" t="e">
        <f>VLOOKUP(D35,epiunits!A$1:J$4000,10,FALSE)</f>
        <v>#N/A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25">
      <c r="A36" s="1" t="e">
        <f>VLOOKUP(D36,epiunits!A$1:C$4000,2,FALSE)</f>
        <v>#N/A</v>
      </c>
      <c r="B36" s="1" t="e">
        <f>VLOOKUP(D36,epiunits!A$1:C$4000,3,FALSE)</f>
        <v>#N/A</v>
      </c>
      <c r="C36" s="1" t="e">
        <f>VLOOKUP(E36,Inspector!A$1:B$50,2,FALSE)</f>
        <v>#N/A</v>
      </c>
      <c r="I36" s="1" t="e">
        <f>VLOOKUP(D36,epiunits!A$1:J$4000,6,FALSE)</f>
        <v>#N/A</v>
      </c>
      <c r="J36" s="1" t="e">
        <f>VLOOKUP(D36,epiunits!A$1:J$4000,7,FALSE)</f>
        <v>#N/A</v>
      </c>
      <c r="K36" s="1" t="e">
        <f>VLOOKUP(D36,epiunits!A$1:J$4000,8,FALSE)</f>
        <v>#N/A</v>
      </c>
      <c r="L36" s="1" t="e">
        <f>VLOOKUP(D36,epiunits!A$1:J$4000,9,FALSE)</f>
        <v>#N/A</v>
      </c>
      <c r="M36" s="1" t="e">
        <f>VLOOKUP(D36,epiunits!A$1:J$4000,10,FALSE)</f>
        <v>#N/A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</row>
    <row r="37" spans="1:51" x14ac:dyDescent="0.25">
      <c r="A37" s="1" t="e">
        <f>VLOOKUP(D37,epiunits!A$1:C$4000,2,FALSE)</f>
        <v>#N/A</v>
      </c>
      <c r="B37" s="1" t="e">
        <f>VLOOKUP(D37,epiunits!A$1:C$4000,3,FALSE)</f>
        <v>#N/A</v>
      </c>
      <c r="C37" s="1" t="e">
        <f>VLOOKUP(E37,Inspector!A$1:B$50,2,FALSE)</f>
        <v>#N/A</v>
      </c>
      <c r="I37" s="1" t="e">
        <f>VLOOKUP(D37,epiunits!A$1:J$4000,6,FALSE)</f>
        <v>#N/A</v>
      </c>
      <c r="J37" s="1" t="e">
        <f>VLOOKUP(D37,epiunits!A$1:J$4000,7,FALSE)</f>
        <v>#N/A</v>
      </c>
      <c r="K37" s="1" t="e">
        <f>VLOOKUP(D37,epiunits!A$1:J$4000,8,FALSE)</f>
        <v>#N/A</v>
      </c>
      <c r="L37" s="1" t="e">
        <f>VLOOKUP(D37,epiunits!A$1:J$4000,9,FALSE)</f>
        <v>#N/A</v>
      </c>
      <c r="M37" s="1" t="e">
        <f>VLOOKUP(D37,epiunits!A$1:J$4000,10,FALSE)</f>
        <v>#N/A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</row>
    <row r="38" spans="1:51" x14ac:dyDescent="0.25">
      <c r="A38" s="1" t="e">
        <f>VLOOKUP(D38,epiunits!A$1:C$4000,2,FALSE)</f>
        <v>#N/A</v>
      </c>
      <c r="B38" s="1" t="e">
        <f>VLOOKUP(D38,epiunits!A$1:C$4000,3,FALSE)</f>
        <v>#N/A</v>
      </c>
      <c r="C38" s="1" t="e">
        <f>VLOOKUP(E38,Inspector!A$1:B$50,2,FALSE)</f>
        <v>#N/A</v>
      </c>
      <c r="I38" s="1" t="e">
        <f>VLOOKUP(D38,epiunits!A$1:J$4000,6,FALSE)</f>
        <v>#N/A</v>
      </c>
      <c r="J38" s="1" t="e">
        <f>VLOOKUP(D38,epiunits!A$1:J$4000,7,FALSE)</f>
        <v>#N/A</v>
      </c>
      <c r="K38" s="1" t="e">
        <f>VLOOKUP(D38,epiunits!A$1:J$4000,8,FALSE)</f>
        <v>#N/A</v>
      </c>
      <c r="L38" s="1" t="e">
        <f>VLOOKUP(D38,epiunits!A$1:J$4000,9,FALSE)</f>
        <v>#N/A</v>
      </c>
      <c r="M38" s="1" t="e">
        <f>VLOOKUP(D38,epiunits!A$1:J$4000,10,FALSE)</f>
        <v>#N/A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</row>
    <row r="39" spans="1:51" x14ac:dyDescent="0.25">
      <c r="A39" s="1" t="e">
        <f>VLOOKUP(D39,epiunits!A$1:C$4000,2,FALSE)</f>
        <v>#N/A</v>
      </c>
      <c r="B39" s="1" t="e">
        <f>VLOOKUP(D39,epiunits!A$1:C$4000,3,FALSE)</f>
        <v>#N/A</v>
      </c>
      <c r="C39" s="1" t="e">
        <f>VLOOKUP(E39,Inspector!A$1:B$50,2,FALSE)</f>
        <v>#N/A</v>
      </c>
      <c r="I39" s="1" t="e">
        <f>VLOOKUP(D39,epiunits!A$1:J$4000,6,FALSE)</f>
        <v>#N/A</v>
      </c>
      <c r="J39" s="1" t="e">
        <f>VLOOKUP(D39,epiunits!A$1:J$4000,7,FALSE)</f>
        <v>#N/A</v>
      </c>
      <c r="K39" s="1" t="e">
        <f>VLOOKUP(D39,epiunits!A$1:J$4000,8,FALSE)</f>
        <v>#N/A</v>
      </c>
      <c r="L39" s="1" t="e">
        <f>VLOOKUP(D39,epiunits!A$1:J$4000,9,FALSE)</f>
        <v>#N/A</v>
      </c>
      <c r="M39" s="1" t="e">
        <f>VLOOKUP(D39,epiunits!A$1:J$4000,10,FALSE)</f>
        <v>#N/A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</row>
    <row r="40" spans="1:51" x14ac:dyDescent="0.25">
      <c r="A40" s="1" t="e">
        <f>VLOOKUP(D40,epiunits!A$1:C$4000,2,FALSE)</f>
        <v>#N/A</v>
      </c>
      <c r="B40" s="1" t="e">
        <f>VLOOKUP(D40,epiunits!A$1:C$4000,3,FALSE)</f>
        <v>#N/A</v>
      </c>
      <c r="C40" s="1" t="e">
        <f>VLOOKUP(E40,Inspector!A$1:B$50,2,FALSE)</f>
        <v>#N/A</v>
      </c>
      <c r="I40" s="1" t="e">
        <f>VLOOKUP(D40,epiunits!A$1:J$4000,6,FALSE)</f>
        <v>#N/A</v>
      </c>
      <c r="J40" s="1" t="e">
        <f>VLOOKUP(D40,epiunits!A$1:J$4000,7,FALSE)</f>
        <v>#N/A</v>
      </c>
      <c r="K40" s="1" t="e">
        <f>VLOOKUP(D40,epiunits!A$1:J$4000,8,FALSE)</f>
        <v>#N/A</v>
      </c>
      <c r="L40" s="1" t="e">
        <f>VLOOKUP(D40,epiunits!A$1:J$4000,9,FALSE)</f>
        <v>#N/A</v>
      </c>
      <c r="M40" s="1" t="e">
        <f>VLOOKUP(D40,epiunits!A$1:J$4000,10,FALSE)</f>
        <v>#N/A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</row>
    <row r="41" spans="1:51" x14ac:dyDescent="0.25">
      <c r="A41" s="1" t="e">
        <f>VLOOKUP(D41,epiunits!A$1:C$4000,2,FALSE)</f>
        <v>#N/A</v>
      </c>
      <c r="B41" s="1" t="e">
        <f>VLOOKUP(D41,epiunits!A$1:C$4000,3,FALSE)</f>
        <v>#N/A</v>
      </c>
      <c r="C41" s="1" t="e">
        <f>VLOOKUP(E41,Inspector!A$1:B$50,2,FALSE)</f>
        <v>#N/A</v>
      </c>
      <c r="I41" s="1" t="e">
        <f>VLOOKUP(D41,epiunits!A$1:J$4000,6,FALSE)</f>
        <v>#N/A</v>
      </c>
      <c r="J41" s="1" t="e">
        <f>VLOOKUP(D41,epiunits!A$1:J$4000,7,FALSE)</f>
        <v>#N/A</v>
      </c>
      <c r="K41" s="1" t="e">
        <f>VLOOKUP(D41,epiunits!A$1:J$4000,8,FALSE)</f>
        <v>#N/A</v>
      </c>
      <c r="L41" s="1" t="e">
        <f>VLOOKUP(D41,epiunits!A$1:J$4000,9,FALSE)</f>
        <v>#N/A</v>
      </c>
      <c r="M41" s="1" t="e">
        <f>VLOOKUP(D41,epiunits!A$1:J$4000,10,FALSE)</f>
        <v>#N/A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25">
      <c r="A42" s="1" t="e">
        <f>VLOOKUP(D42,epiunits!A$1:C$4000,2,FALSE)</f>
        <v>#N/A</v>
      </c>
      <c r="B42" s="1" t="e">
        <f>VLOOKUP(D42,epiunits!A$1:C$4000,3,FALSE)</f>
        <v>#N/A</v>
      </c>
      <c r="C42" s="1" t="e">
        <f>VLOOKUP(E42,Inspector!A$1:B$50,2,FALSE)</f>
        <v>#N/A</v>
      </c>
      <c r="I42" s="1" t="e">
        <f>VLOOKUP(D42,epiunits!A$1:J$4000,6,FALSE)</f>
        <v>#N/A</v>
      </c>
      <c r="J42" s="1" t="e">
        <f>VLOOKUP(D42,epiunits!A$1:J$4000,7,FALSE)</f>
        <v>#N/A</v>
      </c>
      <c r="K42" s="1" t="e">
        <f>VLOOKUP(D42,epiunits!A$1:J$4000,8,FALSE)</f>
        <v>#N/A</v>
      </c>
      <c r="L42" s="1" t="e">
        <f>VLOOKUP(D42,epiunits!A$1:J$4000,9,FALSE)</f>
        <v>#N/A</v>
      </c>
      <c r="M42" s="1" t="e">
        <f>VLOOKUP(D42,epiunits!A$1:J$4000,10,FALSE)</f>
        <v>#N/A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</row>
    <row r="43" spans="1:51" x14ac:dyDescent="0.25">
      <c r="A43" s="1" t="e">
        <f>VLOOKUP(D43,epiunits!A$1:C$4000,2,FALSE)</f>
        <v>#N/A</v>
      </c>
      <c r="B43" s="1" t="e">
        <f>VLOOKUP(D43,epiunits!A$1:C$4000,3,FALSE)</f>
        <v>#N/A</v>
      </c>
      <c r="C43" s="1" t="e">
        <f>VLOOKUP(E43,Inspector!A$1:B$50,2,FALSE)</f>
        <v>#N/A</v>
      </c>
      <c r="I43" s="1" t="e">
        <f>VLOOKUP(D43,epiunits!A$1:J$4000,6,FALSE)</f>
        <v>#N/A</v>
      </c>
      <c r="J43" s="1" t="e">
        <f>VLOOKUP(D43,epiunits!A$1:J$4000,7,FALSE)</f>
        <v>#N/A</v>
      </c>
      <c r="K43" s="1" t="e">
        <f>VLOOKUP(D43,epiunits!A$1:J$4000,8,FALSE)</f>
        <v>#N/A</v>
      </c>
      <c r="L43" s="1" t="e">
        <f>VLOOKUP(D43,epiunits!A$1:J$4000,9,FALSE)</f>
        <v>#N/A</v>
      </c>
      <c r="M43" s="1" t="e">
        <f>VLOOKUP(D43,epiunits!A$1:J$4000,10,FALSE)</f>
        <v>#N/A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</row>
    <row r="44" spans="1:51" x14ac:dyDescent="0.25">
      <c r="A44" s="1" t="e">
        <f>VLOOKUP(D44,epiunits!A$1:C$4000,2,FALSE)</f>
        <v>#N/A</v>
      </c>
      <c r="B44" s="1" t="e">
        <f>VLOOKUP(D44,epiunits!A$1:C$4000,3,FALSE)</f>
        <v>#N/A</v>
      </c>
      <c r="C44" s="1" t="e">
        <f>VLOOKUP(E44,Inspector!A$1:B$50,2,FALSE)</f>
        <v>#N/A</v>
      </c>
      <c r="I44" s="1" t="e">
        <f>VLOOKUP(D44,epiunits!A$1:J$4000,6,FALSE)</f>
        <v>#N/A</v>
      </c>
      <c r="J44" s="1" t="e">
        <f>VLOOKUP(D44,epiunits!A$1:J$4000,7,FALSE)</f>
        <v>#N/A</v>
      </c>
      <c r="K44" s="1" t="e">
        <f>VLOOKUP(D44,epiunits!A$1:J$4000,8,FALSE)</f>
        <v>#N/A</v>
      </c>
      <c r="L44" s="1" t="e">
        <f>VLOOKUP(D44,epiunits!A$1:J$4000,9,FALSE)</f>
        <v>#N/A</v>
      </c>
      <c r="M44" s="1" t="e">
        <f>VLOOKUP(D44,epiunits!A$1:J$4000,10,FALSE)</f>
        <v>#N/A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</row>
    <row r="45" spans="1:51" x14ac:dyDescent="0.25">
      <c r="A45" s="1" t="e">
        <f>VLOOKUP(D45,epiunits!A$1:C$4000,2,FALSE)</f>
        <v>#N/A</v>
      </c>
      <c r="B45" s="1" t="e">
        <f>VLOOKUP(D45,epiunits!A$1:C$4000,3,FALSE)</f>
        <v>#N/A</v>
      </c>
      <c r="C45" s="1" t="e">
        <f>VLOOKUP(E45,Inspector!A$1:B$50,2,FALSE)</f>
        <v>#N/A</v>
      </c>
      <c r="I45" s="1" t="e">
        <f>VLOOKUP(D45,epiunits!A$1:J$4000,6,FALSE)</f>
        <v>#N/A</v>
      </c>
      <c r="J45" s="1" t="e">
        <f>VLOOKUP(D45,epiunits!A$1:J$4000,7,FALSE)</f>
        <v>#N/A</v>
      </c>
      <c r="K45" s="1" t="e">
        <f>VLOOKUP(D45,epiunits!A$1:J$4000,8,FALSE)</f>
        <v>#N/A</v>
      </c>
      <c r="L45" s="1" t="e">
        <f>VLOOKUP(D45,epiunits!A$1:J$4000,9,FALSE)</f>
        <v>#N/A</v>
      </c>
      <c r="M45" s="1" t="e">
        <f>VLOOKUP(D45,epiunits!A$1:J$4000,10,FALSE)</f>
        <v>#N/A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</row>
    <row r="46" spans="1:51" x14ac:dyDescent="0.25">
      <c r="A46" s="1" t="e">
        <f>VLOOKUP(D46,epiunits!A$1:C$4000,2,FALSE)</f>
        <v>#N/A</v>
      </c>
      <c r="B46" s="1" t="e">
        <f>VLOOKUP(D46,epiunits!A$1:C$4000,3,FALSE)</f>
        <v>#N/A</v>
      </c>
      <c r="C46" s="1" t="e">
        <f>VLOOKUP(E46,Inspector!A$1:B$50,2,FALSE)</f>
        <v>#N/A</v>
      </c>
      <c r="I46" s="1" t="e">
        <f>VLOOKUP(D46,epiunits!A$1:J$4000,6,FALSE)</f>
        <v>#N/A</v>
      </c>
      <c r="J46" s="1" t="e">
        <f>VLOOKUP(D46,epiunits!A$1:J$4000,7,FALSE)</f>
        <v>#N/A</v>
      </c>
      <c r="K46" s="1" t="e">
        <f>VLOOKUP(D46,epiunits!A$1:J$4000,8,FALSE)</f>
        <v>#N/A</v>
      </c>
      <c r="L46" s="1" t="e">
        <f>VLOOKUP(D46,epiunits!A$1:J$4000,9,FALSE)</f>
        <v>#N/A</v>
      </c>
      <c r="M46" s="1" t="e">
        <f>VLOOKUP(D46,epiunits!A$1:J$4000,10,FALSE)</f>
        <v>#N/A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</row>
    <row r="47" spans="1:51" x14ac:dyDescent="0.25">
      <c r="A47" s="1" t="e">
        <f>VLOOKUP(D47,epiunits!A$1:C$4000,2,FALSE)</f>
        <v>#N/A</v>
      </c>
      <c r="B47" s="1" t="e">
        <f>VLOOKUP(D47,epiunits!A$1:C$4000,3,FALSE)</f>
        <v>#N/A</v>
      </c>
      <c r="C47" s="1" t="e">
        <f>VLOOKUP(E47,Inspector!A$1:B$50,2,FALSE)</f>
        <v>#N/A</v>
      </c>
      <c r="I47" s="1" t="e">
        <f>VLOOKUP(D47,epiunits!A$1:J$4000,6,FALSE)</f>
        <v>#N/A</v>
      </c>
      <c r="J47" s="1" t="e">
        <f>VLOOKUP(D47,epiunits!A$1:J$4000,7,FALSE)</f>
        <v>#N/A</v>
      </c>
      <c r="K47" s="1" t="e">
        <f>VLOOKUP(D47,epiunits!A$1:J$4000,8,FALSE)</f>
        <v>#N/A</v>
      </c>
      <c r="L47" s="1" t="e">
        <f>VLOOKUP(D47,epiunits!A$1:J$4000,9,FALSE)</f>
        <v>#N/A</v>
      </c>
      <c r="M47" s="1" t="e">
        <f>VLOOKUP(D47,epiunits!A$1:J$4000,10,FALSE)</f>
        <v>#N/A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</row>
    <row r="48" spans="1:51" x14ac:dyDescent="0.25">
      <c r="A48" s="1" t="e">
        <f>VLOOKUP(D48,epiunits!A$1:C$4000,2,FALSE)</f>
        <v>#N/A</v>
      </c>
      <c r="B48" s="1" t="e">
        <f>VLOOKUP(D48,epiunits!A$1:C$4000,3,FALSE)</f>
        <v>#N/A</v>
      </c>
      <c r="C48" s="1" t="e">
        <f>VLOOKUP(E48,Inspector!A$1:B$50,2,FALSE)</f>
        <v>#N/A</v>
      </c>
      <c r="I48" s="1" t="e">
        <f>VLOOKUP(D48,epiunits!A$1:J$4000,6,FALSE)</f>
        <v>#N/A</v>
      </c>
      <c r="J48" s="1" t="e">
        <f>VLOOKUP(D48,epiunits!A$1:J$4000,7,FALSE)</f>
        <v>#N/A</v>
      </c>
      <c r="K48" s="1" t="e">
        <f>VLOOKUP(D48,epiunits!A$1:J$4000,8,FALSE)</f>
        <v>#N/A</v>
      </c>
      <c r="L48" s="1" t="e">
        <f>VLOOKUP(D48,epiunits!A$1:J$4000,9,FALSE)</f>
        <v>#N/A</v>
      </c>
      <c r="M48" s="1" t="e">
        <f>VLOOKUP(D48,epiunits!A$1:J$4000,10,FALSE)</f>
        <v>#N/A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</row>
    <row r="49" spans="1:51" x14ac:dyDescent="0.25">
      <c r="A49" s="1" t="e">
        <f>VLOOKUP(D49,epiunits!A$1:C$4000,2,FALSE)</f>
        <v>#N/A</v>
      </c>
      <c r="B49" s="1" t="e">
        <f>VLOOKUP(D49,epiunits!A$1:C$4000,3,FALSE)</f>
        <v>#N/A</v>
      </c>
      <c r="C49" s="1" t="e">
        <f>VLOOKUP(E49,Inspector!A$1:B$50,2,FALSE)</f>
        <v>#N/A</v>
      </c>
      <c r="I49" s="1" t="e">
        <f>VLOOKUP(D49,epiunits!A$1:J$4000,6,FALSE)</f>
        <v>#N/A</v>
      </c>
      <c r="J49" s="1" t="e">
        <f>VLOOKUP(D49,epiunits!A$1:J$4000,7,FALSE)</f>
        <v>#N/A</v>
      </c>
      <c r="K49" s="1" t="e">
        <f>VLOOKUP(D49,epiunits!A$1:J$4000,8,FALSE)</f>
        <v>#N/A</v>
      </c>
      <c r="L49" s="1" t="e">
        <f>VLOOKUP(D49,epiunits!A$1:J$4000,9,FALSE)</f>
        <v>#N/A</v>
      </c>
      <c r="M49" s="1" t="e">
        <f>VLOOKUP(D49,epiunits!A$1:J$4000,10,FALSE)</f>
        <v>#N/A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</row>
    <row r="50" spans="1:51" x14ac:dyDescent="0.25">
      <c r="A50" s="1" t="e">
        <f>VLOOKUP(D50,epiunits!A$1:C$4000,2,FALSE)</f>
        <v>#N/A</v>
      </c>
      <c r="B50" s="1" t="e">
        <f>VLOOKUP(D50,epiunits!A$1:C$4000,3,FALSE)</f>
        <v>#N/A</v>
      </c>
      <c r="C50" s="1" t="e">
        <f>VLOOKUP(E50,Inspector!A$1:B$50,2,FALSE)</f>
        <v>#N/A</v>
      </c>
      <c r="I50" s="1" t="e">
        <f>VLOOKUP(D50,epiunits!A$1:J$4000,6,FALSE)</f>
        <v>#N/A</v>
      </c>
      <c r="J50" s="1" t="e">
        <f>VLOOKUP(D50,epiunits!A$1:J$4000,7,FALSE)</f>
        <v>#N/A</v>
      </c>
      <c r="K50" s="1" t="e">
        <f>VLOOKUP(D50,epiunits!A$1:J$4000,8,FALSE)</f>
        <v>#N/A</v>
      </c>
      <c r="L50" s="1" t="e">
        <f>VLOOKUP(D50,epiunits!A$1:J$4000,9,FALSE)</f>
        <v>#N/A</v>
      </c>
      <c r="M50" s="1" t="e">
        <f>VLOOKUP(D50,epiunits!A$1:J$4000,10,FALSE)</f>
        <v>#N/A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</row>
    <row r="51" spans="1:51" x14ac:dyDescent="0.25">
      <c r="A51" s="1" t="e">
        <f>VLOOKUP(D51,epiunits!A$1:C$4000,2,FALSE)</f>
        <v>#N/A</v>
      </c>
      <c r="B51" s="1" t="e">
        <f>VLOOKUP(D51,epiunits!A$1:C$4000,3,FALSE)</f>
        <v>#N/A</v>
      </c>
      <c r="C51" s="1" t="e">
        <f>VLOOKUP(E51,Inspector!A$1:B$50,2,FALSE)</f>
        <v>#N/A</v>
      </c>
      <c r="I51" s="1" t="e">
        <f>VLOOKUP(D51,epiunits!A$1:J$4000,6,FALSE)</f>
        <v>#N/A</v>
      </c>
      <c r="J51" s="1" t="e">
        <f>VLOOKUP(D51,epiunits!A$1:J$4000,7,FALSE)</f>
        <v>#N/A</v>
      </c>
      <c r="K51" s="1" t="e">
        <f>VLOOKUP(D51,epiunits!A$1:J$4000,8,FALSE)</f>
        <v>#N/A</v>
      </c>
      <c r="L51" s="1" t="e">
        <f>VLOOKUP(D51,epiunits!A$1:J$4000,9,FALSE)</f>
        <v>#N/A</v>
      </c>
      <c r="M51" s="1" t="e">
        <f>VLOOKUP(D51,epiunits!A$1:J$4000,10,FALSE)</f>
        <v>#N/A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</row>
    <row r="52" spans="1:51" x14ac:dyDescent="0.25">
      <c r="A52" s="1" t="e">
        <f>VLOOKUP(D52,epiunits!A$1:C$4000,2,FALSE)</f>
        <v>#N/A</v>
      </c>
      <c r="B52" s="1" t="e">
        <f>VLOOKUP(D52,epiunits!A$1:C$4000,3,FALSE)</f>
        <v>#N/A</v>
      </c>
      <c r="C52" s="1" t="e">
        <f>VLOOKUP(E52,Inspector!A$1:B$50,2,FALSE)</f>
        <v>#N/A</v>
      </c>
      <c r="I52" s="1" t="e">
        <f>VLOOKUP(D52,epiunits!A$1:J$4000,6,FALSE)</f>
        <v>#N/A</v>
      </c>
      <c r="J52" s="1" t="e">
        <f>VLOOKUP(D52,epiunits!A$1:J$4000,7,FALSE)</f>
        <v>#N/A</v>
      </c>
      <c r="K52" s="1" t="e">
        <f>VLOOKUP(D52,epiunits!A$1:J$4000,8,FALSE)</f>
        <v>#N/A</v>
      </c>
      <c r="L52" s="1" t="e">
        <f>VLOOKUP(D52,epiunits!A$1:J$4000,9,FALSE)</f>
        <v>#N/A</v>
      </c>
      <c r="M52" s="1" t="e">
        <f>VLOOKUP(D52,epiunits!A$1:J$4000,10,FALSE)</f>
        <v>#N/A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</row>
    <row r="53" spans="1:51" x14ac:dyDescent="0.25">
      <c r="A53" s="1" t="e">
        <f>VLOOKUP(D53,epiunits!A$1:C$4000,2,FALSE)</f>
        <v>#N/A</v>
      </c>
      <c r="B53" s="1" t="e">
        <f>VLOOKUP(D53,epiunits!A$1:C$4000,3,FALSE)</f>
        <v>#N/A</v>
      </c>
      <c r="C53" s="1" t="e">
        <f>VLOOKUP(E53,Inspector!A$1:B$50,2,FALSE)</f>
        <v>#N/A</v>
      </c>
      <c r="I53" s="1" t="e">
        <f>VLOOKUP(D53,epiunits!A$1:J$4000,6,FALSE)</f>
        <v>#N/A</v>
      </c>
      <c r="J53" s="1" t="e">
        <f>VLOOKUP(D53,epiunits!A$1:J$4000,7,FALSE)</f>
        <v>#N/A</v>
      </c>
      <c r="K53" s="1" t="e">
        <f>VLOOKUP(D53,epiunits!A$1:J$4000,8,FALSE)</f>
        <v>#N/A</v>
      </c>
      <c r="L53" s="1" t="e">
        <f>VLOOKUP(D53,epiunits!A$1:J$4000,9,FALSE)</f>
        <v>#N/A</v>
      </c>
      <c r="M53" s="1" t="e">
        <f>VLOOKUP(D53,epiunits!A$1:J$4000,10,FALSE)</f>
        <v>#N/A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</row>
    <row r="54" spans="1:51" x14ac:dyDescent="0.25">
      <c r="A54" s="1" t="e">
        <f>VLOOKUP(D54,epiunits!A$1:C$4000,2,FALSE)</f>
        <v>#N/A</v>
      </c>
      <c r="B54" s="1" t="e">
        <f>VLOOKUP(D54,epiunits!A$1:C$4000,3,FALSE)</f>
        <v>#N/A</v>
      </c>
      <c r="C54" s="1" t="e">
        <f>VLOOKUP(E54,Inspector!A$1:B$50,2,FALSE)</f>
        <v>#N/A</v>
      </c>
      <c r="I54" s="1" t="e">
        <f>VLOOKUP(D54,epiunits!A$1:J$4000,6,FALSE)</f>
        <v>#N/A</v>
      </c>
      <c r="J54" s="1" t="e">
        <f>VLOOKUP(D54,epiunits!A$1:J$4000,7,FALSE)</f>
        <v>#N/A</v>
      </c>
      <c r="K54" s="1" t="e">
        <f>VLOOKUP(D54,epiunits!A$1:J$4000,8,FALSE)</f>
        <v>#N/A</v>
      </c>
      <c r="L54" s="1" t="e">
        <f>VLOOKUP(D54,epiunits!A$1:J$4000,9,FALSE)</f>
        <v>#N/A</v>
      </c>
      <c r="M54" s="1" t="e">
        <f>VLOOKUP(D54,epiunits!A$1:J$4000,10,FALSE)</f>
        <v>#N/A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</row>
    <row r="55" spans="1:51" x14ac:dyDescent="0.25">
      <c r="A55" s="1" t="e">
        <f>VLOOKUP(D55,epiunits!A$1:C$4000,2,FALSE)</f>
        <v>#N/A</v>
      </c>
      <c r="B55" s="1" t="e">
        <f>VLOOKUP(D55,epiunits!A$1:C$4000,3,FALSE)</f>
        <v>#N/A</v>
      </c>
      <c r="C55" s="1" t="e">
        <f>VLOOKUP(E55,Inspector!A$1:B$50,2,FALSE)</f>
        <v>#N/A</v>
      </c>
      <c r="I55" s="1" t="e">
        <f>VLOOKUP(D55,epiunits!A$1:J$4000,6,FALSE)</f>
        <v>#N/A</v>
      </c>
      <c r="J55" s="1" t="e">
        <f>VLOOKUP(D55,epiunits!A$1:J$4000,7,FALSE)</f>
        <v>#N/A</v>
      </c>
      <c r="K55" s="1" t="e">
        <f>VLOOKUP(D55,epiunits!A$1:J$4000,8,FALSE)</f>
        <v>#N/A</v>
      </c>
      <c r="L55" s="1" t="e">
        <f>VLOOKUP(D55,epiunits!A$1:J$4000,9,FALSE)</f>
        <v>#N/A</v>
      </c>
      <c r="M55" s="1" t="e">
        <f>VLOOKUP(D55,epiunits!A$1:J$4000,10,FALSE)</f>
        <v>#N/A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</row>
    <row r="56" spans="1:51" x14ac:dyDescent="0.25">
      <c r="A56" s="1" t="e">
        <f>VLOOKUP(D56,epiunits!A$1:C$4000,2,FALSE)</f>
        <v>#N/A</v>
      </c>
      <c r="B56" s="1" t="e">
        <f>VLOOKUP(D56,epiunits!A$1:C$4000,3,FALSE)</f>
        <v>#N/A</v>
      </c>
      <c r="C56" s="1" t="e">
        <f>VLOOKUP(E56,Inspector!A$1:B$50,2,FALSE)</f>
        <v>#N/A</v>
      </c>
      <c r="I56" s="1" t="e">
        <f>VLOOKUP(D56,epiunits!A$1:J$4000,6,FALSE)</f>
        <v>#N/A</v>
      </c>
      <c r="J56" s="1" t="e">
        <f>VLOOKUP(D56,epiunits!A$1:J$4000,7,FALSE)</f>
        <v>#N/A</v>
      </c>
      <c r="K56" s="1" t="e">
        <f>VLOOKUP(D56,epiunits!A$1:J$4000,8,FALSE)</f>
        <v>#N/A</v>
      </c>
      <c r="L56" s="1" t="e">
        <f>VLOOKUP(D56,epiunits!A$1:J$4000,9,FALSE)</f>
        <v>#N/A</v>
      </c>
      <c r="M56" s="1" t="e">
        <f>VLOOKUP(D56,epiunits!A$1:J$4000,10,FALSE)</f>
        <v>#N/A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</row>
    <row r="57" spans="1:51" x14ac:dyDescent="0.25">
      <c r="A57" s="1" t="e">
        <f>VLOOKUP(D57,epiunits!A$1:C$4000,2,FALSE)</f>
        <v>#N/A</v>
      </c>
      <c r="B57" s="1" t="e">
        <f>VLOOKUP(D57,epiunits!A$1:C$4000,3,FALSE)</f>
        <v>#N/A</v>
      </c>
      <c r="C57" s="1" t="e">
        <f>VLOOKUP(E57,Inspector!A$1:B$50,2,FALSE)</f>
        <v>#N/A</v>
      </c>
      <c r="I57" s="1" t="e">
        <f>VLOOKUP(D57,epiunits!A$1:J$4000,6,FALSE)</f>
        <v>#N/A</v>
      </c>
      <c r="J57" s="1" t="e">
        <f>VLOOKUP(D57,epiunits!A$1:J$4000,7,FALSE)</f>
        <v>#N/A</v>
      </c>
      <c r="K57" s="1" t="e">
        <f>VLOOKUP(D57,epiunits!A$1:J$4000,8,FALSE)</f>
        <v>#N/A</v>
      </c>
      <c r="L57" s="1" t="e">
        <f>VLOOKUP(D57,epiunits!A$1:J$4000,9,FALSE)</f>
        <v>#N/A</v>
      </c>
      <c r="M57" s="1" t="e">
        <f>VLOOKUP(D57,epiunits!A$1:J$4000,10,FALSE)</f>
        <v>#N/A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</row>
    <row r="58" spans="1:51" x14ac:dyDescent="0.25">
      <c r="A58" s="1" t="e">
        <f>VLOOKUP(D58,epiunits!A$1:C$4000,2,FALSE)</f>
        <v>#N/A</v>
      </c>
      <c r="B58" s="1" t="e">
        <f>VLOOKUP(D58,epiunits!A$1:C$4000,3,FALSE)</f>
        <v>#N/A</v>
      </c>
      <c r="C58" s="1" t="e">
        <f>VLOOKUP(E58,Inspector!A$1:B$50,2,FALSE)</f>
        <v>#N/A</v>
      </c>
      <c r="I58" s="1" t="e">
        <f>VLOOKUP(D58,epiunits!A$1:J$4000,6,FALSE)</f>
        <v>#N/A</v>
      </c>
      <c r="J58" s="1" t="e">
        <f>VLOOKUP(D58,epiunits!A$1:J$4000,7,FALSE)</f>
        <v>#N/A</v>
      </c>
      <c r="K58" s="1" t="e">
        <f>VLOOKUP(D58,epiunits!A$1:J$4000,8,FALSE)</f>
        <v>#N/A</v>
      </c>
      <c r="L58" s="1" t="e">
        <f>VLOOKUP(D58,epiunits!A$1:J$4000,9,FALSE)</f>
        <v>#N/A</v>
      </c>
      <c r="M58" s="1" t="e">
        <f>VLOOKUP(D58,epiunits!A$1:J$4000,10,FALSE)</f>
        <v>#N/A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</row>
    <row r="59" spans="1:51" x14ac:dyDescent="0.25">
      <c r="A59" s="1" t="e">
        <f>VLOOKUP(D59,epiunits!A$1:C$4000,2,FALSE)</f>
        <v>#N/A</v>
      </c>
      <c r="B59" s="1" t="e">
        <f>VLOOKUP(D59,epiunits!A$1:C$4000,3,FALSE)</f>
        <v>#N/A</v>
      </c>
      <c r="C59" s="1" t="e">
        <f>VLOOKUP(E59,Inspector!A$1:B$50,2,FALSE)</f>
        <v>#N/A</v>
      </c>
      <c r="I59" s="1" t="e">
        <f>VLOOKUP(D59,epiunits!A$1:J$4000,6,FALSE)</f>
        <v>#N/A</v>
      </c>
      <c r="J59" s="1" t="e">
        <f>VLOOKUP(D59,epiunits!A$1:J$4000,7,FALSE)</f>
        <v>#N/A</v>
      </c>
      <c r="K59" s="1" t="e">
        <f>VLOOKUP(D59,epiunits!A$1:J$4000,8,FALSE)</f>
        <v>#N/A</v>
      </c>
      <c r="L59" s="1" t="e">
        <f>VLOOKUP(D59,epiunits!A$1:J$4000,9,FALSE)</f>
        <v>#N/A</v>
      </c>
      <c r="M59" s="1" t="e">
        <f>VLOOKUP(D59,epiunits!A$1:J$4000,10,FALSE)</f>
        <v>#N/A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</row>
    <row r="60" spans="1:51" x14ac:dyDescent="0.25">
      <c r="A60" s="1" t="e">
        <f>VLOOKUP(D60,epiunits!A$1:C$4000,2,FALSE)</f>
        <v>#N/A</v>
      </c>
      <c r="B60" s="1" t="e">
        <f>VLOOKUP(D60,epiunits!A$1:C$4000,3,FALSE)</f>
        <v>#N/A</v>
      </c>
      <c r="C60" s="1" t="e">
        <f>VLOOKUP(E60,Inspector!A$1:B$50,2,FALSE)</f>
        <v>#N/A</v>
      </c>
      <c r="I60" s="1" t="e">
        <f>VLOOKUP(D60,epiunits!A$1:J$4000,6,FALSE)</f>
        <v>#N/A</v>
      </c>
      <c r="J60" s="1" t="e">
        <f>VLOOKUP(D60,epiunits!A$1:J$4000,7,FALSE)</f>
        <v>#N/A</v>
      </c>
      <c r="K60" s="1" t="e">
        <f>VLOOKUP(D60,epiunits!A$1:J$4000,8,FALSE)</f>
        <v>#N/A</v>
      </c>
      <c r="L60" s="1" t="e">
        <f>VLOOKUP(D60,epiunits!A$1:J$4000,9,FALSE)</f>
        <v>#N/A</v>
      </c>
      <c r="M60" s="1" t="e">
        <f>VLOOKUP(D60,epiunits!A$1:J$4000,10,FALSE)</f>
        <v>#N/A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25">
      <c r="A61" s="1" t="e">
        <f>VLOOKUP(D61,epiunits!A$1:C$4000,2,FALSE)</f>
        <v>#N/A</v>
      </c>
      <c r="B61" s="1" t="e">
        <f>VLOOKUP(D61,epiunits!A$1:C$4000,3,FALSE)</f>
        <v>#N/A</v>
      </c>
      <c r="C61" s="1" t="e">
        <f>VLOOKUP(E61,Inspector!A$1:B$50,2,FALSE)</f>
        <v>#N/A</v>
      </c>
      <c r="I61" s="1" t="e">
        <f>VLOOKUP(D61,epiunits!A$1:J$4000,6,FALSE)</f>
        <v>#N/A</v>
      </c>
      <c r="J61" s="1" t="e">
        <f>VLOOKUP(D61,epiunits!A$1:J$4000,7,FALSE)</f>
        <v>#N/A</v>
      </c>
      <c r="K61" s="1" t="e">
        <f>VLOOKUP(D61,epiunits!A$1:J$4000,8,FALSE)</f>
        <v>#N/A</v>
      </c>
      <c r="L61" s="1" t="e">
        <f>VLOOKUP(D61,epiunits!A$1:J$4000,9,FALSE)</f>
        <v>#N/A</v>
      </c>
      <c r="M61" s="1" t="e">
        <f>VLOOKUP(D61,epiunits!A$1:J$4000,10,FALSE)</f>
        <v>#N/A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</row>
    <row r="62" spans="1:51" x14ac:dyDescent="0.25">
      <c r="A62" s="1" t="e">
        <f>VLOOKUP(D62,epiunits!A$1:C$4000,2,FALSE)</f>
        <v>#N/A</v>
      </c>
      <c r="B62" s="1" t="e">
        <f>VLOOKUP(D62,epiunits!A$1:C$4000,3,FALSE)</f>
        <v>#N/A</v>
      </c>
      <c r="C62" s="1" t="e">
        <f>VLOOKUP(E62,Inspector!A$1:B$50,2,FALSE)</f>
        <v>#N/A</v>
      </c>
      <c r="I62" s="1" t="e">
        <f>VLOOKUP(D62,epiunits!A$1:J$4000,6,FALSE)</f>
        <v>#N/A</v>
      </c>
      <c r="J62" s="1" t="e">
        <f>VLOOKUP(D62,epiunits!A$1:J$4000,7,FALSE)</f>
        <v>#N/A</v>
      </c>
      <c r="K62" s="1" t="e">
        <f>VLOOKUP(D62,epiunits!A$1:J$4000,8,FALSE)</f>
        <v>#N/A</v>
      </c>
      <c r="L62" s="1" t="e">
        <f>VLOOKUP(D62,epiunits!A$1:J$4000,9,FALSE)</f>
        <v>#N/A</v>
      </c>
      <c r="M62" s="1" t="e">
        <f>VLOOKUP(D62,epiunits!A$1:J$4000,10,FALSE)</f>
        <v>#N/A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</row>
    <row r="63" spans="1:51" x14ac:dyDescent="0.25">
      <c r="A63" s="1" t="e">
        <f>VLOOKUP(D63,epiunits!A$1:C$4000,2,FALSE)</f>
        <v>#N/A</v>
      </c>
      <c r="B63" s="1" t="e">
        <f>VLOOKUP(D63,epiunits!A$1:C$4000,3,FALSE)</f>
        <v>#N/A</v>
      </c>
      <c r="C63" s="1" t="e">
        <f>VLOOKUP(E63,Inspector!A$1:B$50,2,FALSE)</f>
        <v>#N/A</v>
      </c>
      <c r="I63" s="1" t="e">
        <f>VLOOKUP(D63,epiunits!A$1:J$4000,6,FALSE)</f>
        <v>#N/A</v>
      </c>
      <c r="J63" s="1" t="e">
        <f>VLOOKUP(D63,epiunits!A$1:J$4000,7,FALSE)</f>
        <v>#N/A</v>
      </c>
      <c r="K63" s="1" t="e">
        <f>VLOOKUP(D63,epiunits!A$1:J$4000,8,FALSE)</f>
        <v>#N/A</v>
      </c>
      <c r="L63" s="1" t="e">
        <f>VLOOKUP(D63,epiunits!A$1:J$4000,9,FALSE)</f>
        <v>#N/A</v>
      </c>
      <c r="M63" s="1" t="e">
        <f>VLOOKUP(D63,epiunits!A$1:J$4000,10,FALSE)</f>
        <v>#N/A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</row>
    <row r="64" spans="1:51" x14ac:dyDescent="0.25">
      <c r="A64" s="1" t="e">
        <f>VLOOKUP(D64,epiunits!A$1:C$4000,2,FALSE)</f>
        <v>#N/A</v>
      </c>
      <c r="B64" s="1" t="e">
        <f>VLOOKUP(D64,epiunits!A$1:C$4000,3,FALSE)</f>
        <v>#N/A</v>
      </c>
      <c r="C64" s="1" t="e">
        <f>VLOOKUP(E64,Inspector!A$1:B$50,2,FALSE)</f>
        <v>#N/A</v>
      </c>
      <c r="I64" s="1" t="e">
        <f>VLOOKUP(D64,epiunits!A$1:J$4000,6,FALSE)</f>
        <v>#N/A</v>
      </c>
      <c r="J64" s="1" t="e">
        <f>VLOOKUP(D64,epiunits!A$1:J$4000,7,FALSE)</f>
        <v>#N/A</v>
      </c>
      <c r="K64" s="1" t="e">
        <f>VLOOKUP(D64,epiunits!A$1:J$4000,8,FALSE)</f>
        <v>#N/A</v>
      </c>
      <c r="L64" s="1" t="e">
        <f>VLOOKUP(D64,epiunits!A$1:J$4000,9,FALSE)</f>
        <v>#N/A</v>
      </c>
      <c r="M64" s="1" t="e">
        <f>VLOOKUP(D64,epiunits!A$1:J$4000,10,FALSE)</f>
        <v>#N/A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</row>
    <row r="65" spans="1:51" x14ac:dyDescent="0.25">
      <c r="A65" s="1" t="e">
        <f>VLOOKUP(D65,epiunits!A$1:C$4000,2,FALSE)</f>
        <v>#N/A</v>
      </c>
      <c r="B65" s="1" t="e">
        <f>VLOOKUP(D65,epiunits!A$1:C$4000,3,FALSE)</f>
        <v>#N/A</v>
      </c>
      <c r="C65" s="1" t="e">
        <f>VLOOKUP(E65,Inspector!A$1:B$50,2,FALSE)</f>
        <v>#N/A</v>
      </c>
      <c r="I65" s="1" t="e">
        <f>VLOOKUP(D65,epiunits!A$1:J$4000,6,FALSE)</f>
        <v>#N/A</v>
      </c>
      <c r="J65" s="1" t="e">
        <f>VLOOKUP(D65,epiunits!A$1:J$4000,7,FALSE)</f>
        <v>#N/A</v>
      </c>
      <c r="K65" s="1" t="e">
        <f>VLOOKUP(D65,epiunits!A$1:J$4000,8,FALSE)</f>
        <v>#N/A</v>
      </c>
      <c r="L65" s="1" t="e">
        <f>VLOOKUP(D65,epiunits!A$1:J$4000,9,FALSE)</f>
        <v>#N/A</v>
      </c>
      <c r="M65" s="1" t="e">
        <f>VLOOKUP(D65,epiunits!A$1:J$4000,10,FALSE)</f>
        <v>#N/A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</row>
    <row r="66" spans="1:51" x14ac:dyDescent="0.25">
      <c r="A66" s="1" t="e">
        <f>VLOOKUP(D66,epiunits!A$1:C$4000,2,FALSE)</f>
        <v>#N/A</v>
      </c>
      <c r="B66" s="1" t="e">
        <f>VLOOKUP(D66,epiunits!A$1:C$4000,3,FALSE)</f>
        <v>#N/A</v>
      </c>
      <c r="C66" s="1" t="e">
        <f>VLOOKUP(E66,Inspector!A$1:B$50,2,FALSE)</f>
        <v>#N/A</v>
      </c>
      <c r="I66" s="1" t="e">
        <f>VLOOKUP(D66,epiunits!A$1:J$4000,6,FALSE)</f>
        <v>#N/A</v>
      </c>
      <c r="J66" s="1" t="e">
        <f>VLOOKUP(D66,epiunits!A$1:J$4000,7,FALSE)</f>
        <v>#N/A</v>
      </c>
      <c r="K66" s="1" t="e">
        <f>VLOOKUP(D66,epiunits!A$1:J$4000,8,FALSE)</f>
        <v>#N/A</v>
      </c>
      <c r="L66" s="1" t="e">
        <f>VLOOKUP(D66,epiunits!A$1:J$4000,9,FALSE)</f>
        <v>#N/A</v>
      </c>
      <c r="M66" s="1" t="e">
        <f>VLOOKUP(D66,epiunits!A$1:J$4000,10,FALSE)</f>
        <v>#N/A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</row>
    <row r="67" spans="1:51" x14ac:dyDescent="0.25">
      <c r="A67" s="1" t="e">
        <f>VLOOKUP(D67,epiunits!A$1:C$4000,2,FALSE)</f>
        <v>#N/A</v>
      </c>
      <c r="B67" s="1" t="e">
        <f>VLOOKUP(D67,epiunits!A$1:C$4000,3,FALSE)</f>
        <v>#N/A</v>
      </c>
      <c r="C67" s="1" t="e">
        <f>VLOOKUP(E67,Inspector!A$1:B$50,2,FALSE)</f>
        <v>#N/A</v>
      </c>
      <c r="I67" s="1" t="e">
        <f>VLOOKUP(D67,epiunits!A$1:J$4000,6,FALSE)</f>
        <v>#N/A</v>
      </c>
      <c r="J67" s="1" t="e">
        <f>VLOOKUP(D67,epiunits!A$1:J$4000,7,FALSE)</f>
        <v>#N/A</v>
      </c>
      <c r="K67" s="1" t="e">
        <f>VLOOKUP(D67,epiunits!A$1:J$4000,8,FALSE)</f>
        <v>#N/A</v>
      </c>
      <c r="L67" s="1" t="e">
        <f>VLOOKUP(D67,epiunits!A$1:J$4000,9,FALSE)</f>
        <v>#N/A</v>
      </c>
      <c r="M67" s="1" t="e">
        <f>VLOOKUP(D67,epiunits!A$1:J$4000,10,FALSE)</f>
        <v>#N/A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</row>
    <row r="68" spans="1:51" x14ac:dyDescent="0.25">
      <c r="A68" s="1" t="e">
        <f>VLOOKUP(D68,epiunits!A$1:C$4000,2,FALSE)</f>
        <v>#N/A</v>
      </c>
      <c r="B68" s="1" t="e">
        <f>VLOOKUP(D68,epiunits!A$1:C$4000,3,FALSE)</f>
        <v>#N/A</v>
      </c>
      <c r="C68" s="1" t="e">
        <f>VLOOKUP(E68,Inspector!A$1:B$50,2,FALSE)</f>
        <v>#N/A</v>
      </c>
      <c r="I68" s="1" t="e">
        <f>VLOOKUP(D68,epiunits!A$1:J$4000,6,FALSE)</f>
        <v>#N/A</v>
      </c>
      <c r="J68" s="1" t="e">
        <f>VLOOKUP(D68,epiunits!A$1:J$4000,7,FALSE)</f>
        <v>#N/A</v>
      </c>
      <c r="K68" s="1" t="e">
        <f>VLOOKUP(D68,epiunits!A$1:J$4000,8,FALSE)</f>
        <v>#N/A</v>
      </c>
      <c r="L68" s="1" t="e">
        <f>VLOOKUP(D68,epiunits!A$1:J$4000,9,FALSE)</f>
        <v>#N/A</v>
      </c>
      <c r="M68" s="1" t="e">
        <f>VLOOKUP(D68,epiunits!A$1:J$4000,10,FALSE)</f>
        <v>#N/A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</row>
    <row r="69" spans="1:51" x14ac:dyDescent="0.25">
      <c r="A69" s="1" t="e">
        <f>VLOOKUP(D69,epiunits!A$1:C$4000,2,FALSE)</f>
        <v>#N/A</v>
      </c>
      <c r="B69" s="1" t="e">
        <f>VLOOKUP(D69,epiunits!A$1:C$4000,3,FALSE)</f>
        <v>#N/A</v>
      </c>
      <c r="C69" s="1" t="e">
        <f>VLOOKUP(E69,Inspector!A$1:B$50,2,FALSE)</f>
        <v>#N/A</v>
      </c>
      <c r="I69" s="1" t="e">
        <f>VLOOKUP(D69,epiunits!A$1:J$4000,6,FALSE)</f>
        <v>#N/A</v>
      </c>
      <c r="J69" s="1" t="e">
        <f>VLOOKUP(D69,epiunits!A$1:J$4000,7,FALSE)</f>
        <v>#N/A</v>
      </c>
      <c r="K69" s="1" t="e">
        <f>VLOOKUP(D69,epiunits!A$1:J$4000,8,FALSE)</f>
        <v>#N/A</v>
      </c>
      <c r="L69" s="1" t="e">
        <f>VLOOKUP(D69,epiunits!A$1:J$4000,9,FALSE)</f>
        <v>#N/A</v>
      </c>
      <c r="M69" s="1" t="e">
        <f>VLOOKUP(D69,epiunits!A$1:J$4000,10,FALSE)</f>
        <v>#N/A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</row>
    <row r="70" spans="1:51" x14ac:dyDescent="0.25">
      <c r="A70" s="1" t="e">
        <f>VLOOKUP(D70,epiunits!A$1:C$4000,2,FALSE)</f>
        <v>#N/A</v>
      </c>
      <c r="B70" s="1" t="e">
        <f>VLOOKUP(D70,epiunits!A$1:C$4000,3,FALSE)</f>
        <v>#N/A</v>
      </c>
      <c r="C70" s="1" t="e">
        <f>VLOOKUP(E70,Inspector!A$1:B$50,2,FALSE)</f>
        <v>#N/A</v>
      </c>
      <c r="I70" s="1" t="e">
        <f>VLOOKUP(D70,epiunits!A$1:J$4000,6,FALSE)</f>
        <v>#N/A</v>
      </c>
      <c r="J70" s="1" t="e">
        <f>VLOOKUP(D70,epiunits!A$1:J$4000,7,FALSE)</f>
        <v>#N/A</v>
      </c>
      <c r="K70" s="1" t="e">
        <f>VLOOKUP(D70,epiunits!A$1:J$4000,8,FALSE)</f>
        <v>#N/A</v>
      </c>
      <c r="L70" s="1" t="e">
        <f>VLOOKUP(D70,epiunits!A$1:J$4000,9,FALSE)</f>
        <v>#N/A</v>
      </c>
      <c r="M70" s="1" t="e">
        <f>VLOOKUP(D70,epiunits!A$1:J$4000,10,FALSE)</f>
        <v>#N/A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25">
      <c r="A71" s="1" t="e">
        <f>VLOOKUP(D71,epiunits!A$1:C$4000,2,FALSE)</f>
        <v>#N/A</v>
      </c>
      <c r="B71" s="1" t="e">
        <f>VLOOKUP(D71,epiunits!A$1:C$4000,3,FALSE)</f>
        <v>#N/A</v>
      </c>
      <c r="C71" s="1" t="e">
        <f>VLOOKUP(E71,Inspector!A$1:B$50,2,FALSE)</f>
        <v>#N/A</v>
      </c>
      <c r="I71" s="1" t="e">
        <f>VLOOKUP(D71,epiunits!A$1:J$4000,6,FALSE)</f>
        <v>#N/A</v>
      </c>
      <c r="J71" s="1" t="e">
        <f>VLOOKUP(D71,epiunits!A$1:J$4000,7,FALSE)</f>
        <v>#N/A</v>
      </c>
      <c r="K71" s="1" t="e">
        <f>VLOOKUP(D71,epiunits!A$1:J$4000,8,FALSE)</f>
        <v>#N/A</v>
      </c>
      <c r="L71" s="1" t="e">
        <f>VLOOKUP(D71,epiunits!A$1:J$4000,9,FALSE)</f>
        <v>#N/A</v>
      </c>
      <c r="M71" s="1" t="e">
        <f>VLOOKUP(D71,epiunits!A$1:J$4000,10,FALSE)</f>
        <v>#N/A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</row>
    <row r="72" spans="1:51" x14ac:dyDescent="0.25">
      <c r="A72" s="1" t="e">
        <f>VLOOKUP(D72,epiunits!A$1:C$4000,2,FALSE)</f>
        <v>#N/A</v>
      </c>
      <c r="B72" s="1" t="e">
        <f>VLOOKUP(D72,epiunits!A$1:C$4000,3,FALSE)</f>
        <v>#N/A</v>
      </c>
      <c r="C72" s="1" t="e">
        <f>VLOOKUP(E72,Inspector!A$1:B$50,2,FALSE)</f>
        <v>#N/A</v>
      </c>
      <c r="I72" s="1" t="e">
        <f>VLOOKUP(D72,epiunits!A$1:J$4000,6,FALSE)</f>
        <v>#N/A</v>
      </c>
      <c r="J72" s="1" t="e">
        <f>VLOOKUP(D72,epiunits!A$1:J$4000,7,FALSE)</f>
        <v>#N/A</v>
      </c>
      <c r="K72" s="1" t="e">
        <f>VLOOKUP(D72,epiunits!A$1:J$4000,8,FALSE)</f>
        <v>#N/A</v>
      </c>
      <c r="L72" s="1" t="e">
        <f>VLOOKUP(D72,epiunits!A$1:J$4000,9,FALSE)</f>
        <v>#N/A</v>
      </c>
      <c r="M72" s="1" t="e">
        <f>VLOOKUP(D72,epiunits!A$1:J$4000,10,FALSE)</f>
        <v>#N/A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25">
      <c r="A73" s="1" t="e">
        <f>VLOOKUP(D73,epiunits!A$1:C$4000,2,FALSE)</f>
        <v>#N/A</v>
      </c>
      <c r="B73" s="1" t="e">
        <f>VLOOKUP(D73,epiunits!A$1:C$4000,3,FALSE)</f>
        <v>#N/A</v>
      </c>
      <c r="C73" s="1" t="e">
        <f>VLOOKUP(E73,Inspector!A$1:B$50,2,FALSE)</f>
        <v>#N/A</v>
      </c>
      <c r="I73" s="1" t="e">
        <f>VLOOKUP(D73,epiunits!A$1:J$4000,6,FALSE)</f>
        <v>#N/A</v>
      </c>
      <c r="J73" s="1" t="e">
        <f>VLOOKUP(D73,epiunits!A$1:J$4000,7,FALSE)</f>
        <v>#N/A</v>
      </c>
      <c r="K73" s="1" t="e">
        <f>VLOOKUP(D73,epiunits!A$1:J$4000,8,FALSE)</f>
        <v>#N/A</v>
      </c>
      <c r="L73" s="1" t="e">
        <f>VLOOKUP(D73,epiunits!A$1:J$4000,9,FALSE)</f>
        <v>#N/A</v>
      </c>
      <c r="M73" s="1" t="e">
        <f>VLOOKUP(D73,epiunits!A$1:J$4000,10,FALSE)</f>
        <v>#N/A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</row>
    <row r="74" spans="1:51" x14ac:dyDescent="0.25">
      <c r="A74" s="1" t="e">
        <f>VLOOKUP(D74,epiunits!A$1:C$4000,2,FALSE)</f>
        <v>#N/A</v>
      </c>
      <c r="B74" s="1" t="e">
        <f>VLOOKUP(D74,epiunits!A$1:C$4000,3,FALSE)</f>
        <v>#N/A</v>
      </c>
      <c r="C74" s="1" t="e">
        <f>VLOOKUP(E74,Inspector!A$1:B$50,2,FALSE)</f>
        <v>#N/A</v>
      </c>
      <c r="I74" s="1" t="e">
        <f>VLOOKUP(D74,epiunits!A$1:J$4000,6,FALSE)</f>
        <v>#N/A</v>
      </c>
      <c r="J74" s="1" t="e">
        <f>VLOOKUP(D74,epiunits!A$1:J$4000,7,FALSE)</f>
        <v>#N/A</v>
      </c>
      <c r="K74" s="1" t="e">
        <f>VLOOKUP(D74,epiunits!A$1:J$4000,8,FALSE)</f>
        <v>#N/A</v>
      </c>
      <c r="L74" s="1" t="e">
        <f>VLOOKUP(D74,epiunits!A$1:J$4000,9,FALSE)</f>
        <v>#N/A</v>
      </c>
      <c r="M74" s="1" t="e">
        <f>VLOOKUP(D74,epiunits!A$1:J$4000,10,FALSE)</f>
        <v>#N/A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</row>
    <row r="75" spans="1:51" x14ac:dyDescent="0.25">
      <c r="A75" s="1" t="e">
        <f>VLOOKUP(D75,epiunits!A$1:C$4000,2,FALSE)</f>
        <v>#N/A</v>
      </c>
      <c r="B75" s="1" t="e">
        <f>VLOOKUP(D75,epiunits!A$1:C$4000,3,FALSE)</f>
        <v>#N/A</v>
      </c>
      <c r="C75" s="1" t="e">
        <f>VLOOKUP(E75,Inspector!A$1:B$50,2,FALSE)</f>
        <v>#N/A</v>
      </c>
      <c r="I75" s="1" t="e">
        <f>VLOOKUP(D75,epiunits!A$1:J$4000,6,FALSE)</f>
        <v>#N/A</v>
      </c>
      <c r="J75" s="1" t="e">
        <f>VLOOKUP(D75,epiunits!A$1:J$4000,7,FALSE)</f>
        <v>#N/A</v>
      </c>
      <c r="K75" s="1" t="e">
        <f>VLOOKUP(D75,epiunits!A$1:J$4000,8,FALSE)</f>
        <v>#N/A</v>
      </c>
      <c r="L75" s="1" t="e">
        <f>VLOOKUP(D75,epiunits!A$1:J$4000,9,FALSE)</f>
        <v>#N/A</v>
      </c>
      <c r="M75" s="1" t="e">
        <f>VLOOKUP(D75,epiunits!A$1:J$4000,10,FALSE)</f>
        <v>#N/A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25">
      <c r="A76" s="1" t="e">
        <f>VLOOKUP(D76,epiunits!A$1:C$4000,2,FALSE)</f>
        <v>#N/A</v>
      </c>
      <c r="B76" s="1" t="e">
        <f>VLOOKUP(D76,epiunits!A$1:C$4000,3,FALSE)</f>
        <v>#N/A</v>
      </c>
      <c r="C76" s="1" t="e">
        <f>VLOOKUP(E76,Inspector!A$1:B$50,2,FALSE)</f>
        <v>#N/A</v>
      </c>
      <c r="I76" s="1" t="e">
        <f>VLOOKUP(D76,epiunits!A$1:J$4000,6,FALSE)</f>
        <v>#N/A</v>
      </c>
      <c r="J76" s="1" t="e">
        <f>VLOOKUP(D76,epiunits!A$1:J$4000,7,FALSE)</f>
        <v>#N/A</v>
      </c>
      <c r="K76" s="1" t="e">
        <f>VLOOKUP(D76,epiunits!A$1:J$4000,8,FALSE)</f>
        <v>#N/A</v>
      </c>
      <c r="L76" s="1" t="e">
        <f>VLOOKUP(D76,epiunits!A$1:J$4000,9,FALSE)</f>
        <v>#N/A</v>
      </c>
      <c r="M76" s="1" t="e">
        <f>VLOOKUP(D76,epiunits!A$1:J$4000,10,FALSE)</f>
        <v>#N/A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</row>
    <row r="77" spans="1:51" x14ac:dyDescent="0.25">
      <c r="A77" s="1" t="e">
        <f>VLOOKUP(D77,epiunits!A$1:C$4000,2,FALSE)</f>
        <v>#N/A</v>
      </c>
      <c r="B77" s="1" t="e">
        <f>VLOOKUP(D77,epiunits!A$1:C$4000,3,FALSE)</f>
        <v>#N/A</v>
      </c>
      <c r="C77" s="1" t="e">
        <f>VLOOKUP(E77,Inspector!A$1:B$50,2,FALSE)</f>
        <v>#N/A</v>
      </c>
      <c r="I77" s="1" t="e">
        <f>VLOOKUP(D77,epiunits!A$1:J$4000,6,FALSE)</f>
        <v>#N/A</v>
      </c>
      <c r="J77" s="1" t="e">
        <f>VLOOKUP(D77,epiunits!A$1:J$4000,7,FALSE)</f>
        <v>#N/A</v>
      </c>
      <c r="K77" s="1" t="e">
        <f>VLOOKUP(D77,epiunits!A$1:J$4000,8,FALSE)</f>
        <v>#N/A</v>
      </c>
      <c r="L77" s="1" t="e">
        <f>VLOOKUP(D77,epiunits!A$1:J$4000,9,FALSE)</f>
        <v>#N/A</v>
      </c>
      <c r="M77" s="1" t="e">
        <f>VLOOKUP(D77,epiunits!A$1:J$4000,10,FALSE)</f>
        <v>#N/A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25">
      <c r="A78" s="1" t="e">
        <f>VLOOKUP(D78,epiunits!A$1:C$4000,2,FALSE)</f>
        <v>#N/A</v>
      </c>
      <c r="B78" s="1" t="e">
        <f>VLOOKUP(D78,epiunits!A$1:C$4000,3,FALSE)</f>
        <v>#N/A</v>
      </c>
      <c r="C78" s="1" t="e">
        <f>VLOOKUP(E78,Inspector!A$1:B$50,2,FALSE)</f>
        <v>#N/A</v>
      </c>
      <c r="I78" s="1" t="e">
        <f>VLOOKUP(D78,epiunits!A$1:J$4000,6,FALSE)</f>
        <v>#N/A</v>
      </c>
      <c r="J78" s="1" t="e">
        <f>VLOOKUP(D78,epiunits!A$1:J$4000,7,FALSE)</f>
        <v>#N/A</v>
      </c>
      <c r="K78" s="1" t="e">
        <f>VLOOKUP(D78,epiunits!A$1:J$4000,8,FALSE)</f>
        <v>#N/A</v>
      </c>
      <c r="L78" s="1" t="e">
        <f>VLOOKUP(D78,epiunits!A$1:J$4000,9,FALSE)</f>
        <v>#N/A</v>
      </c>
      <c r="M78" s="1" t="e">
        <f>VLOOKUP(D78,epiunits!A$1:J$4000,10,FALSE)</f>
        <v>#N/A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</row>
    <row r="79" spans="1:51" x14ac:dyDescent="0.25">
      <c r="A79" s="1" t="e">
        <f>VLOOKUP(D79,epiunits!A$1:C$4000,2,FALSE)</f>
        <v>#N/A</v>
      </c>
      <c r="B79" s="1" t="e">
        <f>VLOOKUP(D79,epiunits!A$1:C$4000,3,FALSE)</f>
        <v>#N/A</v>
      </c>
      <c r="C79" s="1" t="e">
        <f>VLOOKUP(E79,Inspector!A$1:B$50,2,FALSE)</f>
        <v>#N/A</v>
      </c>
      <c r="I79" s="1" t="e">
        <f>VLOOKUP(D79,epiunits!A$1:J$4000,6,FALSE)</f>
        <v>#N/A</v>
      </c>
      <c r="J79" s="1" t="e">
        <f>VLOOKUP(D79,epiunits!A$1:J$4000,7,FALSE)</f>
        <v>#N/A</v>
      </c>
      <c r="K79" s="1" t="e">
        <f>VLOOKUP(D79,epiunits!A$1:J$4000,8,FALSE)</f>
        <v>#N/A</v>
      </c>
      <c r="L79" s="1" t="e">
        <f>VLOOKUP(D79,epiunits!A$1:J$4000,9,FALSE)</f>
        <v>#N/A</v>
      </c>
      <c r="M79" s="1" t="e">
        <f>VLOOKUP(D79,epiunits!A$1:J$4000,10,FALSE)</f>
        <v>#N/A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</row>
    <row r="80" spans="1:51" x14ac:dyDescent="0.25">
      <c r="A80" s="1" t="e">
        <f>VLOOKUP(D80,epiunits!A$1:C$4000,2,FALSE)</f>
        <v>#N/A</v>
      </c>
      <c r="B80" s="1" t="e">
        <f>VLOOKUP(D80,epiunits!A$1:C$4000,3,FALSE)</f>
        <v>#N/A</v>
      </c>
      <c r="C80" s="1" t="e">
        <f>VLOOKUP(E80,Inspector!A$1:B$50,2,FALSE)</f>
        <v>#N/A</v>
      </c>
      <c r="I80" s="1" t="e">
        <f>VLOOKUP(D80,epiunits!A$1:J$4000,6,FALSE)</f>
        <v>#N/A</v>
      </c>
      <c r="J80" s="1" t="e">
        <f>VLOOKUP(D80,epiunits!A$1:J$4000,7,FALSE)</f>
        <v>#N/A</v>
      </c>
      <c r="K80" s="1" t="e">
        <f>VLOOKUP(D80,epiunits!A$1:J$4000,8,FALSE)</f>
        <v>#N/A</v>
      </c>
      <c r="L80" s="1" t="e">
        <f>VLOOKUP(D80,epiunits!A$1:J$4000,9,FALSE)</f>
        <v>#N/A</v>
      </c>
      <c r="M80" s="1" t="e">
        <f>VLOOKUP(D80,epiunits!A$1:J$4000,10,FALSE)</f>
        <v>#N/A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</row>
    <row r="81" spans="1:51" x14ac:dyDescent="0.25">
      <c r="A81" s="1" t="e">
        <f>VLOOKUP(D81,epiunits!A$1:C$4000,2,FALSE)</f>
        <v>#N/A</v>
      </c>
      <c r="B81" s="1" t="e">
        <f>VLOOKUP(D81,epiunits!A$1:C$4000,3,FALSE)</f>
        <v>#N/A</v>
      </c>
      <c r="C81" s="1" t="e">
        <f>VLOOKUP(E81,Inspector!A$1:B$50,2,FALSE)</f>
        <v>#N/A</v>
      </c>
      <c r="I81" s="1" t="e">
        <f>VLOOKUP(D81,epiunits!A$1:J$4000,6,FALSE)</f>
        <v>#N/A</v>
      </c>
      <c r="J81" s="1" t="e">
        <f>VLOOKUP(D81,epiunits!A$1:J$4000,7,FALSE)</f>
        <v>#N/A</v>
      </c>
      <c r="K81" s="1" t="e">
        <f>VLOOKUP(D81,epiunits!A$1:J$4000,8,FALSE)</f>
        <v>#N/A</v>
      </c>
      <c r="L81" s="1" t="e">
        <f>VLOOKUP(D81,epiunits!A$1:J$4000,9,FALSE)</f>
        <v>#N/A</v>
      </c>
      <c r="M81" s="1" t="e">
        <f>VLOOKUP(D81,epiunits!A$1:J$4000,10,FALSE)</f>
        <v>#N/A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25">
      <c r="A82" s="1" t="e">
        <f>VLOOKUP(D82,epiunits!A$1:C$4000,2,FALSE)</f>
        <v>#N/A</v>
      </c>
      <c r="B82" s="1" t="e">
        <f>VLOOKUP(D82,epiunits!A$1:C$4000,3,FALSE)</f>
        <v>#N/A</v>
      </c>
      <c r="C82" s="1" t="e">
        <f>VLOOKUP(E82,Inspector!A$1:B$50,2,FALSE)</f>
        <v>#N/A</v>
      </c>
      <c r="I82" s="1" t="e">
        <f>VLOOKUP(D82,epiunits!A$1:J$4000,6,FALSE)</f>
        <v>#N/A</v>
      </c>
      <c r="J82" s="1" t="e">
        <f>VLOOKUP(D82,epiunits!A$1:J$4000,7,FALSE)</f>
        <v>#N/A</v>
      </c>
      <c r="K82" s="1" t="e">
        <f>VLOOKUP(D82,epiunits!A$1:J$4000,8,FALSE)</f>
        <v>#N/A</v>
      </c>
      <c r="L82" s="1" t="e">
        <f>VLOOKUP(D82,epiunits!A$1:J$4000,9,FALSE)</f>
        <v>#N/A</v>
      </c>
      <c r="M82" s="1" t="e">
        <f>VLOOKUP(D82,epiunits!A$1:J$4000,10,FALSE)</f>
        <v>#N/A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</row>
    <row r="83" spans="1:51" x14ac:dyDescent="0.25">
      <c r="A83" s="1" t="e">
        <f>VLOOKUP(D83,epiunits!A$1:C$4000,2,FALSE)</f>
        <v>#N/A</v>
      </c>
      <c r="B83" s="1" t="e">
        <f>VLOOKUP(D83,epiunits!A$1:C$4000,3,FALSE)</f>
        <v>#N/A</v>
      </c>
      <c r="C83" s="1" t="e">
        <f>VLOOKUP(E83,Inspector!A$1:B$50,2,FALSE)</f>
        <v>#N/A</v>
      </c>
      <c r="I83" s="1" t="e">
        <f>VLOOKUP(D83,epiunits!A$1:J$4000,6,FALSE)</f>
        <v>#N/A</v>
      </c>
      <c r="J83" s="1" t="e">
        <f>VLOOKUP(D83,epiunits!A$1:J$4000,7,FALSE)</f>
        <v>#N/A</v>
      </c>
      <c r="K83" s="1" t="e">
        <f>VLOOKUP(D83,epiunits!A$1:J$4000,8,FALSE)</f>
        <v>#N/A</v>
      </c>
      <c r="L83" s="1" t="e">
        <f>VLOOKUP(D83,epiunits!A$1:J$4000,9,FALSE)</f>
        <v>#N/A</v>
      </c>
      <c r="M83" s="1" t="e">
        <f>VLOOKUP(D83,epiunits!A$1:J$4000,10,FALSE)</f>
        <v>#N/A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</row>
    <row r="84" spans="1:51" x14ac:dyDescent="0.25">
      <c r="A84" s="1" t="e">
        <f>VLOOKUP(D84,epiunits!A$1:C$4000,2,FALSE)</f>
        <v>#N/A</v>
      </c>
      <c r="B84" s="1" t="e">
        <f>VLOOKUP(D84,epiunits!A$1:C$4000,3,FALSE)</f>
        <v>#N/A</v>
      </c>
      <c r="C84" s="1" t="e">
        <f>VLOOKUP(E84,Inspector!A$1:B$50,2,FALSE)</f>
        <v>#N/A</v>
      </c>
      <c r="I84" s="1" t="e">
        <f>VLOOKUP(D84,epiunits!A$1:J$4000,6,FALSE)</f>
        <v>#N/A</v>
      </c>
      <c r="J84" s="1" t="e">
        <f>VLOOKUP(D84,epiunits!A$1:J$4000,7,FALSE)</f>
        <v>#N/A</v>
      </c>
      <c r="K84" s="1" t="e">
        <f>VLOOKUP(D84,epiunits!A$1:J$4000,8,FALSE)</f>
        <v>#N/A</v>
      </c>
      <c r="L84" s="1" t="e">
        <f>VLOOKUP(D84,epiunits!A$1:J$4000,9,FALSE)</f>
        <v>#N/A</v>
      </c>
      <c r="M84" s="1" t="e">
        <f>VLOOKUP(D84,epiunits!A$1:J$4000,10,FALSE)</f>
        <v>#N/A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</row>
    <row r="85" spans="1:51" x14ac:dyDescent="0.25">
      <c r="A85" s="1" t="e">
        <f>VLOOKUP(D85,epiunits!A$1:C$4000,2,FALSE)</f>
        <v>#N/A</v>
      </c>
      <c r="B85" s="1" t="e">
        <f>VLOOKUP(D85,epiunits!A$1:C$4000,3,FALSE)</f>
        <v>#N/A</v>
      </c>
      <c r="C85" s="1" t="e">
        <f>VLOOKUP(E85,Inspector!A$1:B$50,2,FALSE)</f>
        <v>#N/A</v>
      </c>
      <c r="I85" s="1" t="e">
        <f>VLOOKUP(D85,epiunits!A$1:J$4000,6,FALSE)</f>
        <v>#N/A</v>
      </c>
      <c r="J85" s="1" t="e">
        <f>VLOOKUP(D85,epiunits!A$1:J$4000,7,FALSE)</f>
        <v>#N/A</v>
      </c>
      <c r="K85" s="1" t="e">
        <f>VLOOKUP(D85,epiunits!A$1:J$4000,8,FALSE)</f>
        <v>#N/A</v>
      </c>
      <c r="L85" s="1" t="e">
        <f>VLOOKUP(D85,epiunits!A$1:J$4000,9,FALSE)</f>
        <v>#N/A</v>
      </c>
      <c r="M85" s="1" t="e">
        <f>VLOOKUP(D85,epiunits!A$1:J$4000,10,FALSE)</f>
        <v>#N/A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</row>
    <row r="86" spans="1:51" x14ac:dyDescent="0.25">
      <c r="A86" s="1" t="e">
        <f>VLOOKUP(D86,epiunits!A$1:C$4000,2,FALSE)</f>
        <v>#N/A</v>
      </c>
      <c r="B86" s="1" t="e">
        <f>VLOOKUP(D86,epiunits!A$1:C$4000,3,FALSE)</f>
        <v>#N/A</v>
      </c>
      <c r="C86" s="1" t="e">
        <f>VLOOKUP(E86,Inspector!A$1:B$50,2,FALSE)</f>
        <v>#N/A</v>
      </c>
      <c r="I86" s="1" t="e">
        <f>VLOOKUP(D86,epiunits!A$1:J$4000,6,FALSE)</f>
        <v>#N/A</v>
      </c>
      <c r="J86" s="1" t="e">
        <f>VLOOKUP(D86,epiunits!A$1:J$4000,7,FALSE)</f>
        <v>#N/A</v>
      </c>
      <c r="K86" s="1" t="e">
        <f>VLOOKUP(D86,epiunits!A$1:J$4000,8,FALSE)</f>
        <v>#N/A</v>
      </c>
      <c r="L86" s="1" t="e">
        <f>VLOOKUP(D86,epiunits!A$1:J$4000,9,FALSE)</f>
        <v>#N/A</v>
      </c>
      <c r="M86" s="1" t="e">
        <f>VLOOKUP(D86,epiunits!A$1:J$4000,10,FALSE)</f>
        <v>#N/A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</row>
    <row r="87" spans="1:51" x14ac:dyDescent="0.25">
      <c r="A87" s="1" t="e">
        <f>VLOOKUP(D87,epiunits!A$1:C$4000,2,FALSE)</f>
        <v>#N/A</v>
      </c>
      <c r="B87" s="1" t="e">
        <f>VLOOKUP(D87,epiunits!A$1:C$4000,3,FALSE)</f>
        <v>#N/A</v>
      </c>
      <c r="C87" s="1" t="e">
        <f>VLOOKUP(E87,Inspector!A$1:B$50,2,FALSE)</f>
        <v>#N/A</v>
      </c>
      <c r="I87" s="1" t="e">
        <f>VLOOKUP(D87,epiunits!A$1:J$4000,6,FALSE)</f>
        <v>#N/A</v>
      </c>
      <c r="J87" s="1" t="e">
        <f>VLOOKUP(D87,epiunits!A$1:J$4000,7,FALSE)</f>
        <v>#N/A</v>
      </c>
      <c r="K87" s="1" t="e">
        <f>VLOOKUP(D87,epiunits!A$1:J$4000,8,FALSE)</f>
        <v>#N/A</v>
      </c>
      <c r="L87" s="1" t="e">
        <f>VLOOKUP(D87,epiunits!A$1:J$4000,9,FALSE)</f>
        <v>#N/A</v>
      </c>
      <c r="M87" s="1" t="e">
        <f>VLOOKUP(D87,epiunits!A$1:J$4000,10,FALSE)</f>
        <v>#N/A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</row>
    <row r="88" spans="1:51" x14ac:dyDescent="0.25">
      <c r="A88" s="1" t="e">
        <f>VLOOKUP(D88,epiunits!A$1:C$4000,2,FALSE)</f>
        <v>#N/A</v>
      </c>
      <c r="B88" s="1" t="e">
        <f>VLOOKUP(D88,epiunits!A$1:C$4000,3,FALSE)</f>
        <v>#N/A</v>
      </c>
      <c r="C88" s="1" t="e">
        <f>VLOOKUP(E88,Inspector!A$1:B$50,2,FALSE)</f>
        <v>#N/A</v>
      </c>
      <c r="I88" s="1" t="e">
        <f>VLOOKUP(D88,epiunits!A$1:J$4000,6,FALSE)</f>
        <v>#N/A</v>
      </c>
      <c r="J88" s="1" t="e">
        <f>VLOOKUP(D88,epiunits!A$1:J$4000,7,FALSE)</f>
        <v>#N/A</v>
      </c>
      <c r="K88" s="1" t="e">
        <f>VLOOKUP(D88,epiunits!A$1:J$4000,8,FALSE)</f>
        <v>#N/A</v>
      </c>
      <c r="L88" s="1" t="e">
        <f>VLOOKUP(D88,epiunits!A$1:J$4000,9,FALSE)</f>
        <v>#N/A</v>
      </c>
      <c r="M88" s="1" t="e">
        <f>VLOOKUP(D88,epiunits!A$1:J$4000,10,FALSE)</f>
        <v>#N/A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</row>
    <row r="89" spans="1:51" x14ac:dyDescent="0.25">
      <c r="A89" s="1" t="e">
        <f>VLOOKUP(D89,epiunits!A$1:C$4000,2,FALSE)</f>
        <v>#N/A</v>
      </c>
      <c r="B89" s="1" t="e">
        <f>VLOOKUP(D89,epiunits!A$1:C$4000,3,FALSE)</f>
        <v>#N/A</v>
      </c>
      <c r="C89" s="1" t="e">
        <f>VLOOKUP(E89,Inspector!A$1:B$50,2,FALSE)</f>
        <v>#N/A</v>
      </c>
      <c r="I89" s="1" t="e">
        <f>VLOOKUP(D89,epiunits!A$1:J$4000,6,FALSE)</f>
        <v>#N/A</v>
      </c>
      <c r="J89" s="1" t="e">
        <f>VLOOKUP(D89,epiunits!A$1:J$4000,7,FALSE)</f>
        <v>#N/A</v>
      </c>
      <c r="K89" s="1" t="e">
        <f>VLOOKUP(D89,epiunits!A$1:J$4000,8,FALSE)</f>
        <v>#N/A</v>
      </c>
      <c r="L89" s="1" t="e">
        <f>VLOOKUP(D89,epiunits!A$1:J$4000,9,FALSE)</f>
        <v>#N/A</v>
      </c>
      <c r="M89" s="1" t="e">
        <f>VLOOKUP(D89,epiunits!A$1:J$4000,10,FALSE)</f>
        <v>#N/A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</row>
    <row r="90" spans="1:51" x14ac:dyDescent="0.25">
      <c r="A90" s="1" t="e">
        <f>VLOOKUP(D90,epiunits!A$1:C$4000,2,FALSE)</f>
        <v>#N/A</v>
      </c>
      <c r="B90" s="1" t="e">
        <f>VLOOKUP(D90,epiunits!A$1:C$4000,3,FALSE)</f>
        <v>#N/A</v>
      </c>
      <c r="C90" s="1" t="e">
        <f>VLOOKUP(E90,Inspector!A$1:B$50,2,FALSE)</f>
        <v>#N/A</v>
      </c>
      <c r="I90" s="1" t="e">
        <f>VLOOKUP(D90,epiunits!A$1:J$4000,6,FALSE)</f>
        <v>#N/A</v>
      </c>
      <c r="J90" s="1" t="e">
        <f>VLOOKUP(D90,epiunits!A$1:J$4000,7,FALSE)</f>
        <v>#N/A</v>
      </c>
      <c r="K90" s="1" t="e">
        <f>VLOOKUP(D90,epiunits!A$1:J$4000,8,FALSE)</f>
        <v>#N/A</v>
      </c>
      <c r="L90" s="1" t="e">
        <f>VLOOKUP(D90,epiunits!A$1:J$4000,9,FALSE)</f>
        <v>#N/A</v>
      </c>
      <c r="M90" s="1" t="e">
        <f>VLOOKUP(D90,epiunits!A$1:J$4000,10,FALSE)</f>
        <v>#N/A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</row>
    <row r="91" spans="1:51" x14ac:dyDescent="0.25">
      <c r="A91" s="1" t="e">
        <f>VLOOKUP(D91,epiunits!A$1:C$4000,2,FALSE)</f>
        <v>#N/A</v>
      </c>
      <c r="B91" s="1" t="e">
        <f>VLOOKUP(D91,epiunits!A$1:C$4000,3,FALSE)</f>
        <v>#N/A</v>
      </c>
      <c r="C91" s="1" t="e">
        <f>VLOOKUP(E91,Inspector!A$1:B$50,2,FALSE)</f>
        <v>#N/A</v>
      </c>
      <c r="I91" s="1" t="e">
        <f>VLOOKUP(D91,epiunits!A$1:J$4000,6,FALSE)</f>
        <v>#N/A</v>
      </c>
      <c r="J91" s="1" t="e">
        <f>VLOOKUP(D91,epiunits!A$1:J$4000,7,FALSE)</f>
        <v>#N/A</v>
      </c>
      <c r="K91" s="1" t="e">
        <f>VLOOKUP(D91,epiunits!A$1:J$4000,8,FALSE)</f>
        <v>#N/A</v>
      </c>
      <c r="L91" s="1" t="e">
        <f>VLOOKUP(D91,epiunits!A$1:J$4000,9,FALSE)</f>
        <v>#N/A</v>
      </c>
      <c r="M91" s="1" t="e">
        <f>VLOOKUP(D91,epiunits!A$1:J$4000,10,FALSE)</f>
        <v>#N/A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</row>
    <row r="92" spans="1:51" x14ac:dyDescent="0.25">
      <c r="A92" s="1" t="e">
        <f>VLOOKUP(D92,epiunits!A$1:C$4000,2,FALSE)</f>
        <v>#N/A</v>
      </c>
      <c r="B92" s="1" t="e">
        <f>VLOOKUP(D92,epiunits!A$1:C$4000,3,FALSE)</f>
        <v>#N/A</v>
      </c>
      <c r="C92" s="1" t="e">
        <f>VLOOKUP(E92,Inspector!A$1:B$50,2,FALSE)</f>
        <v>#N/A</v>
      </c>
      <c r="I92" s="1" t="e">
        <f>VLOOKUP(D92,epiunits!A$1:J$4000,6,FALSE)</f>
        <v>#N/A</v>
      </c>
      <c r="J92" s="1" t="e">
        <f>VLOOKUP(D92,epiunits!A$1:J$4000,7,FALSE)</f>
        <v>#N/A</v>
      </c>
      <c r="K92" s="1" t="e">
        <f>VLOOKUP(D92,epiunits!A$1:J$4000,8,FALSE)</f>
        <v>#N/A</v>
      </c>
      <c r="L92" s="1" t="e">
        <f>VLOOKUP(D92,epiunits!A$1:J$4000,9,FALSE)</f>
        <v>#N/A</v>
      </c>
      <c r="M92" s="1" t="e">
        <f>VLOOKUP(D92,epiunits!A$1:J$4000,10,FALSE)</f>
        <v>#N/A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</row>
    <row r="93" spans="1:51" x14ac:dyDescent="0.25">
      <c r="A93" s="1" t="e">
        <f>VLOOKUP(D93,epiunits!A$1:C$4000,2,FALSE)</f>
        <v>#N/A</v>
      </c>
      <c r="B93" s="1" t="e">
        <f>VLOOKUP(D93,epiunits!A$1:C$4000,3,FALSE)</f>
        <v>#N/A</v>
      </c>
      <c r="C93" s="1" t="e">
        <f>VLOOKUP(E93,Inspector!A$1:B$50,2,FALSE)</f>
        <v>#N/A</v>
      </c>
      <c r="I93" s="1" t="e">
        <f>VLOOKUP(D93,epiunits!A$1:J$4000,6,FALSE)</f>
        <v>#N/A</v>
      </c>
      <c r="J93" s="1" t="e">
        <f>VLOOKUP(D93,epiunits!A$1:J$4000,7,FALSE)</f>
        <v>#N/A</v>
      </c>
      <c r="K93" s="1" t="e">
        <f>VLOOKUP(D93,epiunits!A$1:J$4000,8,FALSE)</f>
        <v>#N/A</v>
      </c>
      <c r="L93" s="1" t="e">
        <f>VLOOKUP(D93,epiunits!A$1:J$4000,9,FALSE)</f>
        <v>#N/A</v>
      </c>
      <c r="M93" s="1" t="e">
        <f>VLOOKUP(D93,epiunits!A$1:J$4000,10,FALSE)</f>
        <v>#N/A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</row>
    <row r="94" spans="1:51" x14ac:dyDescent="0.25">
      <c r="A94" s="1" t="e">
        <f>VLOOKUP(D94,epiunits!A$1:C$4000,2,FALSE)</f>
        <v>#N/A</v>
      </c>
      <c r="B94" s="1" t="e">
        <f>VLOOKUP(D94,epiunits!A$1:C$4000,3,FALSE)</f>
        <v>#N/A</v>
      </c>
      <c r="C94" s="1" t="e">
        <f>VLOOKUP(E94,Inspector!A$1:B$50,2,FALSE)</f>
        <v>#N/A</v>
      </c>
      <c r="I94" s="1" t="e">
        <f>VLOOKUP(D94,epiunits!A$1:J$4000,6,FALSE)</f>
        <v>#N/A</v>
      </c>
      <c r="J94" s="1" t="e">
        <f>VLOOKUP(D94,epiunits!A$1:J$4000,7,FALSE)</f>
        <v>#N/A</v>
      </c>
      <c r="K94" s="1" t="e">
        <f>VLOOKUP(D94,epiunits!A$1:J$4000,8,FALSE)</f>
        <v>#N/A</v>
      </c>
      <c r="L94" s="1" t="e">
        <f>VLOOKUP(D94,epiunits!A$1:J$4000,9,FALSE)</f>
        <v>#N/A</v>
      </c>
      <c r="M94" s="1" t="e">
        <f>VLOOKUP(D94,epiunits!A$1:J$4000,10,FALSE)</f>
        <v>#N/A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</row>
    <row r="95" spans="1:51" x14ac:dyDescent="0.25">
      <c r="A95" s="1" t="e">
        <f>VLOOKUP(D95,epiunits!A$1:C$4000,2,FALSE)</f>
        <v>#N/A</v>
      </c>
      <c r="B95" s="1" t="e">
        <f>VLOOKUP(D95,epiunits!A$1:C$4000,3,FALSE)</f>
        <v>#N/A</v>
      </c>
      <c r="C95" s="1" t="e">
        <f>VLOOKUP(E95,Inspector!A$1:B$50,2,FALSE)</f>
        <v>#N/A</v>
      </c>
      <c r="I95" s="1" t="e">
        <f>VLOOKUP(D95,epiunits!A$1:J$4000,6,FALSE)</f>
        <v>#N/A</v>
      </c>
      <c r="J95" s="1" t="e">
        <f>VLOOKUP(D95,epiunits!A$1:J$4000,7,FALSE)</f>
        <v>#N/A</v>
      </c>
      <c r="K95" s="1" t="e">
        <f>VLOOKUP(D95,epiunits!A$1:J$4000,8,FALSE)</f>
        <v>#N/A</v>
      </c>
      <c r="L95" s="1" t="e">
        <f>VLOOKUP(D95,epiunits!A$1:J$4000,9,FALSE)</f>
        <v>#N/A</v>
      </c>
      <c r="M95" s="1" t="e">
        <f>VLOOKUP(D95,epiunits!A$1:J$4000,10,FALSE)</f>
        <v>#N/A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</row>
    <row r="96" spans="1:51" x14ac:dyDescent="0.25">
      <c r="A96" s="1" t="e">
        <f>VLOOKUP(D96,epiunits!A$1:C$4000,2,FALSE)</f>
        <v>#N/A</v>
      </c>
      <c r="B96" s="1" t="e">
        <f>VLOOKUP(D96,epiunits!A$1:C$4000,3,FALSE)</f>
        <v>#N/A</v>
      </c>
      <c r="C96" s="1" t="e">
        <f>VLOOKUP(E96,Inspector!A$1:B$50,2,FALSE)</f>
        <v>#N/A</v>
      </c>
      <c r="I96" s="1" t="e">
        <f>VLOOKUP(D96,epiunits!A$1:J$4000,6,FALSE)</f>
        <v>#N/A</v>
      </c>
      <c r="J96" s="1" t="e">
        <f>VLOOKUP(D96,epiunits!A$1:J$4000,7,FALSE)</f>
        <v>#N/A</v>
      </c>
      <c r="K96" s="1" t="e">
        <f>VLOOKUP(D96,epiunits!A$1:J$4000,8,FALSE)</f>
        <v>#N/A</v>
      </c>
      <c r="L96" s="1" t="e">
        <f>VLOOKUP(D96,epiunits!A$1:J$4000,9,FALSE)</f>
        <v>#N/A</v>
      </c>
      <c r="M96" s="1" t="e">
        <f>VLOOKUP(D96,epiunits!A$1:J$4000,10,FALSE)</f>
        <v>#N/A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25">
      <c r="A97" s="1" t="e">
        <f>VLOOKUP(D97,epiunits!A$1:C$4000,2,FALSE)</f>
        <v>#N/A</v>
      </c>
      <c r="B97" s="1" t="e">
        <f>VLOOKUP(D97,epiunits!A$1:C$4000,3,FALSE)</f>
        <v>#N/A</v>
      </c>
      <c r="C97" s="1" t="e">
        <f>VLOOKUP(E97,Inspector!A$1:B$50,2,FALSE)</f>
        <v>#N/A</v>
      </c>
      <c r="I97" s="1" t="e">
        <f>VLOOKUP(D97,epiunits!A$1:J$4000,6,FALSE)</f>
        <v>#N/A</v>
      </c>
      <c r="J97" s="1" t="e">
        <f>VLOOKUP(D97,epiunits!A$1:J$4000,7,FALSE)</f>
        <v>#N/A</v>
      </c>
      <c r="K97" s="1" t="e">
        <f>VLOOKUP(D97,epiunits!A$1:J$4000,8,FALSE)</f>
        <v>#N/A</v>
      </c>
      <c r="L97" s="1" t="e">
        <f>VLOOKUP(D97,epiunits!A$1:J$4000,9,FALSE)</f>
        <v>#N/A</v>
      </c>
      <c r="M97" s="1" t="e">
        <f>VLOOKUP(D97,epiunits!A$1:J$4000,10,FALSE)</f>
        <v>#N/A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</row>
    <row r="98" spans="1:51" x14ac:dyDescent="0.25">
      <c r="A98" s="1" t="e">
        <f>VLOOKUP(D98,epiunits!A$1:C$4000,2,FALSE)</f>
        <v>#N/A</v>
      </c>
      <c r="B98" s="1" t="e">
        <f>VLOOKUP(D98,epiunits!A$1:C$4000,3,FALSE)</f>
        <v>#N/A</v>
      </c>
      <c r="C98" s="1" t="e">
        <f>VLOOKUP(E98,Inspector!A$1:B$50,2,FALSE)</f>
        <v>#N/A</v>
      </c>
      <c r="I98" s="1" t="e">
        <f>VLOOKUP(D98,epiunits!A$1:J$4000,6,FALSE)</f>
        <v>#N/A</v>
      </c>
      <c r="J98" s="1" t="e">
        <f>VLOOKUP(D98,epiunits!A$1:J$4000,7,FALSE)</f>
        <v>#N/A</v>
      </c>
      <c r="K98" s="1" t="e">
        <f>VLOOKUP(D98,epiunits!A$1:J$4000,8,FALSE)</f>
        <v>#N/A</v>
      </c>
      <c r="L98" s="1" t="e">
        <f>VLOOKUP(D98,epiunits!A$1:J$4000,9,FALSE)</f>
        <v>#N/A</v>
      </c>
      <c r="M98" s="1" t="e">
        <f>VLOOKUP(D98,epiunits!A$1:J$4000,10,FALSE)</f>
        <v>#N/A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25">
      <c r="A99" s="1" t="e">
        <f>VLOOKUP(D99,epiunits!A$1:C$4000,2,FALSE)</f>
        <v>#N/A</v>
      </c>
      <c r="B99" s="1" t="e">
        <f>VLOOKUP(D99,epiunits!A$1:C$4000,3,FALSE)</f>
        <v>#N/A</v>
      </c>
      <c r="C99" s="1" t="e">
        <f>VLOOKUP(E99,Inspector!A$1:B$50,2,FALSE)</f>
        <v>#N/A</v>
      </c>
      <c r="I99" s="1" t="e">
        <f>VLOOKUP(D99,epiunits!A$1:J$4000,6,FALSE)</f>
        <v>#N/A</v>
      </c>
      <c r="J99" s="1" t="e">
        <f>VLOOKUP(D99,epiunits!A$1:J$4000,7,FALSE)</f>
        <v>#N/A</v>
      </c>
      <c r="K99" s="1" t="e">
        <f>VLOOKUP(D99,epiunits!A$1:J$4000,8,FALSE)</f>
        <v>#N/A</v>
      </c>
      <c r="L99" s="1" t="e">
        <f>VLOOKUP(D99,epiunits!A$1:J$4000,9,FALSE)</f>
        <v>#N/A</v>
      </c>
      <c r="M99" s="1" t="e">
        <f>VLOOKUP(D99,epiunits!A$1:J$4000,10,FALSE)</f>
        <v>#N/A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</row>
    <row r="100" spans="1:51" x14ac:dyDescent="0.25">
      <c r="A100" s="1" t="e">
        <f>VLOOKUP(D100,epiunits!A$1:C$4000,2,FALSE)</f>
        <v>#N/A</v>
      </c>
      <c r="B100" s="1" t="e">
        <f>VLOOKUP(D100,epiunits!A$1:C$4000,3,FALSE)</f>
        <v>#N/A</v>
      </c>
      <c r="C100" s="1" t="e">
        <f>VLOOKUP(E100,Inspector!A$1:B$50,2,FALSE)</f>
        <v>#N/A</v>
      </c>
      <c r="I100" s="1" t="e">
        <f>VLOOKUP(D100,epiunits!A$1:J$4000,6,FALSE)</f>
        <v>#N/A</v>
      </c>
      <c r="J100" s="1" t="e">
        <f>VLOOKUP(D100,epiunits!A$1:J$4000,7,FALSE)</f>
        <v>#N/A</v>
      </c>
      <c r="K100" s="1" t="e">
        <f>VLOOKUP(D100,epiunits!A$1:J$4000,8,FALSE)</f>
        <v>#N/A</v>
      </c>
      <c r="L100" s="1" t="e">
        <f>VLOOKUP(D100,epiunits!A$1:J$4000,9,FALSE)</f>
        <v>#N/A</v>
      </c>
      <c r="M100" s="1" t="e">
        <f>VLOOKUP(D100,epiunits!A$1:J$4000,10,FALSE)</f>
        <v>#N/A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</row>
    <row r="101" spans="1:51" x14ac:dyDescent="0.25">
      <c r="A101" s="1" t="e">
        <f>VLOOKUP(D101,epiunits!A$1:C$4000,2,FALSE)</f>
        <v>#N/A</v>
      </c>
      <c r="B101" s="1" t="e">
        <f>VLOOKUP(D101,epiunits!A$1:C$4000,3,FALSE)</f>
        <v>#N/A</v>
      </c>
      <c r="C101" s="1" t="e">
        <f>VLOOKUP(E101,Inspector!A$1:B$50,2,FALSE)</f>
        <v>#N/A</v>
      </c>
      <c r="I101" s="1" t="e">
        <f>VLOOKUP(D101,epiunits!A$1:J$4000,6,FALSE)</f>
        <v>#N/A</v>
      </c>
      <c r="J101" s="1" t="e">
        <f>VLOOKUP(D101,epiunits!A$1:J$4000,7,FALSE)</f>
        <v>#N/A</v>
      </c>
      <c r="K101" s="1" t="e">
        <f>VLOOKUP(D101,epiunits!A$1:J$4000,8,FALSE)</f>
        <v>#N/A</v>
      </c>
      <c r="L101" s="1" t="e">
        <f>VLOOKUP(D101,epiunits!A$1:J$4000,9,FALSE)</f>
        <v>#N/A</v>
      </c>
      <c r="M101" s="1" t="e">
        <f>VLOOKUP(D101,epiunits!A$1:J$4000,10,FALSE)</f>
        <v>#N/A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25">
      <c r="A102" s="1" t="e">
        <f>VLOOKUP(D102,epiunits!A$1:C$4000,2,FALSE)</f>
        <v>#N/A</v>
      </c>
      <c r="B102" s="1" t="e">
        <f>VLOOKUP(D102,epiunits!A$1:C$4000,3,FALSE)</f>
        <v>#N/A</v>
      </c>
      <c r="C102" s="1" t="e">
        <f>VLOOKUP(E102,Inspector!A$1:B$50,2,FALSE)</f>
        <v>#N/A</v>
      </c>
      <c r="I102" s="1" t="e">
        <f>VLOOKUP(D102,epiunits!A$1:J$4000,6,FALSE)</f>
        <v>#N/A</v>
      </c>
      <c r="J102" s="1" t="e">
        <f>VLOOKUP(D102,epiunits!A$1:J$4000,7,FALSE)</f>
        <v>#N/A</v>
      </c>
      <c r="K102" s="1" t="e">
        <f>VLOOKUP(D102,epiunits!A$1:J$4000,8,FALSE)</f>
        <v>#N/A</v>
      </c>
      <c r="L102" s="1" t="e">
        <f>VLOOKUP(D102,epiunits!A$1:J$4000,9,FALSE)</f>
        <v>#N/A</v>
      </c>
      <c r="M102" s="1" t="e">
        <f>VLOOKUP(D102,epiunits!A$1:J$4000,10,FALSE)</f>
        <v>#N/A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</row>
    <row r="103" spans="1:51" x14ac:dyDescent="0.25">
      <c r="A103" s="1" t="e">
        <f>VLOOKUP(D103,epiunits!A$1:C$4000,2,FALSE)</f>
        <v>#N/A</v>
      </c>
      <c r="B103" s="1" t="e">
        <f>VLOOKUP(D103,epiunits!A$1:C$4000,3,FALSE)</f>
        <v>#N/A</v>
      </c>
      <c r="C103" s="1" t="e">
        <f>VLOOKUP(E103,Inspector!A$1:B$50,2,FALSE)</f>
        <v>#N/A</v>
      </c>
      <c r="I103" s="1" t="e">
        <f>VLOOKUP(D103,epiunits!A$1:J$4000,6,FALSE)</f>
        <v>#N/A</v>
      </c>
      <c r="J103" s="1" t="e">
        <f>VLOOKUP(D103,epiunits!A$1:J$4000,7,FALSE)</f>
        <v>#N/A</v>
      </c>
      <c r="K103" s="1" t="e">
        <f>VLOOKUP(D103,epiunits!A$1:J$4000,8,FALSE)</f>
        <v>#N/A</v>
      </c>
      <c r="L103" s="1" t="e">
        <f>VLOOKUP(D103,epiunits!A$1:J$4000,9,FALSE)</f>
        <v>#N/A</v>
      </c>
      <c r="M103" s="1" t="e">
        <f>VLOOKUP(D103,epiunits!A$1:J$4000,10,FALSE)</f>
        <v>#N/A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</row>
    <row r="104" spans="1:51" x14ac:dyDescent="0.25">
      <c r="A104" s="1" t="e">
        <f>VLOOKUP(D104,epiunits!A$1:C$4000,2,FALSE)</f>
        <v>#N/A</v>
      </c>
      <c r="B104" s="1" t="e">
        <f>VLOOKUP(D104,epiunits!A$1:C$4000,3,FALSE)</f>
        <v>#N/A</v>
      </c>
      <c r="C104" s="1" t="e">
        <f>VLOOKUP(E104,Inspector!A$1:B$50,2,FALSE)</f>
        <v>#N/A</v>
      </c>
      <c r="I104" s="1" t="e">
        <f>VLOOKUP(D104,epiunits!A$1:J$4000,6,FALSE)</f>
        <v>#N/A</v>
      </c>
      <c r="J104" s="1" t="e">
        <f>VLOOKUP(D104,epiunits!A$1:J$4000,7,FALSE)</f>
        <v>#N/A</v>
      </c>
      <c r="K104" s="1" t="e">
        <f>VLOOKUP(D104,epiunits!A$1:J$4000,8,FALSE)</f>
        <v>#N/A</v>
      </c>
      <c r="L104" s="1" t="e">
        <f>VLOOKUP(D104,epiunits!A$1:J$4000,9,FALSE)</f>
        <v>#N/A</v>
      </c>
      <c r="M104" s="1" t="e">
        <f>VLOOKUP(D104,epiunits!A$1:J$4000,10,FALSE)</f>
        <v>#N/A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</row>
    <row r="105" spans="1:51" x14ac:dyDescent="0.25">
      <c r="A105" s="1" t="e">
        <f>VLOOKUP(D105,epiunits!A$1:C$4000,2,FALSE)</f>
        <v>#N/A</v>
      </c>
      <c r="B105" s="1" t="e">
        <f>VLOOKUP(D105,epiunits!A$1:C$4000,3,FALSE)</f>
        <v>#N/A</v>
      </c>
      <c r="C105" s="1" t="e">
        <f>VLOOKUP(E105,Inspector!A$1:B$50,2,FALSE)</f>
        <v>#N/A</v>
      </c>
      <c r="I105" s="1" t="e">
        <f>VLOOKUP(D105,epiunits!A$1:J$4000,6,FALSE)</f>
        <v>#N/A</v>
      </c>
      <c r="J105" s="1" t="e">
        <f>VLOOKUP(D105,epiunits!A$1:J$4000,7,FALSE)</f>
        <v>#N/A</v>
      </c>
      <c r="K105" s="1" t="e">
        <f>VLOOKUP(D105,epiunits!A$1:J$4000,8,FALSE)</f>
        <v>#N/A</v>
      </c>
      <c r="L105" s="1" t="e">
        <f>VLOOKUP(D105,epiunits!A$1:J$4000,9,FALSE)</f>
        <v>#N/A</v>
      </c>
      <c r="M105" s="1" t="e">
        <f>VLOOKUP(D105,epiunits!A$1:J$4000,10,FALSE)</f>
        <v>#N/A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</row>
    <row r="106" spans="1:51" x14ac:dyDescent="0.25">
      <c r="A106" s="1" t="e">
        <f>VLOOKUP(D106,epiunits!A$1:C$4000,2,FALSE)</f>
        <v>#N/A</v>
      </c>
      <c r="B106" s="1" t="e">
        <f>VLOOKUP(D106,epiunits!A$1:C$4000,3,FALSE)</f>
        <v>#N/A</v>
      </c>
      <c r="C106" s="1" t="e">
        <f>VLOOKUP(E106,Inspector!A$1:B$50,2,FALSE)</f>
        <v>#N/A</v>
      </c>
      <c r="I106" s="1" t="e">
        <f>VLOOKUP(D106,epiunits!A$1:J$4000,6,FALSE)</f>
        <v>#N/A</v>
      </c>
      <c r="J106" s="1" t="e">
        <f>VLOOKUP(D106,epiunits!A$1:J$4000,7,FALSE)</f>
        <v>#N/A</v>
      </c>
      <c r="K106" s="1" t="e">
        <f>VLOOKUP(D106,epiunits!A$1:J$4000,8,FALSE)</f>
        <v>#N/A</v>
      </c>
      <c r="L106" s="1" t="e">
        <f>VLOOKUP(D106,epiunits!A$1:J$4000,9,FALSE)</f>
        <v>#N/A</v>
      </c>
      <c r="M106" s="1" t="e">
        <f>VLOOKUP(D106,epiunits!A$1:J$4000,10,FALSE)</f>
        <v>#N/A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</row>
    <row r="107" spans="1:51" x14ac:dyDescent="0.25">
      <c r="A107" s="1" t="e">
        <f>VLOOKUP(D107,epiunits!A$1:C$4000,2,FALSE)</f>
        <v>#N/A</v>
      </c>
      <c r="B107" s="1" t="e">
        <f>VLOOKUP(D107,epiunits!A$1:C$4000,3,FALSE)</f>
        <v>#N/A</v>
      </c>
      <c r="C107" s="1" t="e">
        <f>VLOOKUP(E107,Inspector!A$1:B$50,2,FALSE)</f>
        <v>#N/A</v>
      </c>
      <c r="I107" s="1" t="e">
        <f>VLOOKUP(D107,epiunits!A$1:J$4000,6,FALSE)</f>
        <v>#N/A</v>
      </c>
      <c r="J107" s="1" t="e">
        <f>VLOOKUP(D107,epiunits!A$1:J$4000,7,FALSE)</f>
        <v>#N/A</v>
      </c>
      <c r="K107" s="1" t="e">
        <f>VLOOKUP(D107,epiunits!A$1:J$4000,8,FALSE)</f>
        <v>#N/A</v>
      </c>
      <c r="L107" s="1" t="e">
        <f>VLOOKUP(D107,epiunits!A$1:J$4000,9,FALSE)</f>
        <v>#N/A</v>
      </c>
      <c r="M107" s="1" t="e">
        <f>VLOOKUP(D107,epiunits!A$1:J$4000,10,FALSE)</f>
        <v>#N/A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</row>
    <row r="108" spans="1:51" x14ac:dyDescent="0.25">
      <c r="A108" s="1" t="e">
        <f>VLOOKUP(D108,epiunits!A$1:C$4000,2,FALSE)</f>
        <v>#N/A</v>
      </c>
      <c r="B108" s="1" t="e">
        <f>VLOOKUP(D108,epiunits!A$1:C$4000,3,FALSE)</f>
        <v>#N/A</v>
      </c>
      <c r="C108" s="1" t="e">
        <f>VLOOKUP(E108,Inspector!A$1:B$50,2,FALSE)</f>
        <v>#N/A</v>
      </c>
      <c r="I108" s="1" t="e">
        <f>VLOOKUP(D108,epiunits!A$1:J$4000,6,FALSE)</f>
        <v>#N/A</v>
      </c>
      <c r="J108" s="1" t="e">
        <f>VLOOKUP(D108,epiunits!A$1:J$4000,7,FALSE)</f>
        <v>#N/A</v>
      </c>
      <c r="K108" s="1" t="e">
        <f>VLOOKUP(D108,epiunits!A$1:J$4000,8,FALSE)</f>
        <v>#N/A</v>
      </c>
      <c r="L108" s="1" t="e">
        <f>VLOOKUP(D108,epiunits!A$1:J$4000,9,FALSE)</f>
        <v>#N/A</v>
      </c>
      <c r="M108" s="1" t="e">
        <f>VLOOKUP(D108,epiunits!A$1:J$4000,10,FALSE)</f>
        <v>#N/A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</row>
    <row r="109" spans="1:51" x14ac:dyDescent="0.25">
      <c r="A109" s="1" t="e">
        <f>VLOOKUP(D109,epiunits!A$1:C$4000,2,FALSE)</f>
        <v>#N/A</v>
      </c>
      <c r="B109" s="1" t="e">
        <f>VLOOKUP(D109,epiunits!A$1:C$4000,3,FALSE)</f>
        <v>#N/A</v>
      </c>
      <c r="C109" s="1" t="e">
        <f>VLOOKUP(E109,Inspector!A$1:B$50,2,FALSE)</f>
        <v>#N/A</v>
      </c>
      <c r="I109" s="1" t="e">
        <f>VLOOKUP(D109,epiunits!A$1:J$4000,6,FALSE)</f>
        <v>#N/A</v>
      </c>
      <c r="J109" s="1" t="e">
        <f>VLOOKUP(D109,epiunits!A$1:J$4000,7,FALSE)</f>
        <v>#N/A</v>
      </c>
      <c r="K109" s="1" t="e">
        <f>VLOOKUP(D109,epiunits!A$1:J$4000,8,FALSE)</f>
        <v>#N/A</v>
      </c>
      <c r="L109" s="1" t="e">
        <f>VLOOKUP(D109,epiunits!A$1:J$4000,9,FALSE)</f>
        <v>#N/A</v>
      </c>
      <c r="M109" s="1" t="e">
        <f>VLOOKUP(D109,epiunits!A$1:J$4000,10,FALSE)</f>
        <v>#N/A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</row>
    <row r="110" spans="1:51" x14ac:dyDescent="0.25">
      <c r="A110" s="1" t="e">
        <f>VLOOKUP(D110,epiunits!A$1:C$4000,2,FALSE)</f>
        <v>#N/A</v>
      </c>
      <c r="B110" s="1" t="e">
        <f>VLOOKUP(D110,epiunits!A$1:C$4000,3,FALSE)</f>
        <v>#N/A</v>
      </c>
      <c r="C110" s="1" t="e">
        <f>VLOOKUP(E110,Inspector!A$1:B$50,2,FALSE)</f>
        <v>#N/A</v>
      </c>
      <c r="I110" s="1" t="e">
        <f>VLOOKUP(D110,epiunits!A$1:J$4000,6,FALSE)</f>
        <v>#N/A</v>
      </c>
      <c r="J110" s="1" t="e">
        <f>VLOOKUP(D110,epiunits!A$1:J$4000,7,FALSE)</f>
        <v>#N/A</v>
      </c>
      <c r="K110" s="1" t="e">
        <f>VLOOKUP(D110,epiunits!A$1:J$4000,8,FALSE)</f>
        <v>#N/A</v>
      </c>
      <c r="L110" s="1" t="e">
        <f>VLOOKUP(D110,epiunits!A$1:J$4000,9,FALSE)</f>
        <v>#N/A</v>
      </c>
      <c r="M110" s="1" t="e">
        <f>VLOOKUP(D110,epiunits!A$1:J$4000,10,FALSE)</f>
        <v>#N/A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</row>
    <row r="111" spans="1:51" x14ac:dyDescent="0.25">
      <c r="A111" s="1" t="e">
        <f>VLOOKUP(D111,epiunits!A$1:C$4000,2,FALSE)</f>
        <v>#N/A</v>
      </c>
      <c r="B111" s="1" t="e">
        <f>VLOOKUP(D111,epiunits!A$1:C$4000,3,FALSE)</f>
        <v>#N/A</v>
      </c>
      <c r="C111" s="1" t="e">
        <f>VLOOKUP(E111,Inspector!A$1:B$50,2,FALSE)</f>
        <v>#N/A</v>
      </c>
      <c r="I111" s="1" t="e">
        <f>VLOOKUP(D111,epiunits!A$1:J$4000,6,FALSE)</f>
        <v>#N/A</v>
      </c>
      <c r="J111" s="1" t="e">
        <f>VLOOKUP(D111,epiunits!A$1:J$4000,7,FALSE)</f>
        <v>#N/A</v>
      </c>
      <c r="K111" s="1" t="e">
        <f>VLOOKUP(D111,epiunits!A$1:J$4000,8,FALSE)</f>
        <v>#N/A</v>
      </c>
      <c r="L111" s="1" t="e">
        <f>VLOOKUP(D111,epiunits!A$1:J$4000,9,FALSE)</f>
        <v>#N/A</v>
      </c>
      <c r="M111" s="1" t="e">
        <f>VLOOKUP(D111,epiunits!A$1:J$4000,10,FALSE)</f>
        <v>#N/A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</row>
    <row r="112" spans="1:51" x14ac:dyDescent="0.25">
      <c r="A112" s="1" t="e">
        <f>VLOOKUP(D112,epiunits!A$1:C$4000,2,FALSE)</f>
        <v>#N/A</v>
      </c>
      <c r="B112" s="1" t="e">
        <f>VLOOKUP(D112,epiunits!A$1:C$4000,3,FALSE)</f>
        <v>#N/A</v>
      </c>
      <c r="C112" s="1" t="e">
        <f>VLOOKUP(E112,Inspector!A$1:B$50,2,FALSE)</f>
        <v>#N/A</v>
      </c>
      <c r="I112" s="1" t="e">
        <f>VLOOKUP(D112,epiunits!A$1:J$4000,6,FALSE)</f>
        <v>#N/A</v>
      </c>
      <c r="J112" s="1" t="e">
        <f>VLOOKUP(D112,epiunits!A$1:J$4000,7,FALSE)</f>
        <v>#N/A</v>
      </c>
      <c r="K112" s="1" t="e">
        <f>VLOOKUP(D112,epiunits!A$1:J$4000,8,FALSE)</f>
        <v>#N/A</v>
      </c>
      <c r="L112" s="1" t="e">
        <f>VLOOKUP(D112,epiunits!A$1:J$4000,9,FALSE)</f>
        <v>#N/A</v>
      </c>
      <c r="M112" s="1" t="e">
        <f>VLOOKUP(D112,epiunits!A$1:J$4000,10,FALSE)</f>
        <v>#N/A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</row>
    <row r="113" spans="1:51" x14ac:dyDescent="0.25">
      <c r="A113" s="1" t="e">
        <f>VLOOKUP(D113,epiunits!A$1:C$4000,2,FALSE)</f>
        <v>#N/A</v>
      </c>
      <c r="B113" s="1" t="e">
        <f>VLOOKUP(D113,epiunits!A$1:C$4000,3,FALSE)</f>
        <v>#N/A</v>
      </c>
      <c r="C113" s="1" t="e">
        <f>VLOOKUP(E113,Inspector!A$1:B$50,2,FALSE)</f>
        <v>#N/A</v>
      </c>
      <c r="I113" s="1" t="e">
        <f>VLOOKUP(D113,epiunits!A$1:J$4000,6,FALSE)</f>
        <v>#N/A</v>
      </c>
      <c r="J113" s="1" t="e">
        <f>VLOOKUP(D113,epiunits!A$1:J$4000,7,FALSE)</f>
        <v>#N/A</v>
      </c>
      <c r="K113" s="1" t="e">
        <f>VLOOKUP(D113,epiunits!A$1:J$4000,8,FALSE)</f>
        <v>#N/A</v>
      </c>
      <c r="L113" s="1" t="e">
        <f>VLOOKUP(D113,epiunits!A$1:J$4000,9,FALSE)</f>
        <v>#N/A</v>
      </c>
      <c r="M113" s="1" t="e">
        <f>VLOOKUP(D113,epiunits!A$1:J$4000,10,FALSE)</f>
        <v>#N/A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</row>
    <row r="114" spans="1:51" x14ac:dyDescent="0.25">
      <c r="A114" s="1" t="e">
        <f>VLOOKUP(D114,epiunits!A$1:C$4000,2,FALSE)</f>
        <v>#N/A</v>
      </c>
      <c r="B114" s="1" t="e">
        <f>VLOOKUP(D114,epiunits!A$1:C$4000,3,FALSE)</f>
        <v>#N/A</v>
      </c>
      <c r="C114" s="1" t="e">
        <f>VLOOKUP(E114,Inspector!A$1:B$50,2,FALSE)</f>
        <v>#N/A</v>
      </c>
      <c r="I114" s="1" t="e">
        <f>VLOOKUP(D114,epiunits!A$1:J$4000,6,FALSE)</f>
        <v>#N/A</v>
      </c>
      <c r="J114" s="1" t="e">
        <f>VLOOKUP(D114,epiunits!A$1:J$4000,7,FALSE)</f>
        <v>#N/A</v>
      </c>
      <c r="K114" s="1" t="e">
        <f>VLOOKUP(D114,epiunits!A$1:J$4000,8,FALSE)</f>
        <v>#N/A</v>
      </c>
      <c r="L114" s="1" t="e">
        <f>VLOOKUP(D114,epiunits!A$1:J$4000,9,FALSE)</f>
        <v>#N/A</v>
      </c>
      <c r="M114" s="1" t="e">
        <f>VLOOKUP(D114,epiunits!A$1:J$4000,10,FALSE)</f>
        <v>#N/A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25">
      <c r="A115" s="1" t="e">
        <f>VLOOKUP(D115,epiunits!A$1:C$4000,2,FALSE)</f>
        <v>#N/A</v>
      </c>
      <c r="B115" s="1" t="e">
        <f>VLOOKUP(D115,epiunits!A$1:C$4000,3,FALSE)</f>
        <v>#N/A</v>
      </c>
      <c r="C115" s="1" t="e">
        <f>VLOOKUP(E115,Inspector!A$1:B$50,2,FALSE)</f>
        <v>#N/A</v>
      </c>
      <c r="I115" s="1" t="e">
        <f>VLOOKUP(D115,epiunits!A$1:J$4000,6,FALSE)</f>
        <v>#N/A</v>
      </c>
      <c r="J115" s="1" t="e">
        <f>VLOOKUP(D115,epiunits!A$1:J$4000,7,FALSE)</f>
        <v>#N/A</v>
      </c>
      <c r="K115" s="1" t="e">
        <f>VLOOKUP(D115,epiunits!A$1:J$4000,8,FALSE)</f>
        <v>#N/A</v>
      </c>
      <c r="L115" s="1" t="e">
        <f>VLOOKUP(D115,epiunits!A$1:J$4000,9,FALSE)</f>
        <v>#N/A</v>
      </c>
      <c r="M115" s="1" t="e">
        <f>VLOOKUP(D115,epiunits!A$1:J$4000,10,FALSE)</f>
        <v>#N/A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</row>
    <row r="116" spans="1:51" x14ac:dyDescent="0.25">
      <c r="A116" s="1" t="e">
        <f>VLOOKUP(D116,epiunits!A$1:C$4000,2,FALSE)</f>
        <v>#N/A</v>
      </c>
      <c r="B116" s="1" t="e">
        <f>VLOOKUP(D116,epiunits!A$1:C$4000,3,FALSE)</f>
        <v>#N/A</v>
      </c>
      <c r="C116" s="1" t="e">
        <f>VLOOKUP(E116,Inspector!A$1:B$50,2,FALSE)</f>
        <v>#N/A</v>
      </c>
      <c r="I116" s="1" t="e">
        <f>VLOOKUP(D116,epiunits!A$1:J$4000,6,FALSE)</f>
        <v>#N/A</v>
      </c>
      <c r="J116" s="1" t="e">
        <f>VLOOKUP(D116,epiunits!A$1:J$4000,7,FALSE)</f>
        <v>#N/A</v>
      </c>
      <c r="K116" s="1" t="e">
        <f>VLOOKUP(D116,epiunits!A$1:J$4000,8,FALSE)</f>
        <v>#N/A</v>
      </c>
      <c r="L116" s="1" t="e">
        <f>VLOOKUP(D116,epiunits!A$1:J$4000,9,FALSE)</f>
        <v>#N/A</v>
      </c>
      <c r="M116" s="1" t="e">
        <f>VLOOKUP(D116,epiunits!A$1:J$4000,10,FALSE)</f>
        <v>#N/A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</row>
    <row r="117" spans="1:51" x14ac:dyDescent="0.25">
      <c r="A117" s="1" t="e">
        <f>VLOOKUP(D117,epiunits!A$1:C$4000,2,FALSE)</f>
        <v>#N/A</v>
      </c>
      <c r="B117" s="1" t="e">
        <f>VLOOKUP(D117,epiunits!A$1:C$4000,3,FALSE)</f>
        <v>#N/A</v>
      </c>
      <c r="C117" s="1" t="e">
        <f>VLOOKUP(E117,Inspector!A$1:B$50,2,FALSE)</f>
        <v>#N/A</v>
      </c>
      <c r="I117" s="1" t="e">
        <f>VLOOKUP(D117,epiunits!A$1:J$4000,6,FALSE)</f>
        <v>#N/A</v>
      </c>
      <c r="J117" s="1" t="e">
        <f>VLOOKUP(D117,epiunits!A$1:J$4000,7,FALSE)</f>
        <v>#N/A</v>
      </c>
      <c r="K117" s="1" t="e">
        <f>VLOOKUP(D117,epiunits!A$1:J$4000,8,FALSE)</f>
        <v>#N/A</v>
      </c>
      <c r="L117" s="1" t="e">
        <f>VLOOKUP(D117,epiunits!A$1:J$4000,9,FALSE)</f>
        <v>#N/A</v>
      </c>
      <c r="M117" s="1" t="e">
        <f>VLOOKUP(D117,epiunits!A$1:J$4000,10,FALSE)</f>
        <v>#N/A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25">
      <c r="A118" s="1" t="e">
        <f>VLOOKUP(D118,epiunits!A$1:C$4000,2,FALSE)</f>
        <v>#N/A</v>
      </c>
      <c r="B118" s="1" t="e">
        <f>VLOOKUP(D118,epiunits!A$1:C$4000,3,FALSE)</f>
        <v>#N/A</v>
      </c>
      <c r="C118" s="1" t="e">
        <f>VLOOKUP(E118,Inspector!A$1:B$50,2,FALSE)</f>
        <v>#N/A</v>
      </c>
      <c r="I118" s="1" t="e">
        <f>VLOOKUP(D118,epiunits!A$1:J$4000,6,FALSE)</f>
        <v>#N/A</v>
      </c>
      <c r="J118" s="1" t="e">
        <f>VLOOKUP(D118,epiunits!A$1:J$4000,7,FALSE)</f>
        <v>#N/A</v>
      </c>
      <c r="K118" s="1" t="e">
        <f>VLOOKUP(D118,epiunits!A$1:J$4000,8,FALSE)</f>
        <v>#N/A</v>
      </c>
      <c r="L118" s="1" t="e">
        <f>VLOOKUP(D118,epiunits!A$1:J$4000,9,FALSE)</f>
        <v>#N/A</v>
      </c>
      <c r="M118" s="1" t="e">
        <f>VLOOKUP(D118,epiunits!A$1:J$4000,10,FALSE)</f>
        <v>#N/A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</row>
    <row r="119" spans="1:51" x14ac:dyDescent="0.25">
      <c r="A119" s="1" t="e">
        <f>VLOOKUP(D119,epiunits!A$1:C$4000,2,FALSE)</f>
        <v>#N/A</v>
      </c>
      <c r="B119" s="1" t="e">
        <f>VLOOKUP(D119,epiunits!A$1:C$4000,3,FALSE)</f>
        <v>#N/A</v>
      </c>
      <c r="C119" s="1" t="e">
        <f>VLOOKUP(E119,Inspector!A$1:B$50,2,FALSE)</f>
        <v>#N/A</v>
      </c>
      <c r="I119" s="1" t="e">
        <f>VLOOKUP(D119,epiunits!A$1:J$4000,6,FALSE)</f>
        <v>#N/A</v>
      </c>
      <c r="J119" s="1" t="e">
        <f>VLOOKUP(D119,epiunits!A$1:J$4000,7,FALSE)</f>
        <v>#N/A</v>
      </c>
      <c r="K119" s="1" t="e">
        <f>VLOOKUP(D119,epiunits!A$1:J$4000,8,FALSE)</f>
        <v>#N/A</v>
      </c>
      <c r="L119" s="1" t="e">
        <f>VLOOKUP(D119,epiunits!A$1:J$4000,9,FALSE)</f>
        <v>#N/A</v>
      </c>
      <c r="M119" s="1" t="e">
        <f>VLOOKUP(D119,epiunits!A$1:J$4000,10,FALSE)</f>
        <v>#N/A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</row>
    <row r="120" spans="1:51" x14ac:dyDescent="0.25">
      <c r="A120" s="1" t="e">
        <f>VLOOKUP(D120,epiunits!A$1:C$4000,2,FALSE)</f>
        <v>#N/A</v>
      </c>
      <c r="B120" s="1" t="e">
        <f>VLOOKUP(D120,epiunits!A$1:C$4000,3,FALSE)</f>
        <v>#N/A</v>
      </c>
      <c r="C120" s="1" t="e">
        <f>VLOOKUP(E120,Inspector!A$1:B$50,2,FALSE)</f>
        <v>#N/A</v>
      </c>
      <c r="I120" s="1" t="e">
        <f>VLOOKUP(D120,epiunits!A$1:J$4000,6,FALSE)</f>
        <v>#N/A</v>
      </c>
      <c r="J120" s="1" t="e">
        <f>VLOOKUP(D120,epiunits!A$1:J$4000,7,FALSE)</f>
        <v>#N/A</v>
      </c>
      <c r="K120" s="1" t="e">
        <f>VLOOKUP(D120,epiunits!A$1:J$4000,8,FALSE)</f>
        <v>#N/A</v>
      </c>
      <c r="L120" s="1" t="e">
        <f>VLOOKUP(D120,epiunits!A$1:J$4000,9,FALSE)</f>
        <v>#N/A</v>
      </c>
      <c r="M120" s="1" t="e">
        <f>VLOOKUP(D120,epiunits!A$1:J$4000,10,FALSE)</f>
        <v>#N/A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</row>
    <row r="121" spans="1:51" x14ac:dyDescent="0.25">
      <c r="A121" s="1" t="e">
        <f>VLOOKUP(D121,epiunits!A$1:C$4000,2,FALSE)</f>
        <v>#N/A</v>
      </c>
      <c r="B121" s="1" t="e">
        <f>VLOOKUP(D121,epiunits!A$1:C$4000,3,FALSE)</f>
        <v>#N/A</v>
      </c>
      <c r="C121" s="1" t="e">
        <f>VLOOKUP(E121,Inspector!A$1:B$50,2,FALSE)</f>
        <v>#N/A</v>
      </c>
      <c r="I121" s="1" t="e">
        <f>VLOOKUP(D121,epiunits!A$1:J$4000,6,FALSE)</f>
        <v>#N/A</v>
      </c>
      <c r="J121" s="1" t="e">
        <f>VLOOKUP(D121,epiunits!A$1:J$4000,7,FALSE)</f>
        <v>#N/A</v>
      </c>
      <c r="K121" s="1" t="e">
        <f>VLOOKUP(D121,epiunits!A$1:J$4000,8,FALSE)</f>
        <v>#N/A</v>
      </c>
      <c r="L121" s="1" t="e">
        <f>VLOOKUP(D121,epiunits!A$1:J$4000,9,FALSE)</f>
        <v>#N/A</v>
      </c>
      <c r="M121" s="1" t="e">
        <f>VLOOKUP(D121,epiunits!A$1:J$4000,10,FALSE)</f>
        <v>#N/A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</row>
    <row r="122" spans="1:51" x14ac:dyDescent="0.25">
      <c r="A122" s="1" t="e">
        <f>VLOOKUP(D122,epiunits!A$1:C$4000,2,FALSE)</f>
        <v>#N/A</v>
      </c>
      <c r="B122" s="1" t="e">
        <f>VLOOKUP(D122,epiunits!A$1:C$4000,3,FALSE)</f>
        <v>#N/A</v>
      </c>
      <c r="C122" s="1" t="e">
        <f>VLOOKUP(E122,Inspector!A$1:B$50,2,FALSE)</f>
        <v>#N/A</v>
      </c>
      <c r="I122" s="1" t="e">
        <f>VLOOKUP(D122,epiunits!A$1:J$4000,6,FALSE)</f>
        <v>#N/A</v>
      </c>
      <c r="J122" s="1" t="e">
        <f>VLOOKUP(D122,epiunits!A$1:J$4000,7,FALSE)</f>
        <v>#N/A</v>
      </c>
      <c r="K122" s="1" t="e">
        <f>VLOOKUP(D122,epiunits!A$1:J$4000,8,FALSE)</f>
        <v>#N/A</v>
      </c>
      <c r="L122" s="1" t="e">
        <f>VLOOKUP(D122,epiunits!A$1:J$4000,9,FALSE)</f>
        <v>#N/A</v>
      </c>
      <c r="M122" s="1" t="e">
        <f>VLOOKUP(D122,epiunits!A$1:J$4000,10,FALSE)</f>
        <v>#N/A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</row>
    <row r="123" spans="1:51" x14ac:dyDescent="0.25">
      <c r="A123" s="1" t="e">
        <f>VLOOKUP(D123,epiunits!A$1:C$4000,2,FALSE)</f>
        <v>#N/A</v>
      </c>
      <c r="B123" s="1" t="e">
        <f>VLOOKUP(D123,epiunits!A$1:C$4000,3,FALSE)</f>
        <v>#N/A</v>
      </c>
      <c r="C123" s="1" t="e">
        <f>VLOOKUP(E123,Inspector!A$1:B$50,2,FALSE)</f>
        <v>#N/A</v>
      </c>
      <c r="I123" s="1" t="e">
        <f>VLOOKUP(D123,epiunits!A$1:J$4000,6,FALSE)</f>
        <v>#N/A</v>
      </c>
      <c r="J123" s="1" t="e">
        <f>VLOOKUP(D123,epiunits!A$1:J$4000,7,FALSE)</f>
        <v>#N/A</v>
      </c>
      <c r="K123" s="1" t="e">
        <f>VLOOKUP(D123,epiunits!A$1:J$4000,8,FALSE)</f>
        <v>#N/A</v>
      </c>
      <c r="L123" s="1" t="e">
        <f>VLOOKUP(D123,epiunits!A$1:J$4000,9,FALSE)</f>
        <v>#N/A</v>
      </c>
      <c r="M123" s="1" t="e">
        <f>VLOOKUP(D123,epiunits!A$1:J$4000,10,FALSE)</f>
        <v>#N/A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</row>
    <row r="124" spans="1:51" x14ac:dyDescent="0.25">
      <c r="A124" s="1" t="e">
        <f>VLOOKUP(D124,epiunits!A$1:C$4000,2,FALSE)</f>
        <v>#N/A</v>
      </c>
      <c r="B124" s="1" t="e">
        <f>VLOOKUP(D124,epiunits!A$1:C$4000,3,FALSE)</f>
        <v>#N/A</v>
      </c>
      <c r="C124" s="1" t="e">
        <f>VLOOKUP(E124,Inspector!A$1:B$50,2,FALSE)</f>
        <v>#N/A</v>
      </c>
      <c r="I124" s="1" t="e">
        <f>VLOOKUP(D124,epiunits!A$1:J$4000,6,FALSE)</f>
        <v>#N/A</v>
      </c>
      <c r="J124" s="1" t="e">
        <f>VLOOKUP(D124,epiunits!A$1:J$4000,7,FALSE)</f>
        <v>#N/A</v>
      </c>
      <c r="K124" s="1" t="e">
        <f>VLOOKUP(D124,epiunits!A$1:J$4000,8,FALSE)</f>
        <v>#N/A</v>
      </c>
      <c r="L124" s="1" t="e">
        <f>VLOOKUP(D124,epiunits!A$1:J$4000,9,FALSE)</f>
        <v>#N/A</v>
      </c>
      <c r="M124" s="1" t="e">
        <f>VLOOKUP(D124,epiunits!A$1:J$4000,10,FALSE)</f>
        <v>#N/A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</row>
    <row r="125" spans="1:51" x14ac:dyDescent="0.25">
      <c r="A125" s="1" t="e">
        <f>VLOOKUP(D125,epiunits!A$1:C$4000,2,FALSE)</f>
        <v>#N/A</v>
      </c>
      <c r="B125" s="1" t="e">
        <f>VLOOKUP(D125,epiunits!A$1:C$4000,3,FALSE)</f>
        <v>#N/A</v>
      </c>
      <c r="C125" s="1" t="e">
        <f>VLOOKUP(E125,Inspector!A$1:B$50,2,FALSE)</f>
        <v>#N/A</v>
      </c>
      <c r="I125" s="1" t="e">
        <f>VLOOKUP(D125,epiunits!A$1:J$4000,6,FALSE)</f>
        <v>#N/A</v>
      </c>
      <c r="J125" s="1" t="e">
        <f>VLOOKUP(D125,epiunits!A$1:J$4000,7,FALSE)</f>
        <v>#N/A</v>
      </c>
      <c r="K125" s="1" t="e">
        <f>VLOOKUP(D125,epiunits!A$1:J$4000,8,FALSE)</f>
        <v>#N/A</v>
      </c>
      <c r="L125" s="1" t="e">
        <f>VLOOKUP(D125,epiunits!A$1:J$4000,9,FALSE)</f>
        <v>#N/A</v>
      </c>
      <c r="M125" s="1" t="e">
        <f>VLOOKUP(D125,epiunits!A$1:J$4000,10,FALSE)</f>
        <v>#N/A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</row>
    <row r="126" spans="1:51" x14ac:dyDescent="0.25">
      <c r="A126" s="1" t="e">
        <f>VLOOKUP(D126,epiunits!A$1:C$4000,2,FALSE)</f>
        <v>#N/A</v>
      </c>
      <c r="B126" s="1" t="e">
        <f>VLOOKUP(D126,epiunits!A$1:C$4000,3,FALSE)</f>
        <v>#N/A</v>
      </c>
      <c r="C126" s="1" t="e">
        <f>VLOOKUP(E126,Inspector!A$1:B$50,2,FALSE)</f>
        <v>#N/A</v>
      </c>
      <c r="I126" s="1" t="e">
        <f>VLOOKUP(D126,epiunits!A$1:J$4000,6,FALSE)</f>
        <v>#N/A</v>
      </c>
      <c r="J126" s="1" t="e">
        <f>VLOOKUP(D126,epiunits!A$1:J$4000,7,FALSE)</f>
        <v>#N/A</v>
      </c>
      <c r="K126" s="1" t="e">
        <f>VLOOKUP(D126,epiunits!A$1:J$4000,8,FALSE)</f>
        <v>#N/A</v>
      </c>
      <c r="L126" s="1" t="e">
        <f>VLOOKUP(D126,epiunits!A$1:J$4000,9,FALSE)</f>
        <v>#N/A</v>
      </c>
      <c r="M126" s="1" t="e">
        <f>VLOOKUP(D126,epiunits!A$1:J$4000,10,FALSE)</f>
        <v>#N/A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</row>
    <row r="127" spans="1:51" x14ac:dyDescent="0.25">
      <c r="A127" s="1" t="e">
        <f>VLOOKUP(D127,epiunits!A$1:C$4000,2,FALSE)</f>
        <v>#N/A</v>
      </c>
      <c r="B127" s="1" t="e">
        <f>VLOOKUP(D127,epiunits!A$1:C$4000,3,FALSE)</f>
        <v>#N/A</v>
      </c>
      <c r="C127" s="1" t="e">
        <f>VLOOKUP(E127,Inspector!A$1:B$50,2,FALSE)</f>
        <v>#N/A</v>
      </c>
      <c r="I127" s="1" t="e">
        <f>VLOOKUP(D127,epiunits!A$1:J$4000,6,FALSE)</f>
        <v>#N/A</v>
      </c>
      <c r="J127" s="1" t="e">
        <f>VLOOKUP(D127,epiunits!A$1:J$4000,7,FALSE)</f>
        <v>#N/A</v>
      </c>
      <c r="K127" s="1" t="e">
        <f>VLOOKUP(D127,epiunits!A$1:J$4000,8,FALSE)</f>
        <v>#N/A</v>
      </c>
      <c r="L127" s="1" t="e">
        <f>VLOOKUP(D127,epiunits!A$1:J$4000,9,FALSE)</f>
        <v>#N/A</v>
      </c>
      <c r="M127" s="1" t="e">
        <f>VLOOKUP(D127,epiunits!A$1:J$4000,10,FALSE)</f>
        <v>#N/A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</row>
    <row r="128" spans="1:51" x14ac:dyDescent="0.25">
      <c r="A128" s="1" t="e">
        <f>VLOOKUP(D128,epiunits!A$1:C$4000,2,FALSE)</f>
        <v>#N/A</v>
      </c>
      <c r="B128" s="1" t="e">
        <f>VLOOKUP(D128,epiunits!A$1:C$4000,3,FALSE)</f>
        <v>#N/A</v>
      </c>
      <c r="C128" s="1" t="e">
        <f>VLOOKUP(E128,Inspector!A$1:B$50,2,FALSE)</f>
        <v>#N/A</v>
      </c>
      <c r="I128" s="1" t="e">
        <f>VLOOKUP(D128,epiunits!A$1:J$4000,6,FALSE)</f>
        <v>#N/A</v>
      </c>
      <c r="J128" s="1" t="e">
        <f>VLOOKUP(D128,epiunits!A$1:J$4000,7,FALSE)</f>
        <v>#N/A</v>
      </c>
      <c r="K128" s="1" t="e">
        <f>VLOOKUP(D128,epiunits!A$1:J$4000,8,FALSE)</f>
        <v>#N/A</v>
      </c>
      <c r="L128" s="1" t="e">
        <f>VLOOKUP(D128,epiunits!A$1:J$4000,9,FALSE)</f>
        <v>#N/A</v>
      </c>
      <c r="M128" s="1" t="e">
        <f>VLOOKUP(D128,epiunits!A$1:J$4000,10,FALSE)</f>
        <v>#N/A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</row>
    <row r="129" spans="1:51" x14ac:dyDescent="0.25">
      <c r="A129" s="1" t="e">
        <f>VLOOKUP(D129,epiunits!A$1:C$4000,2,FALSE)</f>
        <v>#N/A</v>
      </c>
      <c r="B129" s="1" t="e">
        <f>VLOOKUP(D129,epiunits!A$1:C$4000,3,FALSE)</f>
        <v>#N/A</v>
      </c>
      <c r="C129" s="1" t="e">
        <f>VLOOKUP(E129,Inspector!A$1:B$50,2,FALSE)</f>
        <v>#N/A</v>
      </c>
      <c r="I129" s="1" t="e">
        <f>VLOOKUP(D129,epiunits!A$1:J$4000,6,FALSE)</f>
        <v>#N/A</v>
      </c>
      <c r="J129" s="1" t="e">
        <f>VLOOKUP(D129,epiunits!A$1:J$4000,7,FALSE)</f>
        <v>#N/A</v>
      </c>
      <c r="K129" s="1" t="e">
        <f>VLOOKUP(D129,epiunits!A$1:J$4000,8,FALSE)</f>
        <v>#N/A</v>
      </c>
      <c r="L129" s="1" t="e">
        <f>VLOOKUP(D129,epiunits!A$1:J$4000,9,FALSE)</f>
        <v>#N/A</v>
      </c>
      <c r="M129" s="1" t="e">
        <f>VLOOKUP(D129,epiunits!A$1:J$4000,10,FALSE)</f>
        <v>#N/A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</row>
    <row r="130" spans="1:51" x14ac:dyDescent="0.25">
      <c r="A130" s="1" t="e">
        <f>VLOOKUP(D130,epiunits!A$1:C$4000,2,FALSE)</f>
        <v>#N/A</v>
      </c>
      <c r="B130" s="1" t="e">
        <f>VLOOKUP(D130,epiunits!A$1:C$4000,3,FALSE)</f>
        <v>#N/A</v>
      </c>
      <c r="C130" s="1" t="e">
        <f>VLOOKUP(E130,Inspector!A$1:B$50,2,FALSE)</f>
        <v>#N/A</v>
      </c>
      <c r="I130" s="1" t="e">
        <f>VLOOKUP(D130,epiunits!A$1:J$4000,6,FALSE)</f>
        <v>#N/A</v>
      </c>
      <c r="J130" s="1" t="e">
        <f>VLOOKUP(D130,epiunits!A$1:J$4000,7,FALSE)</f>
        <v>#N/A</v>
      </c>
      <c r="K130" s="1" t="e">
        <f>VLOOKUP(D130,epiunits!A$1:J$4000,8,FALSE)</f>
        <v>#N/A</v>
      </c>
      <c r="L130" s="1" t="e">
        <f>VLOOKUP(D130,epiunits!A$1:J$4000,9,FALSE)</f>
        <v>#N/A</v>
      </c>
      <c r="M130" s="1" t="e">
        <f>VLOOKUP(D130,epiunits!A$1:J$4000,10,FALSE)</f>
        <v>#N/A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25">
      <c r="A131" s="1" t="e">
        <f>VLOOKUP(D131,epiunits!A$1:C$4000,2,FALSE)</f>
        <v>#N/A</v>
      </c>
      <c r="B131" s="1" t="e">
        <f>VLOOKUP(D131,epiunits!A$1:C$4000,3,FALSE)</f>
        <v>#N/A</v>
      </c>
      <c r="C131" s="1" t="e">
        <f>VLOOKUP(E131,Inspector!A$1:B$50,2,FALSE)</f>
        <v>#N/A</v>
      </c>
      <c r="I131" s="1" t="e">
        <f>VLOOKUP(D131,epiunits!A$1:J$4000,6,FALSE)</f>
        <v>#N/A</v>
      </c>
      <c r="J131" s="1" t="e">
        <f>VLOOKUP(D131,epiunits!A$1:J$4000,7,FALSE)</f>
        <v>#N/A</v>
      </c>
      <c r="K131" s="1" t="e">
        <f>VLOOKUP(D131,epiunits!A$1:J$4000,8,FALSE)</f>
        <v>#N/A</v>
      </c>
      <c r="L131" s="1" t="e">
        <f>VLOOKUP(D131,epiunits!A$1:J$4000,9,FALSE)</f>
        <v>#N/A</v>
      </c>
      <c r="M131" s="1" t="e">
        <f>VLOOKUP(D131,epiunits!A$1:J$4000,10,FALSE)</f>
        <v>#N/A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</row>
    <row r="132" spans="1:51" x14ac:dyDescent="0.25">
      <c r="A132" s="1" t="e">
        <f>VLOOKUP(D132,epiunits!A$1:C$4000,2,FALSE)</f>
        <v>#N/A</v>
      </c>
      <c r="B132" s="1" t="e">
        <f>VLOOKUP(D132,epiunits!A$1:C$4000,3,FALSE)</f>
        <v>#N/A</v>
      </c>
      <c r="C132" s="1" t="e">
        <f>VLOOKUP(E132,Inspector!A$1:B$50,2,FALSE)</f>
        <v>#N/A</v>
      </c>
      <c r="I132" s="1" t="e">
        <f>VLOOKUP(D132,epiunits!A$1:J$4000,6,FALSE)</f>
        <v>#N/A</v>
      </c>
      <c r="J132" s="1" t="e">
        <f>VLOOKUP(D132,epiunits!A$1:J$4000,7,FALSE)</f>
        <v>#N/A</v>
      </c>
      <c r="K132" s="1" t="e">
        <f>VLOOKUP(D132,epiunits!A$1:J$4000,8,FALSE)</f>
        <v>#N/A</v>
      </c>
      <c r="L132" s="1" t="e">
        <f>VLOOKUP(D132,epiunits!A$1:J$4000,9,FALSE)</f>
        <v>#N/A</v>
      </c>
      <c r="M132" s="1" t="e">
        <f>VLOOKUP(D132,epiunits!A$1:J$4000,10,FALSE)</f>
        <v>#N/A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</row>
    <row r="133" spans="1:51" x14ac:dyDescent="0.25">
      <c r="A133" s="1" t="e">
        <f>VLOOKUP(D133,epiunits!A$1:C$4000,2,FALSE)</f>
        <v>#N/A</v>
      </c>
      <c r="B133" s="1" t="e">
        <f>VLOOKUP(D133,epiunits!A$1:C$4000,3,FALSE)</f>
        <v>#N/A</v>
      </c>
      <c r="C133" s="1" t="e">
        <f>VLOOKUP(E133,Inspector!A$1:B$50,2,FALSE)</f>
        <v>#N/A</v>
      </c>
      <c r="I133" s="1" t="e">
        <f>VLOOKUP(D133,epiunits!A$1:J$4000,6,FALSE)</f>
        <v>#N/A</v>
      </c>
      <c r="J133" s="1" t="e">
        <f>VLOOKUP(D133,epiunits!A$1:J$4000,7,FALSE)</f>
        <v>#N/A</v>
      </c>
      <c r="K133" s="1" t="e">
        <f>VLOOKUP(D133,epiunits!A$1:J$4000,8,FALSE)</f>
        <v>#N/A</v>
      </c>
      <c r="L133" s="1" t="e">
        <f>VLOOKUP(D133,epiunits!A$1:J$4000,9,FALSE)</f>
        <v>#N/A</v>
      </c>
      <c r="M133" s="1" t="e">
        <f>VLOOKUP(D133,epiunits!A$1:J$4000,10,FALSE)</f>
        <v>#N/A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25">
      <c r="A134" s="1" t="e">
        <f>VLOOKUP(D134,epiunits!A$1:C$4000,2,FALSE)</f>
        <v>#N/A</v>
      </c>
      <c r="B134" s="1" t="e">
        <f>VLOOKUP(D134,epiunits!A$1:C$4000,3,FALSE)</f>
        <v>#N/A</v>
      </c>
      <c r="C134" s="1" t="e">
        <f>VLOOKUP(E134,Inspector!A$1:B$50,2,FALSE)</f>
        <v>#N/A</v>
      </c>
      <c r="I134" s="1" t="e">
        <f>VLOOKUP(D134,epiunits!A$1:J$4000,6,FALSE)</f>
        <v>#N/A</v>
      </c>
      <c r="J134" s="1" t="e">
        <f>VLOOKUP(D134,epiunits!A$1:J$4000,7,FALSE)</f>
        <v>#N/A</v>
      </c>
      <c r="K134" s="1" t="e">
        <f>VLOOKUP(D134,epiunits!A$1:J$4000,8,FALSE)</f>
        <v>#N/A</v>
      </c>
      <c r="L134" s="1" t="e">
        <f>VLOOKUP(D134,epiunits!A$1:J$4000,9,FALSE)</f>
        <v>#N/A</v>
      </c>
      <c r="M134" s="1" t="e">
        <f>VLOOKUP(D134,epiunits!A$1:J$4000,10,FALSE)</f>
        <v>#N/A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</row>
    <row r="135" spans="1:51" x14ac:dyDescent="0.25">
      <c r="A135" s="1" t="e">
        <f>VLOOKUP(D135,epiunits!A$1:C$4000,2,FALSE)</f>
        <v>#N/A</v>
      </c>
      <c r="B135" s="1" t="e">
        <f>VLOOKUP(D135,epiunits!A$1:C$4000,3,FALSE)</f>
        <v>#N/A</v>
      </c>
      <c r="C135" s="1" t="e">
        <f>VLOOKUP(E135,Inspector!A$1:B$50,2,FALSE)</f>
        <v>#N/A</v>
      </c>
      <c r="I135" s="1" t="e">
        <f>VLOOKUP(D135,epiunits!A$1:J$4000,6,FALSE)</f>
        <v>#N/A</v>
      </c>
      <c r="J135" s="1" t="e">
        <f>VLOOKUP(D135,epiunits!A$1:J$4000,7,FALSE)</f>
        <v>#N/A</v>
      </c>
      <c r="K135" s="1" t="e">
        <f>VLOOKUP(D135,epiunits!A$1:J$4000,8,FALSE)</f>
        <v>#N/A</v>
      </c>
      <c r="L135" s="1" t="e">
        <f>VLOOKUP(D135,epiunits!A$1:J$4000,9,FALSE)</f>
        <v>#N/A</v>
      </c>
      <c r="M135" s="1" t="e">
        <f>VLOOKUP(D135,epiunits!A$1:J$4000,10,FALSE)</f>
        <v>#N/A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</row>
    <row r="136" spans="1:51" x14ac:dyDescent="0.25">
      <c r="A136" s="1" t="e">
        <f>VLOOKUP(D136,epiunits!A$1:C$4000,2,FALSE)</f>
        <v>#N/A</v>
      </c>
      <c r="B136" s="1" t="e">
        <f>VLOOKUP(D136,epiunits!A$1:C$4000,3,FALSE)</f>
        <v>#N/A</v>
      </c>
      <c r="C136" s="1" t="e">
        <f>VLOOKUP(E136,Inspector!A$1:B$50,2,FALSE)</f>
        <v>#N/A</v>
      </c>
      <c r="I136" s="1" t="e">
        <f>VLOOKUP(D136,epiunits!A$1:J$4000,6,FALSE)</f>
        <v>#N/A</v>
      </c>
      <c r="J136" s="1" t="e">
        <f>VLOOKUP(D136,epiunits!A$1:J$4000,7,FALSE)</f>
        <v>#N/A</v>
      </c>
      <c r="K136" s="1" t="e">
        <f>VLOOKUP(D136,epiunits!A$1:J$4000,8,FALSE)</f>
        <v>#N/A</v>
      </c>
      <c r="L136" s="1" t="e">
        <f>VLOOKUP(D136,epiunits!A$1:J$4000,9,FALSE)</f>
        <v>#N/A</v>
      </c>
      <c r="M136" s="1" t="e">
        <f>VLOOKUP(D136,epiunits!A$1:J$4000,10,FALSE)</f>
        <v>#N/A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</row>
    <row r="137" spans="1:51" x14ac:dyDescent="0.25">
      <c r="A137" s="1" t="e">
        <f>VLOOKUP(D137,epiunits!A$1:C$4000,2,FALSE)</f>
        <v>#N/A</v>
      </c>
      <c r="B137" s="1" t="e">
        <f>VLOOKUP(D137,epiunits!A$1:C$4000,3,FALSE)</f>
        <v>#N/A</v>
      </c>
      <c r="C137" s="1" t="e">
        <f>VLOOKUP(E137,Inspector!A$1:B$50,2,FALSE)</f>
        <v>#N/A</v>
      </c>
      <c r="I137" s="1" t="e">
        <f>VLOOKUP(D137,epiunits!A$1:J$4000,6,FALSE)</f>
        <v>#N/A</v>
      </c>
      <c r="J137" s="1" t="e">
        <f>VLOOKUP(D137,epiunits!A$1:J$4000,7,FALSE)</f>
        <v>#N/A</v>
      </c>
      <c r="K137" s="1" t="e">
        <f>VLOOKUP(D137,epiunits!A$1:J$4000,8,FALSE)</f>
        <v>#N/A</v>
      </c>
      <c r="L137" s="1" t="e">
        <f>VLOOKUP(D137,epiunits!A$1:J$4000,9,FALSE)</f>
        <v>#N/A</v>
      </c>
      <c r="M137" s="1" t="e">
        <f>VLOOKUP(D137,epiunits!A$1:J$4000,10,FALSE)</f>
        <v>#N/A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</row>
    <row r="138" spans="1:51" x14ac:dyDescent="0.25">
      <c r="A138" s="1" t="e">
        <f>VLOOKUP(D138,epiunits!A$1:C$4000,2,FALSE)</f>
        <v>#N/A</v>
      </c>
      <c r="B138" s="1" t="e">
        <f>VLOOKUP(D138,epiunits!A$1:C$4000,3,FALSE)</f>
        <v>#N/A</v>
      </c>
      <c r="C138" s="1" t="e">
        <f>VLOOKUP(E138,Inspector!A$1:B$50,2,FALSE)</f>
        <v>#N/A</v>
      </c>
      <c r="I138" s="1" t="e">
        <f>VLOOKUP(D138,epiunits!A$1:J$4000,6,FALSE)</f>
        <v>#N/A</v>
      </c>
      <c r="J138" s="1" t="e">
        <f>VLOOKUP(D138,epiunits!A$1:J$4000,7,FALSE)</f>
        <v>#N/A</v>
      </c>
      <c r="K138" s="1" t="e">
        <f>VLOOKUP(D138,epiunits!A$1:J$4000,8,FALSE)</f>
        <v>#N/A</v>
      </c>
      <c r="L138" s="1" t="e">
        <f>VLOOKUP(D138,epiunits!A$1:J$4000,9,FALSE)</f>
        <v>#N/A</v>
      </c>
      <c r="M138" s="1" t="e">
        <f>VLOOKUP(D138,epiunits!A$1:J$4000,10,FALSE)</f>
        <v>#N/A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</row>
    <row r="139" spans="1:51" x14ac:dyDescent="0.25">
      <c r="A139" s="1" t="e">
        <f>VLOOKUP(D139,epiunits!A$1:C$4000,2,FALSE)</f>
        <v>#N/A</v>
      </c>
      <c r="B139" s="1" t="e">
        <f>VLOOKUP(D139,epiunits!A$1:C$4000,3,FALSE)</f>
        <v>#N/A</v>
      </c>
      <c r="C139" s="1" t="e">
        <f>VLOOKUP(E139,Inspector!A$1:B$50,2,FALSE)</f>
        <v>#N/A</v>
      </c>
      <c r="I139" s="1" t="e">
        <f>VLOOKUP(D139,epiunits!A$1:J$4000,6,FALSE)</f>
        <v>#N/A</v>
      </c>
      <c r="J139" s="1" t="e">
        <f>VLOOKUP(D139,epiunits!A$1:J$4000,7,FALSE)</f>
        <v>#N/A</v>
      </c>
      <c r="K139" s="1" t="e">
        <f>VLOOKUP(D139,epiunits!A$1:J$4000,8,FALSE)</f>
        <v>#N/A</v>
      </c>
      <c r="L139" s="1" t="e">
        <f>VLOOKUP(D139,epiunits!A$1:J$4000,9,FALSE)</f>
        <v>#N/A</v>
      </c>
      <c r="M139" s="1" t="e">
        <f>VLOOKUP(D139,epiunits!A$1:J$4000,10,FALSE)</f>
        <v>#N/A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</row>
    <row r="140" spans="1:51" x14ac:dyDescent="0.25">
      <c r="A140" s="1" t="e">
        <f>VLOOKUP(D140,epiunits!A$1:C$4000,2,FALSE)</f>
        <v>#N/A</v>
      </c>
      <c r="B140" s="1" t="e">
        <f>VLOOKUP(D140,epiunits!A$1:C$4000,3,FALSE)</f>
        <v>#N/A</v>
      </c>
      <c r="C140" s="1" t="e">
        <f>VLOOKUP(E140,Inspector!A$1:B$50,2,FALSE)</f>
        <v>#N/A</v>
      </c>
      <c r="I140" s="1" t="e">
        <f>VLOOKUP(D140,epiunits!A$1:J$4000,6,FALSE)</f>
        <v>#N/A</v>
      </c>
      <c r="J140" s="1" t="e">
        <f>VLOOKUP(D140,epiunits!A$1:J$4000,7,FALSE)</f>
        <v>#N/A</v>
      </c>
      <c r="K140" s="1" t="e">
        <f>VLOOKUP(D140,epiunits!A$1:J$4000,8,FALSE)</f>
        <v>#N/A</v>
      </c>
      <c r="L140" s="1" t="e">
        <f>VLOOKUP(D140,epiunits!A$1:J$4000,9,FALSE)</f>
        <v>#N/A</v>
      </c>
      <c r="M140" s="1" t="e">
        <f>VLOOKUP(D140,epiunits!A$1:J$4000,10,FALSE)</f>
        <v>#N/A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</row>
    <row r="141" spans="1:51" x14ac:dyDescent="0.25">
      <c r="A141" s="1" t="e">
        <f>VLOOKUP(D141,epiunits!A$1:C$4000,2,FALSE)</f>
        <v>#N/A</v>
      </c>
      <c r="B141" s="1" t="e">
        <f>VLOOKUP(D141,epiunits!A$1:C$4000,3,FALSE)</f>
        <v>#N/A</v>
      </c>
      <c r="C141" s="1" t="e">
        <f>VLOOKUP(E141,Inspector!A$1:B$50,2,FALSE)</f>
        <v>#N/A</v>
      </c>
      <c r="I141" s="1" t="e">
        <f>VLOOKUP(D141,epiunits!A$1:J$4000,6,FALSE)</f>
        <v>#N/A</v>
      </c>
      <c r="J141" s="1" t="e">
        <f>VLOOKUP(D141,epiunits!A$1:J$4000,7,FALSE)</f>
        <v>#N/A</v>
      </c>
      <c r="K141" s="1" t="e">
        <f>VLOOKUP(D141,epiunits!A$1:J$4000,8,FALSE)</f>
        <v>#N/A</v>
      </c>
      <c r="L141" s="1" t="e">
        <f>VLOOKUP(D141,epiunits!A$1:J$4000,9,FALSE)</f>
        <v>#N/A</v>
      </c>
      <c r="M141" s="1" t="e">
        <f>VLOOKUP(D141,epiunits!A$1:J$4000,10,FALSE)</f>
        <v>#N/A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</row>
    <row r="142" spans="1:51" x14ac:dyDescent="0.25">
      <c r="A142" s="1" t="e">
        <f>VLOOKUP(D142,epiunits!A$1:C$4000,2,FALSE)</f>
        <v>#N/A</v>
      </c>
      <c r="B142" s="1" t="e">
        <f>VLOOKUP(D142,epiunits!A$1:C$4000,3,FALSE)</f>
        <v>#N/A</v>
      </c>
      <c r="C142" s="1" t="e">
        <f>VLOOKUP(E142,Inspector!A$1:B$50,2,FALSE)</f>
        <v>#N/A</v>
      </c>
      <c r="I142" s="1" t="e">
        <f>VLOOKUP(D142,epiunits!A$1:J$4000,6,FALSE)</f>
        <v>#N/A</v>
      </c>
      <c r="J142" s="1" t="e">
        <f>VLOOKUP(D142,epiunits!A$1:J$4000,7,FALSE)</f>
        <v>#N/A</v>
      </c>
      <c r="K142" s="1" t="e">
        <f>VLOOKUP(D142,epiunits!A$1:J$4000,8,FALSE)</f>
        <v>#N/A</v>
      </c>
      <c r="L142" s="1" t="e">
        <f>VLOOKUP(D142,epiunits!A$1:J$4000,9,FALSE)</f>
        <v>#N/A</v>
      </c>
      <c r="M142" s="1" t="e">
        <f>VLOOKUP(D142,epiunits!A$1:J$4000,10,FALSE)</f>
        <v>#N/A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</row>
    <row r="143" spans="1:51" x14ac:dyDescent="0.25">
      <c r="A143" s="1" t="e">
        <f>VLOOKUP(D143,epiunits!A$1:C$4000,2,FALSE)</f>
        <v>#N/A</v>
      </c>
      <c r="B143" s="1" t="e">
        <f>VLOOKUP(D143,epiunits!A$1:C$4000,3,FALSE)</f>
        <v>#N/A</v>
      </c>
      <c r="C143" s="1" t="e">
        <f>VLOOKUP(E143,Inspector!A$1:B$50,2,FALSE)</f>
        <v>#N/A</v>
      </c>
      <c r="I143" s="1" t="e">
        <f>VLOOKUP(D143,epiunits!A$1:J$4000,6,FALSE)</f>
        <v>#N/A</v>
      </c>
      <c r="J143" s="1" t="e">
        <f>VLOOKUP(D143,epiunits!A$1:J$4000,7,FALSE)</f>
        <v>#N/A</v>
      </c>
      <c r="K143" s="1" t="e">
        <f>VLOOKUP(D143,epiunits!A$1:J$4000,8,FALSE)</f>
        <v>#N/A</v>
      </c>
      <c r="L143" s="1" t="e">
        <f>VLOOKUP(D143,epiunits!A$1:J$4000,9,FALSE)</f>
        <v>#N/A</v>
      </c>
      <c r="M143" s="1" t="e">
        <f>VLOOKUP(D143,epiunits!A$1:J$4000,10,FALSE)</f>
        <v>#N/A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</row>
    <row r="144" spans="1:51" x14ac:dyDescent="0.25">
      <c r="A144" s="1" t="e">
        <f>VLOOKUP(D144,epiunits!A$1:C$4000,2,FALSE)</f>
        <v>#N/A</v>
      </c>
      <c r="B144" s="1" t="e">
        <f>VLOOKUP(D144,epiunits!A$1:C$4000,3,FALSE)</f>
        <v>#N/A</v>
      </c>
      <c r="C144" s="1" t="e">
        <f>VLOOKUP(E144,Inspector!A$1:B$50,2,FALSE)</f>
        <v>#N/A</v>
      </c>
      <c r="I144" s="1" t="e">
        <f>VLOOKUP(D144,epiunits!A$1:J$4000,6,FALSE)</f>
        <v>#N/A</v>
      </c>
      <c r="J144" s="1" t="e">
        <f>VLOOKUP(D144,epiunits!A$1:J$4000,7,FALSE)</f>
        <v>#N/A</v>
      </c>
      <c r="K144" s="1" t="e">
        <f>VLOOKUP(D144,epiunits!A$1:J$4000,8,FALSE)</f>
        <v>#N/A</v>
      </c>
      <c r="L144" s="1" t="e">
        <f>VLOOKUP(D144,epiunits!A$1:J$4000,9,FALSE)</f>
        <v>#N/A</v>
      </c>
      <c r="M144" s="1" t="e">
        <f>VLOOKUP(D144,epiunits!A$1:J$4000,10,FALSE)</f>
        <v>#N/A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</row>
    <row r="145" spans="1:51" x14ac:dyDescent="0.25">
      <c r="A145" s="1" t="e">
        <f>VLOOKUP(D145,epiunits!A$1:C$4000,2,FALSE)</f>
        <v>#N/A</v>
      </c>
      <c r="B145" s="1" t="e">
        <f>VLOOKUP(D145,epiunits!A$1:C$4000,3,FALSE)</f>
        <v>#N/A</v>
      </c>
      <c r="C145" s="1" t="e">
        <f>VLOOKUP(E145,Inspector!A$1:B$50,2,FALSE)</f>
        <v>#N/A</v>
      </c>
      <c r="I145" s="1" t="e">
        <f>VLOOKUP(D145,epiunits!A$1:J$4000,6,FALSE)</f>
        <v>#N/A</v>
      </c>
      <c r="J145" s="1" t="e">
        <f>VLOOKUP(D145,epiunits!A$1:J$4000,7,FALSE)</f>
        <v>#N/A</v>
      </c>
      <c r="K145" s="1" t="e">
        <f>VLOOKUP(D145,epiunits!A$1:J$4000,8,FALSE)</f>
        <v>#N/A</v>
      </c>
      <c r="L145" s="1" t="e">
        <f>VLOOKUP(D145,epiunits!A$1:J$4000,9,FALSE)</f>
        <v>#N/A</v>
      </c>
      <c r="M145" s="1" t="e">
        <f>VLOOKUP(D145,epiunits!A$1:J$4000,10,FALSE)</f>
        <v>#N/A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</row>
    <row r="146" spans="1:51" x14ac:dyDescent="0.25">
      <c r="A146" s="1" t="e">
        <f>VLOOKUP(D146,epiunits!A$1:C$4000,2,FALSE)</f>
        <v>#N/A</v>
      </c>
      <c r="B146" s="1" t="e">
        <f>VLOOKUP(D146,epiunits!A$1:C$4000,3,FALSE)</f>
        <v>#N/A</v>
      </c>
      <c r="C146" s="1" t="e">
        <f>VLOOKUP(E146,Inspector!A$1:B$50,2,FALSE)</f>
        <v>#N/A</v>
      </c>
      <c r="I146" s="1" t="e">
        <f>VLOOKUP(D146,epiunits!A$1:J$4000,6,FALSE)</f>
        <v>#N/A</v>
      </c>
      <c r="J146" s="1" t="e">
        <f>VLOOKUP(D146,epiunits!A$1:J$4000,7,FALSE)</f>
        <v>#N/A</v>
      </c>
      <c r="K146" s="1" t="e">
        <f>VLOOKUP(D146,epiunits!A$1:J$4000,8,FALSE)</f>
        <v>#N/A</v>
      </c>
      <c r="L146" s="1" t="e">
        <f>VLOOKUP(D146,epiunits!A$1:J$4000,9,FALSE)</f>
        <v>#N/A</v>
      </c>
      <c r="M146" s="1" t="e">
        <f>VLOOKUP(D146,epiunits!A$1:J$4000,10,FALSE)</f>
        <v>#N/A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</row>
    <row r="147" spans="1:51" x14ac:dyDescent="0.25">
      <c r="A147" s="1" t="e">
        <f>VLOOKUP(D147,epiunits!A$1:C$4000,2,FALSE)</f>
        <v>#N/A</v>
      </c>
      <c r="B147" s="1" t="e">
        <f>VLOOKUP(D147,epiunits!A$1:C$4000,3,FALSE)</f>
        <v>#N/A</v>
      </c>
      <c r="C147" s="1" t="e">
        <f>VLOOKUP(E147,Inspector!A$1:B$50,2,FALSE)</f>
        <v>#N/A</v>
      </c>
      <c r="I147" s="1" t="e">
        <f>VLOOKUP(D147,epiunits!A$1:J$4000,6,FALSE)</f>
        <v>#N/A</v>
      </c>
      <c r="J147" s="1" t="e">
        <f>VLOOKUP(D147,epiunits!A$1:J$4000,7,FALSE)</f>
        <v>#N/A</v>
      </c>
      <c r="K147" s="1" t="e">
        <f>VLOOKUP(D147,epiunits!A$1:J$4000,8,FALSE)</f>
        <v>#N/A</v>
      </c>
      <c r="L147" s="1" t="e">
        <f>VLOOKUP(D147,epiunits!A$1:J$4000,9,FALSE)</f>
        <v>#N/A</v>
      </c>
      <c r="M147" s="1" t="e">
        <f>VLOOKUP(D147,epiunits!A$1:J$4000,10,FALSE)</f>
        <v>#N/A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</row>
    <row r="148" spans="1:51" x14ac:dyDescent="0.25">
      <c r="A148" s="1" t="e">
        <f>VLOOKUP(D148,epiunits!A$1:C$4000,2,FALSE)</f>
        <v>#N/A</v>
      </c>
      <c r="B148" s="1" t="e">
        <f>VLOOKUP(D148,epiunits!A$1:C$4000,3,FALSE)</f>
        <v>#N/A</v>
      </c>
      <c r="C148" s="1" t="e">
        <f>VLOOKUP(E148,Inspector!A$1:B$50,2,FALSE)</f>
        <v>#N/A</v>
      </c>
      <c r="I148" s="1" t="e">
        <f>VLOOKUP(D148,epiunits!A$1:J$4000,6,FALSE)</f>
        <v>#N/A</v>
      </c>
      <c r="J148" s="1" t="e">
        <f>VLOOKUP(D148,epiunits!A$1:J$4000,7,FALSE)</f>
        <v>#N/A</v>
      </c>
      <c r="K148" s="1" t="e">
        <f>VLOOKUP(D148,epiunits!A$1:J$4000,8,FALSE)</f>
        <v>#N/A</v>
      </c>
      <c r="L148" s="1" t="e">
        <f>VLOOKUP(D148,epiunits!A$1:J$4000,9,FALSE)</f>
        <v>#N/A</v>
      </c>
      <c r="M148" s="1" t="e">
        <f>VLOOKUP(D148,epiunits!A$1:J$4000,10,FALSE)</f>
        <v>#N/A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</row>
    <row r="149" spans="1:51" x14ac:dyDescent="0.25">
      <c r="A149" s="1" t="e">
        <f>VLOOKUP(D149,epiunits!A$1:C$4000,2,FALSE)</f>
        <v>#N/A</v>
      </c>
      <c r="B149" s="1" t="e">
        <f>VLOOKUP(D149,epiunits!A$1:C$4000,3,FALSE)</f>
        <v>#N/A</v>
      </c>
      <c r="C149" s="1" t="e">
        <f>VLOOKUP(E149,Inspector!A$1:B$50,2,FALSE)</f>
        <v>#N/A</v>
      </c>
      <c r="I149" s="1" t="e">
        <f>VLOOKUP(D149,epiunits!A$1:J$4000,6,FALSE)</f>
        <v>#N/A</v>
      </c>
      <c r="J149" s="1" t="e">
        <f>VLOOKUP(D149,epiunits!A$1:J$4000,7,FALSE)</f>
        <v>#N/A</v>
      </c>
      <c r="K149" s="1" t="e">
        <f>VLOOKUP(D149,epiunits!A$1:J$4000,8,FALSE)</f>
        <v>#N/A</v>
      </c>
      <c r="L149" s="1" t="e">
        <f>VLOOKUP(D149,epiunits!A$1:J$4000,9,FALSE)</f>
        <v>#N/A</v>
      </c>
      <c r="M149" s="1" t="e">
        <f>VLOOKUP(D149,epiunits!A$1:J$4000,10,FALSE)</f>
        <v>#N/A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</row>
    <row r="150" spans="1:51" x14ac:dyDescent="0.25">
      <c r="A150" s="1" t="e">
        <f>VLOOKUP(D150,epiunits!A$1:C$4000,2,FALSE)</f>
        <v>#N/A</v>
      </c>
      <c r="B150" s="1" t="e">
        <f>VLOOKUP(D150,epiunits!A$1:C$4000,3,FALSE)</f>
        <v>#N/A</v>
      </c>
      <c r="C150" s="1" t="e">
        <f>VLOOKUP(E150,Inspector!A$1:B$50,2,FALSE)</f>
        <v>#N/A</v>
      </c>
      <c r="I150" s="1" t="e">
        <f>VLOOKUP(D150,epiunits!A$1:J$4000,6,FALSE)</f>
        <v>#N/A</v>
      </c>
      <c r="J150" s="1" t="e">
        <f>VLOOKUP(D150,epiunits!A$1:J$4000,7,FALSE)</f>
        <v>#N/A</v>
      </c>
      <c r="K150" s="1" t="e">
        <f>VLOOKUP(D150,epiunits!A$1:J$4000,8,FALSE)</f>
        <v>#N/A</v>
      </c>
      <c r="L150" s="1" t="e">
        <f>VLOOKUP(D150,epiunits!A$1:J$4000,9,FALSE)</f>
        <v>#N/A</v>
      </c>
      <c r="M150" s="1" t="e">
        <f>VLOOKUP(D150,epiunits!A$1:J$4000,10,FALSE)</f>
        <v>#N/A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</row>
    <row r="151" spans="1:51" x14ac:dyDescent="0.25">
      <c r="A151" s="1" t="e">
        <f>VLOOKUP(D151,epiunits!A$1:C$4000,2,FALSE)</f>
        <v>#N/A</v>
      </c>
      <c r="B151" s="1" t="e">
        <f>VLOOKUP(D151,epiunits!A$1:C$4000,3,FALSE)</f>
        <v>#N/A</v>
      </c>
      <c r="C151" s="1" t="e">
        <f>VLOOKUP(E151,Inspector!A$1:B$50,2,FALSE)</f>
        <v>#N/A</v>
      </c>
      <c r="I151" s="1" t="e">
        <f>VLOOKUP(D151,epiunits!A$1:J$4000,6,FALSE)</f>
        <v>#N/A</v>
      </c>
      <c r="J151" s="1" t="e">
        <f>VLOOKUP(D151,epiunits!A$1:J$4000,7,FALSE)</f>
        <v>#N/A</v>
      </c>
      <c r="K151" s="1" t="e">
        <f>VLOOKUP(D151,epiunits!A$1:J$4000,8,FALSE)</f>
        <v>#N/A</v>
      </c>
      <c r="L151" s="1" t="e">
        <f>VLOOKUP(D151,epiunits!A$1:J$4000,9,FALSE)</f>
        <v>#N/A</v>
      </c>
      <c r="M151" s="1" t="e">
        <f>VLOOKUP(D151,epiunits!A$1:J$4000,10,FALSE)</f>
        <v>#N/A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</row>
    <row r="152" spans="1:51" x14ac:dyDescent="0.25">
      <c r="A152" s="1" t="e">
        <f>VLOOKUP(D152,epiunits!A$1:C$4000,2,FALSE)</f>
        <v>#N/A</v>
      </c>
      <c r="B152" s="1" t="e">
        <f>VLOOKUP(D152,epiunits!A$1:C$4000,3,FALSE)</f>
        <v>#N/A</v>
      </c>
      <c r="C152" s="1" t="e">
        <f>VLOOKUP(E152,Inspector!A$1:B$50,2,FALSE)</f>
        <v>#N/A</v>
      </c>
      <c r="I152" s="1" t="e">
        <f>VLOOKUP(D152,epiunits!A$1:J$4000,6,FALSE)</f>
        <v>#N/A</v>
      </c>
      <c r="J152" s="1" t="e">
        <f>VLOOKUP(D152,epiunits!A$1:J$4000,7,FALSE)</f>
        <v>#N/A</v>
      </c>
      <c r="K152" s="1" t="e">
        <f>VLOOKUP(D152,epiunits!A$1:J$4000,8,FALSE)</f>
        <v>#N/A</v>
      </c>
      <c r="L152" s="1" t="e">
        <f>VLOOKUP(D152,epiunits!A$1:J$4000,9,FALSE)</f>
        <v>#N/A</v>
      </c>
      <c r="M152" s="1" t="e">
        <f>VLOOKUP(D152,epiunits!A$1:J$4000,10,FALSE)</f>
        <v>#N/A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</row>
    <row r="153" spans="1:51" x14ac:dyDescent="0.25">
      <c r="A153" s="1" t="e">
        <f>VLOOKUP(D153,epiunits!A$1:C$4000,2,FALSE)</f>
        <v>#N/A</v>
      </c>
      <c r="B153" s="1" t="e">
        <f>VLOOKUP(D153,epiunits!A$1:C$4000,3,FALSE)</f>
        <v>#N/A</v>
      </c>
      <c r="C153" s="1" t="e">
        <f>VLOOKUP(E153,Inspector!A$1:B$50,2,FALSE)</f>
        <v>#N/A</v>
      </c>
      <c r="I153" s="1" t="e">
        <f>VLOOKUP(D153,epiunits!A$1:J$4000,6,FALSE)</f>
        <v>#N/A</v>
      </c>
      <c r="J153" s="1" t="e">
        <f>VLOOKUP(D153,epiunits!A$1:J$4000,7,FALSE)</f>
        <v>#N/A</v>
      </c>
      <c r="K153" s="1" t="e">
        <f>VLOOKUP(D153,epiunits!A$1:J$4000,8,FALSE)</f>
        <v>#N/A</v>
      </c>
      <c r="L153" s="1" t="e">
        <f>VLOOKUP(D153,epiunits!A$1:J$4000,9,FALSE)</f>
        <v>#N/A</v>
      </c>
      <c r="M153" s="1" t="e">
        <f>VLOOKUP(D153,epiunits!A$1:J$4000,10,FALSE)</f>
        <v>#N/A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</row>
    <row r="154" spans="1:51" x14ac:dyDescent="0.25">
      <c r="A154" s="1" t="e">
        <f>VLOOKUP(D154,epiunits!A$1:C$4000,2,FALSE)</f>
        <v>#N/A</v>
      </c>
      <c r="B154" s="1" t="e">
        <f>VLOOKUP(D154,epiunits!A$1:C$4000,3,FALSE)</f>
        <v>#N/A</v>
      </c>
      <c r="C154" s="1" t="e">
        <f>VLOOKUP(E154,Inspector!A$1:B$50,2,FALSE)</f>
        <v>#N/A</v>
      </c>
      <c r="I154" s="1" t="e">
        <f>VLOOKUP(D154,epiunits!A$1:J$4000,6,FALSE)</f>
        <v>#N/A</v>
      </c>
      <c r="J154" s="1" t="e">
        <f>VLOOKUP(D154,epiunits!A$1:J$4000,7,FALSE)</f>
        <v>#N/A</v>
      </c>
      <c r="K154" s="1" t="e">
        <f>VLOOKUP(D154,epiunits!A$1:J$4000,8,FALSE)</f>
        <v>#N/A</v>
      </c>
      <c r="L154" s="1" t="e">
        <f>VLOOKUP(D154,epiunits!A$1:J$4000,9,FALSE)</f>
        <v>#N/A</v>
      </c>
      <c r="M154" s="1" t="e">
        <f>VLOOKUP(D154,epiunits!A$1:J$4000,10,FALSE)</f>
        <v>#N/A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</row>
    <row r="155" spans="1:51" x14ac:dyDescent="0.25">
      <c r="A155" s="1" t="e">
        <f>VLOOKUP(D155,epiunits!A$1:C$4000,2,FALSE)</f>
        <v>#N/A</v>
      </c>
      <c r="B155" s="1" t="e">
        <f>VLOOKUP(D155,epiunits!A$1:C$4000,3,FALSE)</f>
        <v>#N/A</v>
      </c>
      <c r="C155" s="1" t="e">
        <f>VLOOKUP(E155,Inspector!A$1:B$50,2,FALSE)</f>
        <v>#N/A</v>
      </c>
      <c r="I155" s="1" t="e">
        <f>VLOOKUP(D155,epiunits!A$1:J$4000,6,FALSE)</f>
        <v>#N/A</v>
      </c>
      <c r="J155" s="1" t="e">
        <f>VLOOKUP(D155,epiunits!A$1:J$4000,7,FALSE)</f>
        <v>#N/A</v>
      </c>
      <c r="K155" s="1" t="e">
        <f>VLOOKUP(D155,epiunits!A$1:J$4000,8,FALSE)</f>
        <v>#N/A</v>
      </c>
      <c r="L155" s="1" t="e">
        <f>VLOOKUP(D155,epiunits!A$1:J$4000,9,FALSE)</f>
        <v>#N/A</v>
      </c>
      <c r="M155" s="1" t="e">
        <f>VLOOKUP(D155,epiunits!A$1:J$4000,10,FALSE)</f>
        <v>#N/A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</row>
    <row r="156" spans="1:51" x14ac:dyDescent="0.25">
      <c r="A156" s="1" t="e">
        <f>VLOOKUP(D156,epiunits!A$1:C$4000,2,FALSE)</f>
        <v>#N/A</v>
      </c>
      <c r="B156" s="1" t="e">
        <f>VLOOKUP(D156,epiunits!A$1:C$4000,3,FALSE)</f>
        <v>#N/A</v>
      </c>
      <c r="C156" s="1" t="e">
        <f>VLOOKUP(E156,Inspector!A$1:B$50,2,FALSE)</f>
        <v>#N/A</v>
      </c>
      <c r="I156" s="1" t="e">
        <f>VLOOKUP(D156,epiunits!A$1:J$4000,6,FALSE)</f>
        <v>#N/A</v>
      </c>
      <c r="J156" s="1" t="e">
        <f>VLOOKUP(D156,epiunits!A$1:J$4000,7,FALSE)</f>
        <v>#N/A</v>
      </c>
      <c r="K156" s="1" t="e">
        <f>VLOOKUP(D156,epiunits!A$1:J$4000,8,FALSE)</f>
        <v>#N/A</v>
      </c>
      <c r="L156" s="1" t="e">
        <f>VLOOKUP(D156,epiunits!A$1:J$4000,9,FALSE)</f>
        <v>#N/A</v>
      </c>
      <c r="M156" s="1" t="e">
        <f>VLOOKUP(D156,epiunits!A$1:J$4000,10,FALSE)</f>
        <v>#N/A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</row>
    <row r="157" spans="1:51" x14ac:dyDescent="0.25">
      <c r="A157" s="1" t="e">
        <f>VLOOKUP(D157,epiunits!A$1:C$4000,2,FALSE)</f>
        <v>#N/A</v>
      </c>
      <c r="B157" s="1" t="e">
        <f>VLOOKUP(D157,epiunits!A$1:C$4000,3,FALSE)</f>
        <v>#N/A</v>
      </c>
      <c r="C157" s="1" t="e">
        <f>VLOOKUP(E157,Inspector!A$1:B$50,2,FALSE)</f>
        <v>#N/A</v>
      </c>
      <c r="I157" s="1" t="e">
        <f>VLOOKUP(D157,epiunits!A$1:J$4000,6,FALSE)</f>
        <v>#N/A</v>
      </c>
      <c r="J157" s="1" t="e">
        <f>VLOOKUP(D157,epiunits!A$1:J$4000,7,FALSE)</f>
        <v>#N/A</v>
      </c>
      <c r="K157" s="1" t="e">
        <f>VLOOKUP(D157,epiunits!A$1:J$4000,8,FALSE)</f>
        <v>#N/A</v>
      </c>
      <c r="L157" s="1" t="e">
        <f>VLOOKUP(D157,epiunits!A$1:J$4000,9,FALSE)</f>
        <v>#N/A</v>
      </c>
      <c r="M157" s="1" t="e">
        <f>VLOOKUP(D157,epiunits!A$1:J$4000,10,FALSE)</f>
        <v>#N/A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</row>
    <row r="158" spans="1:51" x14ac:dyDescent="0.25">
      <c r="A158" s="1" t="e">
        <f>VLOOKUP(D158,epiunits!A$1:C$4000,2,FALSE)</f>
        <v>#N/A</v>
      </c>
      <c r="B158" s="1" t="e">
        <f>VLOOKUP(D158,epiunits!A$1:C$4000,3,FALSE)</f>
        <v>#N/A</v>
      </c>
      <c r="C158" s="1" t="e">
        <f>VLOOKUP(E158,Inspector!A$1:B$50,2,FALSE)</f>
        <v>#N/A</v>
      </c>
      <c r="I158" s="1" t="e">
        <f>VLOOKUP(D158,epiunits!A$1:J$4000,6,FALSE)</f>
        <v>#N/A</v>
      </c>
      <c r="J158" s="1" t="e">
        <f>VLOOKUP(D158,epiunits!A$1:J$4000,7,FALSE)</f>
        <v>#N/A</v>
      </c>
      <c r="K158" s="1" t="e">
        <f>VLOOKUP(D158,epiunits!A$1:J$4000,8,FALSE)</f>
        <v>#N/A</v>
      </c>
      <c r="L158" s="1" t="e">
        <f>VLOOKUP(D158,epiunits!A$1:J$4000,9,FALSE)</f>
        <v>#N/A</v>
      </c>
      <c r="M158" s="1" t="e">
        <f>VLOOKUP(D158,epiunits!A$1:J$4000,10,FALSE)</f>
        <v>#N/A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</row>
    <row r="159" spans="1:51" x14ac:dyDescent="0.25">
      <c r="A159" s="1" t="e">
        <f>VLOOKUP(D159,epiunits!A$1:C$4000,2,FALSE)</f>
        <v>#N/A</v>
      </c>
      <c r="B159" s="1" t="e">
        <f>VLOOKUP(D159,epiunits!A$1:C$4000,3,FALSE)</f>
        <v>#N/A</v>
      </c>
      <c r="C159" s="1" t="e">
        <f>VLOOKUP(E159,Inspector!A$1:B$50,2,FALSE)</f>
        <v>#N/A</v>
      </c>
      <c r="I159" s="1" t="e">
        <f>VLOOKUP(D159,epiunits!A$1:J$4000,6,FALSE)</f>
        <v>#N/A</v>
      </c>
      <c r="J159" s="1" t="e">
        <f>VLOOKUP(D159,epiunits!A$1:J$4000,7,FALSE)</f>
        <v>#N/A</v>
      </c>
      <c r="K159" s="1" t="e">
        <f>VLOOKUP(D159,epiunits!A$1:J$4000,8,FALSE)</f>
        <v>#N/A</v>
      </c>
      <c r="L159" s="1" t="e">
        <f>VLOOKUP(D159,epiunits!A$1:J$4000,9,FALSE)</f>
        <v>#N/A</v>
      </c>
      <c r="M159" s="1" t="e">
        <f>VLOOKUP(D159,epiunits!A$1:J$4000,10,FALSE)</f>
        <v>#N/A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</row>
    <row r="160" spans="1:51" x14ac:dyDescent="0.25">
      <c r="A160" s="1" t="e">
        <f>VLOOKUP(D160,epiunits!A$1:C$4000,2,FALSE)</f>
        <v>#N/A</v>
      </c>
      <c r="B160" s="1" t="e">
        <f>VLOOKUP(D160,epiunits!A$1:C$4000,3,FALSE)</f>
        <v>#N/A</v>
      </c>
      <c r="C160" s="1" t="e">
        <f>VLOOKUP(E160,Inspector!A$1:B$50,2,FALSE)</f>
        <v>#N/A</v>
      </c>
      <c r="I160" s="1" t="e">
        <f>VLOOKUP(D160,epiunits!A$1:J$4000,6,FALSE)</f>
        <v>#N/A</v>
      </c>
      <c r="J160" s="1" t="e">
        <f>VLOOKUP(D160,epiunits!A$1:J$4000,7,FALSE)</f>
        <v>#N/A</v>
      </c>
      <c r="K160" s="1" t="e">
        <f>VLOOKUP(D160,epiunits!A$1:J$4000,8,FALSE)</f>
        <v>#N/A</v>
      </c>
      <c r="L160" s="1" t="e">
        <f>VLOOKUP(D160,epiunits!A$1:J$4000,9,FALSE)</f>
        <v>#N/A</v>
      </c>
      <c r="M160" s="1" t="e">
        <f>VLOOKUP(D160,epiunits!A$1:J$4000,10,FALSE)</f>
        <v>#N/A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</row>
    <row r="161" spans="1:51" x14ac:dyDescent="0.25">
      <c r="A161" s="1" t="e">
        <f>VLOOKUP(D161,epiunits!A$1:C$4000,2,FALSE)</f>
        <v>#N/A</v>
      </c>
      <c r="B161" s="1" t="e">
        <f>VLOOKUP(D161,epiunits!A$1:C$4000,3,FALSE)</f>
        <v>#N/A</v>
      </c>
      <c r="C161" s="1" t="e">
        <f>VLOOKUP(E161,Inspector!A$1:B$50,2,FALSE)</f>
        <v>#N/A</v>
      </c>
      <c r="I161" s="1" t="e">
        <f>VLOOKUP(D161,epiunits!A$1:J$4000,6,FALSE)</f>
        <v>#N/A</v>
      </c>
      <c r="J161" s="1" t="e">
        <f>VLOOKUP(D161,epiunits!A$1:J$4000,7,FALSE)</f>
        <v>#N/A</v>
      </c>
      <c r="K161" s="1" t="e">
        <f>VLOOKUP(D161,epiunits!A$1:J$4000,8,FALSE)</f>
        <v>#N/A</v>
      </c>
      <c r="L161" s="1" t="e">
        <f>VLOOKUP(D161,epiunits!A$1:J$4000,9,FALSE)</f>
        <v>#N/A</v>
      </c>
      <c r="M161" s="1" t="e">
        <f>VLOOKUP(D161,epiunits!A$1:J$4000,10,FALSE)</f>
        <v>#N/A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</row>
    <row r="162" spans="1:51" x14ac:dyDescent="0.25">
      <c r="A162" s="1" t="e">
        <f>VLOOKUP(D162,epiunits!A$1:C$4000,2,FALSE)</f>
        <v>#N/A</v>
      </c>
      <c r="B162" s="1" t="e">
        <f>VLOOKUP(D162,epiunits!A$1:C$4000,3,FALSE)</f>
        <v>#N/A</v>
      </c>
      <c r="C162" s="1" t="e">
        <f>VLOOKUP(E162,Inspector!A$1:B$50,2,FALSE)</f>
        <v>#N/A</v>
      </c>
      <c r="I162" s="1" t="e">
        <f>VLOOKUP(D162,epiunits!A$1:J$4000,6,FALSE)</f>
        <v>#N/A</v>
      </c>
      <c r="J162" s="1" t="e">
        <f>VLOOKUP(D162,epiunits!A$1:J$4000,7,FALSE)</f>
        <v>#N/A</v>
      </c>
      <c r="K162" s="1" t="e">
        <f>VLOOKUP(D162,epiunits!A$1:J$4000,8,FALSE)</f>
        <v>#N/A</v>
      </c>
      <c r="L162" s="1" t="e">
        <f>VLOOKUP(D162,epiunits!A$1:J$4000,9,FALSE)</f>
        <v>#N/A</v>
      </c>
      <c r="M162" s="1" t="e">
        <f>VLOOKUP(D162,epiunits!A$1:J$4000,10,FALSE)</f>
        <v>#N/A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</row>
    <row r="163" spans="1:51" x14ac:dyDescent="0.25">
      <c r="A163" s="1" t="e">
        <f>VLOOKUP(D163,epiunits!A$1:C$4000,2,FALSE)</f>
        <v>#N/A</v>
      </c>
      <c r="B163" s="1" t="e">
        <f>VLOOKUP(D163,epiunits!A$1:C$4000,3,FALSE)</f>
        <v>#N/A</v>
      </c>
      <c r="C163" s="1" t="e">
        <f>VLOOKUP(E163,Inspector!A$1:B$50,2,FALSE)</f>
        <v>#N/A</v>
      </c>
      <c r="I163" s="1" t="e">
        <f>VLOOKUP(D163,epiunits!A$1:J$4000,6,FALSE)</f>
        <v>#N/A</v>
      </c>
      <c r="J163" s="1" t="e">
        <f>VLOOKUP(D163,epiunits!A$1:J$4000,7,FALSE)</f>
        <v>#N/A</v>
      </c>
      <c r="K163" s="1" t="e">
        <f>VLOOKUP(D163,epiunits!A$1:J$4000,8,FALSE)</f>
        <v>#N/A</v>
      </c>
      <c r="L163" s="1" t="e">
        <f>VLOOKUP(D163,epiunits!A$1:J$4000,9,FALSE)</f>
        <v>#N/A</v>
      </c>
      <c r="M163" s="1" t="e">
        <f>VLOOKUP(D163,epiunits!A$1:J$4000,10,FALSE)</f>
        <v>#N/A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</row>
    <row r="164" spans="1:51" x14ac:dyDescent="0.25">
      <c r="A164" s="1" t="e">
        <f>VLOOKUP(D164,epiunits!A$1:C$4000,2,FALSE)</f>
        <v>#N/A</v>
      </c>
      <c r="B164" s="1" t="e">
        <f>VLOOKUP(D164,epiunits!A$1:C$4000,3,FALSE)</f>
        <v>#N/A</v>
      </c>
      <c r="C164" s="1" t="e">
        <f>VLOOKUP(E164,Inspector!A$1:B$50,2,FALSE)</f>
        <v>#N/A</v>
      </c>
      <c r="I164" s="1" t="e">
        <f>VLOOKUP(D164,epiunits!A$1:J$4000,6,FALSE)</f>
        <v>#N/A</v>
      </c>
      <c r="J164" s="1" t="e">
        <f>VLOOKUP(D164,epiunits!A$1:J$4000,7,FALSE)</f>
        <v>#N/A</v>
      </c>
      <c r="K164" s="1" t="e">
        <f>VLOOKUP(D164,epiunits!A$1:J$4000,8,FALSE)</f>
        <v>#N/A</v>
      </c>
      <c r="L164" s="1" t="e">
        <f>VLOOKUP(D164,epiunits!A$1:J$4000,9,FALSE)</f>
        <v>#N/A</v>
      </c>
      <c r="M164" s="1" t="e">
        <f>VLOOKUP(D164,epiunits!A$1:J$4000,10,FALSE)</f>
        <v>#N/A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</row>
    <row r="165" spans="1:51" x14ac:dyDescent="0.25">
      <c r="A165" s="1" t="e">
        <f>VLOOKUP(D165,epiunits!A$1:C$4000,2,FALSE)</f>
        <v>#N/A</v>
      </c>
      <c r="B165" s="1" t="e">
        <f>VLOOKUP(D165,epiunits!A$1:C$4000,3,FALSE)</f>
        <v>#N/A</v>
      </c>
      <c r="C165" s="1" t="e">
        <f>VLOOKUP(E165,Inspector!A$1:B$50,2,FALSE)</f>
        <v>#N/A</v>
      </c>
      <c r="I165" s="1" t="e">
        <f>VLOOKUP(D165,epiunits!A$1:J$4000,6,FALSE)</f>
        <v>#N/A</v>
      </c>
      <c r="J165" s="1" t="e">
        <f>VLOOKUP(D165,epiunits!A$1:J$4000,7,FALSE)</f>
        <v>#N/A</v>
      </c>
      <c r="K165" s="1" t="e">
        <f>VLOOKUP(D165,epiunits!A$1:J$4000,8,FALSE)</f>
        <v>#N/A</v>
      </c>
      <c r="L165" s="1" t="e">
        <f>VLOOKUP(D165,epiunits!A$1:J$4000,9,FALSE)</f>
        <v>#N/A</v>
      </c>
      <c r="M165" s="1" t="e">
        <f>VLOOKUP(D165,epiunits!A$1:J$4000,10,FALSE)</f>
        <v>#N/A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</row>
    <row r="166" spans="1:51" x14ac:dyDescent="0.25">
      <c r="A166" s="1" t="e">
        <f>VLOOKUP(D166,epiunits!A$1:C$4000,2,FALSE)</f>
        <v>#N/A</v>
      </c>
      <c r="B166" s="1" t="e">
        <f>VLOOKUP(D166,epiunits!A$1:C$4000,3,FALSE)</f>
        <v>#N/A</v>
      </c>
      <c r="C166" s="1" t="e">
        <f>VLOOKUP(E166,Inspector!A$1:B$50,2,FALSE)</f>
        <v>#N/A</v>
      </c>
      <c r="I166" s="1" t="e">
        <f>VLOOKUP(D166,epiunits!A$1:J$4000,6,FALSE)</f>
        <v>#N/A</v>
      </c>
      <c r="J166" s="1" t="e">
        <f>VLOOKUP(D166,epiunits!A$1:J$4000,7,FALSE)</f>
        <v>#N/A</v>
      </c>
      <c r="K166" s="1" t="e">
        <f>VLOOKUP(D166,epiunits!A$1:J$4000,8,FALSE)</f>
        <v>#N/A</v>
      </c>
      <c r="L166" s="1" t="e">
        <f>VLOOKUP(D166,epiunits!A$1:J$4000,9,FALSE)</f>
        <v>#N/A</v>
      </c>
      <c r="M166" s="1" t="e">
        <f>VLOOKUP(D166,epiunits!A$1:J$4000,10,FALSE)</f>
        <v>#N/A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</row>
    <row r="167" spans="1:51" x14ac:dyDescent="0.25">
      <c r="A167" s="1" t="e">
        <f>VLOOKUP(D167,epiunits!A$1:C$4000,2,FALSE)</f>
        <v>#N/A</v>
      </c>
      <c r="B167" s="1" t="e">
        <f>VLOOKUP(D167,epiunits!A$1:C$4000,3,FALSE)</f>
        <v>#N/A</v>
      </c>
      <c r="C167" s="1" t="e">
        <f>VLOOKUP(E167,Inspector!A$1:B$50,2,FALSE)</f>
        <v>#N/A</v>
      </c>
      <c r="I167" s="1" t="e">
        <f>VLOOKUP(D167,epiunits!A$1:J$4000,6,FALSE)</f>
        <v>#N/A</v>
      </c>
      <c r="J167" s="1" t="e">
        <f>VLOOKUP(D167,epiunits!A$1:J$4000,7,FALSE)</f>
        <v>#N/A</v>
      </c>
      <c r="K167" s="1" t="e">
        <f>VLOOKUP(D167,epiunits!A$1:J$4000,8,FALSE)</f>
        <v>#N/A</v>
      </c>
      <c r="L167" s="1" t="e">
        <f>VLOOKUP(D167,epiunits!A$1:J$4000,9,FALSE)</f>
        <v>#N/A</v>
      </c>
      <c r="M167" s="1" t="e">
        <f>VLOOKUP(D167,epiunits!A$1:J$4000,10,FALSE)</f>
        <v>#N/A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</row>
    <row r="168" spans="1:51" x14ac:dyDescent="0.25">
      <c r="A168" s="1" t="e">
        <f>VLOOKUP(D168,epiunits!A$1:C$4000,2,FALSE)</f>
        <v>#N/A</v>
      </c>
      <c r="B168" s="1" t="e">
        <f>VLOOKUP(D168,epiunits!A$1:C$4000,3,FALSE)</f>
        <v>#N/A</v>
      </c>
      <c r="C168" s="1" t="e">
        <f>VLOOKUP(E168,Inspector!A$1:B$50,2,FALSE)</f>
        <v>#N/A</v>
      </c>
      <c r="I168" s="1" t="e">
        <f>VLOOKUP(D168,epiunits!A$1:J$4000,6,FALSE)</f>
        <v>#N/A</v>
      </c>
      <c r="J168" s="1" t="e">
        <f>VLOOKUP(D168,epiunits!A$1:J$4000,7,FALSE)</f>
        <v>#N/A</v>
      </c>
      <c r="K168" s="1" t="e">
        <f>VLOOKUP(D168,epiunits!A$1:J$4000,8,FALSE)</f>
        <v>#N/A</v>
      </c>
      <c r="L168" s="1" t="e">
        <f>VLOOKUP(D168,epiunits!A$1:J$4000,9,FALSE)</f>
        <v>#N/A</v>
      </c>
      <c r="M168" s="1" t="e">
        <f>VLOOKUP(D168,epiunits!A$1:J$4000,10,FALSE)</f>
        <v>#N/A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</row>
    <row r="169" spans="1:51" x14ac:dyDescent="0.25">
      <c r="A169" s="1" t="e">
        <f>VLOOKUP(D169,epiunits!A$1:C$4000,2,FALSE)</f>
        <v>#N/A</v>
      </c>
      <c r="B169" s="1" t="e">
        <f>VLOOKUP(D169,epiunits!A$1:C$4000,3,FALSE)</f>
        <v>#N/A</v>
      </c>
      <c r="C169" s="1" t="e">
        <f>VLOOKUP(E169,Inspector!A$1:B$50,2,FALSE)</f>
        <v>#N/A</v>
      </c>
      <c r="I169" s="1" t="e">
        <f>VLOOKUP(D169,epiunits!A$1:J$4000,6,FALSE)</f>
        <v>#N/A</v>
      </c>
      <c r="J169" s="1" t="e">
        <f>VLOOKUP(D169,epiunits!A$1:J$4000,7,FALSE)</f>
        <v>#N/A</v>
      </c>
      <c r="K169" s="1" t="e">
        <f>VLOOKUP(D169,epiunits!A$1:J$4000,8,FALSE)</f>
        <v>#N/A</v>
      </c>
      <c r="L169" s="1" t="e">
        <f>VLOOKUP(D169,epiunits!A$1:J$4000,9,FALSE)</f>
        <v>#N/A</v>
      </c>
      <c r="M169" s="1" t="e">
        <f>VLOOKUP(D169,epiunits!A$1:J$4000,10,FALSE)</f>
        <v>#N/A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</row>
    <row r="170" spans="1:51" x14ac:dyDescent="0.25">
      <c r="A170" s="1" t="e">
        <f>VLOOKUP(D170,epiunits!A$1:C$4000,2,FALSE)</f>
        <v>#N/A</v>
      </c>
      <c r="B170" s="1" t="e">
        <f>VLOOKUP(D170,epiunits!A$1:C$4000,3,FALSE)</f>
        <v>#N/A</v>
      </c>
      <c r="C170" s="1" t="e">
        <f>VLOOKUP(E170,Inspector!A$1:B$50,2,FALSE)</f>
        <v>#N/A</v>
      </c>
      <c r="I170" s="1" t="e">
        <f>VLOOKUP(D170,epiunits!A$1:J$4000,6,FALSE)</f>
        <v>#N/A</v>
      </c>
      <c r="J170" s="1" t="e">
        <f>VLOOKUP(D170,epiunits!A$1:J$4000,7,FALSE)</f>
        <v>#N/A</v>
      </c>
      <c r="K170" s="1" t="e">
        <f>VLOOKUP(D170,epiunits!A$1:J$4000,8,FALSE)</f>
        <v>#N/A</v>
      </c>
      <c r="L170" s="1" t="e">
        <f>VLOOKUP(D170,epiunits!A$1:J$4000,9,FALSE)</f>
        <v>#N/A</v>
      </c>
      <c r="M170" s="1" t="e">
        <f>VLOOKUP(D170,epiunits!A$1:J$4000,10,FALSE)</f>
        <v>#N/A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</row>
    <row r="171" spans="1:51" x14ac:dyDescent="0.25">
      <c r="A171" s="1" t="e">
        <f>VLOOKUP(D171,epiunits!A$1:C$4000,2,FALSE)</f>
        <v>#N/A</v>
      </c>
      <c r="B171" s="1" t="e">
        <f>VLOOKUP(D171,epiunits!A$1:C$4000,3,FALSE)</f>
        <v>#N/A</v>
      </c>
      <c r="C171" s="1" t="e">
        <f>VLOOKUP(E171,Inspector!A$1:B$50,2,FALSE)</f>
        <v>#N/A</v>
      </c>
      <c r="I171" s="1" t="e">
        <f>VLOOKUP(D171,epiunits!A$1:J$4000,6,FALSE)</f>
        <v>#N/A</v>
      </c>
      <c r="J171" s="1" t="e">
        <f>VLOOKUP(D171,epiunits!A$1:J$4000,7,FALSE)</f>
        <v>#N/A</v>
      </c>
      <c r="K171" s="1" t="e">
        <f>VLOOKUP(D171,epiunits!A$1:J$4000,8,FALSE)</f>
        <v>#N/A</v>
      </c>
      <c r="L171" s="1" t="e">
        <f>VLOOKUP(D171,epiunits!A$1:J$4000,9,FALSE)</f>
        <v>#N/A</v>
      </c>
      <c r="M171" s="1" t="e">
        <f>VLOOKUP(D171,epiunits!A$1:J$4000,10,FALSE)</f>
        <v>#N/A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</row>
    <row r="172" spans="1:51" x14ac:dyDescent="0.25">
      <c r="A172" s="1" t="e">
        <f>VLOOKUP(D172,epiunits!A$1:C$4000,2,FALSE)</f>
        <v>#N/A</v>
      </c>
      <c r="B172" s="1" t="e">
        <f>VLOOKUP(D172,epiunits!A$1:C$4000,3,FALSE)</f>
        <v>#N/A</v>
      </c>
      <c r="C172" s="1" t="e">
        <f>VLOOKUP(E172,Inspector!A$1:B$50,2,FALSE)</f>
        <v>#N/A</v>
      </c>
      <c r="I172" s="1" t="e">
        <f>VLOOKUP(D172,epiunits!A$1:J$4000,6,FALSE)</f>
        <v>#N/A</v>
      </c>
      <c r="J172" s="1" t="e">
        <f>VLOOKUP(D172,epiunits!A$1:J$4000,7,FALSE)</f>
        <v>#N/A</v>
      </c>
      <c r="K172" s="1" t="e">
        <f>VLOOKUP(D172,epiunits!A$1:J$4000,8,FALSE)</f>
        <v>#N/A</v>
      </c>
      <c r="L172" s="1" t="e">
        <f>VLOOKUP(D172,epiunits!A$1:J$4000,9,FALSE)</f>
        <v>#N/A</v>
      </c>
      <c r="M172" s="1" t="e">
        <f>VLOOKUP(D172,epiunits!A$1:J$4000,10,FALSE)</f>
        <v>#N/A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</row>
    <row r="173" spans="1:51" x14ac:dyDescent="0.25">
      <c r="A173" s="1" t="e">
        <f>VLOOKUP(D173,epiunits!A$1:C$4000,2,FALSE)</f>
        <v>#N/A</v>
      </c>
      <c r="B173" s="1" t="e">
        <f>VLOOKUP(D173,epiunits!A$1:C$4000,3,FALSE)</f>
        <v>#N/A</v>
      </c>
      <c r="C173" s="1" t="e">
        <f>VLOOKUP(E173,Inspector!A$1:B$50,2,FALSE)</f>
        <v>#N/A</v>
      </c>
      <c r="I173" s="1" t="e">
        <f>VLOOKUP(D173,epiunits!A$1:J$4000,6,FALSE)</f>
        <v>#N/A</v>
      </c>
      <c r="J173" s="1" t="e">
        <f>VLOOKUP(D173,epiunits!A$1:J$4000,7,FALSE)</f>
        <v>#N/A</v>
      </c>
      <c r="K173" s="1" t="e">
        <f>VLOOKUP(D173,epiunits!A$1:J$4000,8,FALSE)</f>
        <v>#N/A</v>
      </c>
      <c r="L173" s="1" t="e">
        <f>VLOOKUP(D173,epiunits!A$1:J$4000,9,FALSE)</f>
        <v>#N/A</v>
      </c>
      <c r="M173" s="1" t="e">
        <f>VLOOKUP(D173,epiunits!A$1:J$4000,10,FALSE)</f>
        <v>#N/A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</row>
    <row r="174" spans="1:51" x14ac:dyDescent="0.25">
      <c r="A174" s="1" t="e">
        <f>VLOOKUP(D174,epiunits!A$1:C$4000,2,FALSE)</f>
        <v>#N/A</v>
      </c>
      <c r="B174" s="1" t="e">
        <f>VLOOKUP(D174,epiunits!A$1:C$4000,3,FALSE)</f>
        <v>#N/A</v>
      </c>
      <c r="C174" s="1" t="e">
        <f>VLOOKUP(E174,Inspector!A$1:B$50,2,FALSE)</f>
        <v>#N/A</v>
      </c>
      <c r="I174" s="1" t="e">
        <f>VLOOKUP(D174,epiunits!A$1:J$4000,6,FALSE)</f>
        <v>#N/A</v>
      </c>
      <c r="J174" s="1" t="e">
        <f>VLOOKUP(D174,epiunits!A$1:J$4000,7,FALSE)</f>
        <v>#N/A</v>
      </c>
      <c r="K174" s="1" t="e">
        <f>VLOOKUP(D174,epiunits!A$1:J$4000,8,FALSE)</f>
        <v>#N/A</v>
      </c>
      <c r="L174" s="1" t="e">
        <f>VLOOKUP(D174,epiunits!A$1:J$4000,9,FALSE)</f>
        <v>#N/A</v>
      </c>
      <c r="M174" s="1" t="e">
        <f>VLOOKUP(D174,epiunits!A$1:J$4000,10,FALSE)</f>
        <v>#N/A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25">
      <c r="A175" s="1" t="e">
        <f>VLOOKUP(D175,epiunits!A$1:C$4000,2,FALSE)</f>
        <v>#N/A</v>
      </c>
      <c r="B175" s="1" t="e">
        <f>VLOOKUP(D175,epiunits!A$1:C$4000,3,FALSE)</f>
        <v>#N/A</v>
      </c>
      <c r="C175" s="1" t="e">
        <f>VLOOKUP(E175,Inspector!A$1:B$50,2,FALSE)</f>
        <v>#N/A</v>
      </c>
      <c r="I175" s="1" t="e">
        <f>VLOOKUP(D175,epiunits!A$1:J$4000,6,FALSE)</f>
        <v>#N/A</v>
      </c>
      <c r="J175" s="1" t="e">
        <f>VLOOKUP(D175,epiunits!A$1:J$4000,7,FALSE)</f>
        <v>#N/A</v>
      </c>
      <c r="K175" s="1" t="e">
        <f>VLOOKUP(D175,epiunits!A$1:J$4000,8,FALSE)</f>
        <v>#N/A</v>
      </c>
      <c r="L175" s="1" t="e">
        <f>VLOOKUP(D175,epiunits!A$1:J$4000,9,FALSE)</f>
        <v>#N/A</v>
      </c>
      <c r="M175" s="1" t="e">
        <f>VLOOKUP(D175,epiunits!A$1:J$4000,10,FALSE)</f>
        <v>#N/A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</row>
    <row r="176" spans="1:51" x14ac:dyDescent="0.25">
      <c r="A176" s="1" t="e">
        <f>VLOOKUP(D176,epiunits!A$1:C$4000,2,FALSE)</f>
        <v>#N/A</v>
      </c>
      <c r="B176" s="1" t="e">
        <f>VLOOKUP(D176,epiunits!A$1:C$4000,3,FALSE)</f>
        <v>#N/A</v>
      </c>
      <c r="C176" s="1" t="e">
        <f>VLOOKUP(E176,Inspector!A$1:B$50,2,FALSE)</f>
        <v>#N/A</v>
      </c>
      <c r="I176" s="1" t="e">
        <f>VLOOKUP(D176,epiunits!A$1:J$4000,6,FALSE)</f>
        <v>#N/A</v>
      </c>
      <c r="J176" s="1" t="e">
        <f>VLOOKUP(D176,epiunits!A$1:J$4000,7,FALSE)</f>
        <v>#N/A</v>
      </c>
      <c r="K176" s="1" t="e">
        <f>VLOOKUP(D176,epiunits!A$1:J$4000,8,FALSE)</f>
        <v>#N/A</v>
      </c>
      <c r="L176" s="1" t="e">
        <f>VLOOKUP(D176,epiunits!A$1:J$4000,9,FALSE)</f>
        <v>#N/A</v>
      </c>
      <c r="M176" s="1" t="e">
        <f>VLOOKUP(D176,epiunits!A$1:J$4000,10,FALSE)</f>
        <v>#N/A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</row>
    <row r="177" spans="1:51" x14ac:dyDescent="0.25">
      <c r="A177" s="1" t="e">
        <f>VLOOKUP(D177,epiunits!A$1:C$4000,2,FALSE)</f>
        <v>#N/A</v>
      </c>
      <c r="B177" s="1" t="e">
        <f>VLOOKUP(D177,epiunits!A$1:C$4000,3,FALSE)</f>
        <v>#N/A</v>
      </c>
      <c r="C177" s="1" t="e">
        <f>VLOOKUP(E177,Inspector!A$1:B$50,2,FALSE)</f>
        <v>#N/A</v>
      </c>
      <c r="I177" s="1" t="e">
        <f>VLOOKUP(D177,epiunits!A$1:J$4000,6,FALSE)</f>
        <v>#N/A</v>
      </c>
      <c r="J177" s="1" t="e">
        <f>VLOOKUP(D177,epiunits!A$1:J$4000,7,FALSE)</f>
        <v>#N/A</v>
      </c>
      <c r="K177" s="1" t="e">
        <f>VLOOKUP(D177,epiunits!A$1:J$4000,8,FALSE)</f>
        <v>#N/A</v>
      </c>
      <c r="L177" s="1" t="e">
        <f>VLOOKUP(D177,epiunits!A$1:J$4000,9,FALSE)</f>
        <v>#N/A</v>
      </c>
      <c r="M177" s="1" t="e">
        <f>VLOOKUP(D177,epiunits!A$1:J$4000,10,FALSE)</f>
        <v>#N/A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25">
      <c r="A178" s="1" t="e">
        <f>VLOOKUP(D178,epiunits!A$1:C$4000,2,FALSE)</f>
        <v>#N/A</v>
      </c>
      <c r="B178" s="1" t="e">
        <f>VLOOKUP(D178,epiunits!A$1:C$4000,3,FALSE)</f>
        <v>#N/A</v>
      </c>
      <c r="C178" s="1" t="e">
        <f>VLOOKUP(E178,Inspector!A$1:B$50,2,FALSE)</f>
        <v>#N/A</v>
      </c>
      <c r="I178" s="1" t="e">
        <f>VLOOKUP(D178,epiunits!A$1:J$4000,6,FALSE)</f>
        <v>#N/A</v>
      </c>
      <c r="J178" s="1" t="e">
        <f>VLOOKUP(D178,epiunits!A$1:J$4000,7,FALSE)</f>
        <v>#N/A</v>
      </c>
      <c r="K178" s="1" t="e">
        <f>VLOOKUP(D178,epiunits!A$1:J$4000,8,FALSE)</f>
        <v>#N/A</v>
      </c>
      <c r="L178" s="1" t="e">
        <f>VLOOKUP(D178,epiunits!A$1:J$4000,9,FALSE)</f>
        <v>#N/A</v>
      </c>
      <c r="M178" s="1" t="e">
        <f>VLOOKUP(D178,epiunits!A$1:J$4000,10,FALSE)</f>
        <v>#N/A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</row>
    <row r="179" spans="1:51" x14ac:dyDescent="0.25">
      <c r="A179" s="1" t="e">
        <f>VLOOKUP(D179,epiunits!A$1:C$4000,2,FALSE)</f>
        <v>#N/A</v>
      </c>
      <c r="B179" s="1" t="e">
        <f>VLOOKUP(D179,epiunits!A$1:C$4000,3,FALSE)</f>
        <v>#N/A</v>
      </c>
      <c r="C179" s="1" t="e">
        <f>VLOOKUP(E179,Inspector!A$1:B$50,2,FALSE)</f>
        <v>#N/A</v>
      </c>
      <c r="I179" s="1" t="e">
        <f>VLOOKUP(D179,epiunits!A$1:J$4000,6,FALSE)</f>
        <v>#N/A</v>
      </c>
      <c r="J179" s="1" t="e">
        <f>VLOOKUP(D179,epiunits!A$1:J$4000,7,FALSE)</f>
        <v>#N/A</v>
      </c>
      <c r="K179" s="1" t="e">
        <f>VLOOKUP(D179,epiunits!A$1:J$4000,8,FALSE)</f>
        <v>#N/A</v>
      </c>
      <c r="L179" s="1" t="e">
        <f>VLOOKUP(D179,epiunits!A$1:J$4000,9,FALSE)</f>
        <v>#N/A</v>
      </c>
      <c r="M179" s="1" t="e">
        <f>VLOOKUP(D179,epiunits!A$1:J$4000,10,FALSE)</f>
        <v>#N/A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s="1" t="e">
        <f>VLOOKUP(D180,epiunits!A$1:C$4000,2,FALSE)</f>
        <v>#N/A</v>
      </c>
      <c r="B180" s="1" t="e">
        <f>VLOOKUP(D180,epiunits!A$1:C$4000,3,FALSE)</f>
        <v>#N/A</v>
      </c>
      <c r="C180" s="1" t="e">
        <f>VLOOKUP(E180,Inspector!A$1:B$50,2,FALSE)</f>
        <v>#N/A</v>
      </c>
      <c r="I180" s="1" t="e">
        <f>VLOOKUP(D180,epiunits!A$1:J$4000,6,FALSE)</f>
        <v>#N/A</v>
      </c>
      <c r="J180" s="1" t="e">
        <f>VLOOKUP(D180,epiunits!A$1:J$4000,7,FALSE)</f>
        <v>#N/A</v>
      </c>
      <c r="K180" s="1" t="e">
        <f>VLOOKUP(D180,epiunits!A$1:J$4000,8,FALSE)</f>
        <v>#N/A</v>
      </c>
      <c r="L180" s="1" t="e">
        <f>VLOOKUP(D180,epiunits!A$1:J$4000,9,FALSE)</f>
        <v>#N/A</v>
      </c>
      <c r="M180" s="1" t="e">
        <f>VLOOKUP(D180,epiunits!A$1:J$4000,10,FALSE)</f>
        <v>#N/A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</row>
    <row r="181" spans="1:51" x14ac:dyDescent="0.25">
      <c r="A181" s="1" t="e">
        <f>VLOOKUP(D181,epiunits!A$1:C$4000,2,FALSE)</f>
        <v>#N/A</v>
      </c>
      <c r="B181" s="1" t="e">
        <f>VLOOKUP(D181,epiunits!A$1:C$4000,3,FALSE)</f>
        <v>#N/A</v>
      </c>
      <c r="C181" s="1" t="e">
        <f>VLOOKUP(E181,Inspector!A$1:B$50,2,FALSE)</f>
        <v>#N/A</v>
      </c>
      <c r="I181" s="1" t="e">
        <f>VLOOKUP(D181,epiunits!A$1:J$4000,6,FALSE)</f>
        <v>#N/A</v>
      </c>
      <c r="J181" s="1" t="e">
        <f>VLOOKUP(D181,epiunits!A$1:J$4000,7,FALSE)</f>
        <v>#N/A</v>
      </c>
      <c r="K181" s="1" t="e">
        <f>VLOOKUP(D181,epiunits!A$1:J$4000,8,FALSE)</f>
        <v>#N/A</v>
      </c>
      <c r="L181" s="1" t="e">
        <f>VLOOKUP(D181,epiunits!A$1:J$4000,9,FALSE)</f>
        <v>#N/A</v>
      </c>
      <c r="M181" s="1" t="e">
        <f>VLOOKUP(D181,epiunits!A$1:J$4000,10,FALSE)</f>
        <v>#N/A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</row>
    <row r="182" spans="1:51" x14ac:dyDescent="0.25">
      <c r="A182" s="1" t="e">
        <f>VLOOKUP(D182,epiunits!A$1:C$4000,2,FALSE)</f>
        <v>#N/A</v>
      </c>
      <c r="B182" s="1" t="e">
        <f>VLOOKUP(D182,epiunits!A$1:C$4000,3,FALSE)</f>
        <v>#N/A</v>
      </c>
      <c r="C182" s="1" t="e">
        <f>VLOOKUP(E182,Inspector!A$1:B$50,2,FALSE)</f>
        <v>#N/A</v>
      </c>
      <c r="I182" s="1" t="e">
        <f>VLOOKUP(D182,epiunits!A$1:J$4000,6,FALSE)</f>
        <v>#N/A</v>
      </c>
      <c r="J182" s="1" t="e">
        <f>VLOOKUP(D182,epiunits!A$1:J$4000,7,FALSE)</f>
        <v>#N/A</v>
      </c>
      <c r="K182" s="1" t="e">
        <f>VLOOKUP(D182,epiunits!A$1:J$4000,8,FALSE)</f>
        <v>#N/A</v>
      </c>
      <c r="L182" s="1" t="e">
        <f>VLOOKUP(D182,epiunits!A$1:J$4000,9,FALSE)</f>
        <v>#N/A</v>
      </c>
      <c r="M182" s="1" t="e">
        <f>VLOOKUP(D182,epiunits!A$1:J$4000,10,FALSE)</f>
        <v>#N/A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</row>
    <row r="183" spans="1:51" x14ac:dyDescent="0.25">
      <c r="A183" s="1" t="e">
        <f>VLOOKUP(D183,epiunits!A$1:C$4000,2,FALSE)</f>
        <v>#N/A</v>
      </c>
      <c r="B183" s="1" t="e">
        <f>VLOOKUP(D183,epiunits!A$1:C$4000,3,FALSE)</f>
        <v>#N/A</v>
      </c>
      <c r="C183" s="1" t="e">
        <f>VLOOKUP(E183,Inspector!A$1:B$50,2,FALSE)</f>
        <v>#N/A</v>
      </c>
      <c r="I183" s="1" t="e">
        <f>VLOOKUP(D183,epiunits!A$1:J$4000,6,FALSE)</f>
        <v>#N/A</v>
      </c>
      <c r="J183" s="1" t="e">
        <f>VLOOKUP(D183,epiunits!A$1:J$4000,7,FALSE)</f>
        <v>#N/A</v>
      </c>
      <c r="K183" s="1" t="e">
        <f>VLOOKUP(D183,epiunits!A$1:J$4000,8,FALSE)</f>
        <v>#N/A</v>
      </c>
      <c r="L183" s="1" t="e">
        <f>VLOOKUP(D183,epiunits!A$1:J$4000,9,FALSE)</f>
        <v>#N/A</v>
      </c>
      <c r="M183" s="1" t="e">
        <f>VLOOKUP(D183,epiunits!A$1:J$4000,10,FALSE)</f>
        <v>#N/A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</row>
    <row r="184" spans="1:51" x14ac:dyDescent="0.25">
      <c r="A184" s="1" t="e">
        <f>VLOOKUP(D184,epiunits!A$1:C$4000,2,FALSE)</f>
        <v>#N/A</v>
      </c>
      <c r="B184" s="1" t="e">
        <f>VLOOKUP(D184,epiunits!A$1:C$4000,3,FALSE)</f>
        <v>#N/A</v>
      </c>
      <c r="C184" s="1" t="e">
        <f>VLOOKUP(E184,Inspector!A$1:B$50,2,FALSE)</f>
        <v>#N/A</v>
      </c>
      <c r="I184" s="1" t="e">
        <f>VLOOKUP(D184,epiunits!A$1:J$4000,6,FALSE)</f>
        <v>#N/A</v>
      </c>
      <c r="J184" s="1" t="e">
        <f>VLOOKUP(D184,epiunits!A$1:J$4000,7,FALSE)</f>
        <v>#N/A</v>
      </c>
      <c r="K184" s="1" t="e">
        <f>VLOOKUP(D184,epiunits!A$1:J$4000,8,FALSE)</f>
        <v>#N/A</v>
      </c>
      <c r="L184" s="1" t="e">
        <f>VLOOKUP(D184,epiunits!A$1:J$4000,9,FALSE)</f>
        <v>#N/A</v>
      </c>
      <c r="M184" s="1" t="e">
        <f>VLOOKUP(D184,epiunits!A$1:J$4000,10,FALSE)</f>
        <v>#N/A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</row>
    <row r="185" spans="1:51" x14ac:dyDescent="0.25">
      <c r="A185" s="1" t="e">
        <f>VLOOKUP(D185,epiunits!A$1:C$4000,2,FALSE)</f>
        <v>#N/A</v>
      </c>
      <c r="B185" s="1" t="e">
        <f>VLOOKUP(D185,epiunits!A$1:C$4000,3,FALSE)</f>
        <v>#N/A</v>
      </c>
      <c r="C185" s="1" t="e">
        <f>VLOOKUP(E185,Inspector!A$1:B$50,2,FALSE)</f>
        <v>#N/A</v>
      </c>
      <c r="I185" s="1" t="e">
        <f>VLOOKUP(D185,epiunits!A$1:J$4000,6,FALSE)</f>
        <v>#N/A</v>
      </c>
      <c r="J185" s="1" t="e">
        <f>VLOOKUP(D185,epiunits!A$1:J$4000,7,FALSE)</f>
        <v>#N/A</v>
      </c>
      <c r="K185" s="1" t="e">
        <f>VLOOKUP(D185,epiunits!A$1:J$4000,8,FALSE)</f>
        <v>#N/A</v>
      </c>
      <c r="L185" s="1" t="e">
        <f>VLOOKUP(D185,epiunits!A$1:J$4000,9,FALSE)</f>
        <v>#N/A</v>
      </c>
      <c r="M185" s="1" t="e">
        <f>VLOOKUP(D185,epiunits!A$1:J$4000,10,FALSE)</f>
        <v>#N/A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</row>
    <row r="186" spans="1:51" x14ac:dyDescent="0.25">
      <c r="A186" s="1" t="e">
        <f>VLOOKUP(D186,epiunits!A$1:C$4000,2,FALSE)</f>
        <v>#N/A</v>
      </c>
      <c r="B186" s="1" t="e">
        <f>VLOOKUP(D186,epiunits!A$1:C$4000,3,FALSE)</f>
        <v>#N/A</v>
      </c>
      <c r="C186" s="1" t="e">
        <f>VLOOKUP(E186,Inspector!A$1:B$50,2,FALSE)</f>
        <v>#N/A</v>
      </c>
      <c r="I186" s="1" t="e">
        <f>VLOOKUP(D186,epiunits!A$1:J$4000,6,FALSE)</f>
        <v>#N/A</v>
      </c>
      <c r="J186" s="1" t="e">
        <f>VLOOKUP(D186,epiunits!A$1:J$4000,7,FALSE)</f>
        <v>#N/A</v>
      </c>
      <c r="K186" s="1" t="e">
        <f>VLOOKUP(D186,epiunits!A$1:J$4000,8,FALSE)</f>
        <v>#N/A</v>
      </c>
      <c r="L186" s="1" t="e">
        <f>VLOOKUP(D186,epiunits!A$1:J$4000,9,FALSE)</f>
        <v>#N/A</v>
      </c>
      <c r="M186" s="1" t="e">
        <f>VLOOKUP(D186,epiunits!A$1:J$4000,10,FALSE)</f>
        <v>#N/A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</row>
    <row r="187" spans="1:51" x14ac:dyDescent="0.25">
      <c r="A187" s="1" t="e">
        <f>VLOOKUP(D187,epiunits!A$1:C$4000,2,FALSE)</f>
        <v>#N/A</v>
      </c>
      <c r="B187" s="1" t="e">
        <f>VLOOKUP(D187,epiunits!A$1:C$4000,3,FALSE)</f>
        <v>#N/A</v>
      </c>
      <c r="C187" s="1" t="e">
        <f>VLOOKUP(E187,Inspector!A$1:B$50,2,FALSE)</f>
        <v>#N/A</v>
      </c>
      <c r="I187" s="1" t="e">
        <f>VLOOKUP(D187,epiunits!A$1:J$4000,6,FALSE)</f>
        <v>#N/A</v>
      </c>
      <c r="J187" s="1" t="e">
        <f>VLOOKUP(D187,epiunits!A$1:J$4000,7,FALSE)</f>
        <v>#N/A</v>
      </c>
      <c r="K187" s="1" t="e">
        <f>VLOOKUP(D187,epiunits!A$1:J$4000,8,FALSE)</f>
        <v>#N/A</v>
      </c>
      <c r="L187" s="1" t="e">
        <f>VLOOKUP(D187,epiunits!A$1:J$4000,9,FALSE)</f>
        <v>#N/A</v>
      </c>
      <c r="M187" s="1" t="e">
        <f>VLOOKUP(D187,epiunits!A$1:J$4000,10,FALSE)</f>
        <v>#N/A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25">
      <c r="A188" s="1" t="e">
        <f>VLOOKUP(D188,epiunits!A$1:C$4000,2,FALSE)</f>
        <v>#N/A</v>
      </c>
      <c r="B188" s="1" t="e">
        <f>VLOOKUP(D188,epiunits!A$1:C$4000,3,FALSE)</f>
        <v>#N/A</v>
      </c>
      <c r="C188" s="1" t="e">
        <f>VLOOKUP(E188,Inspector!A$1:B$50,2,FALSE)</f>
        <v>#N/A</v>
      </c>
      <c r="I188" s="1" t="e">
        <f>VLOOKUP(D188,epiunits!A$1:J$4000,6,FALSE)</f>
        <v>#N/A</v>
      </c>
      <c r="J188" s="1" t="e">
        <f>VLOOKUP(D188,epiunits!A$1:J$4000,7,FALSE)</f>
        <v>#N/A</v>
      </c>
      <c r="K188" s="1" t="e">
        <f>VLOOKUP(D188,epiunits!A$1:J$4000,8,FALSE)</f>
        <v>#N/A</v>
      </c>
      <c r="L188" s="1" t="e">
        <f>VLOOKUP(D188,epiunits!A$1:J$4000,9,FALSE)</f>
        <v>#N/A</v>
      </c>
      <c r="M188" s="1" t="e">
        <f>VLOOKUP(D188,epiunits!A$1:J$4000,10,FALSE)</f>
        <v>#N/A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</row>
    <row r="189" spans="1:51" x14ac:dyDescent="0.25">
      <c r="A189" s="1" t="e">
        <f>VLOOKUP(D189,epiunits!A$1:C$4000,2,FALSE)</f>
        <v>#N/A</v>
      </c>
      <c r="B189" s="1" t="e">
        <f>VLOOKUP(D189,epiunits!A$1:C$4000,3,FALSE)</f>
        <v>#N/A</v>
      </c>
      <c r="C189" s="1" t="e">
        <f>VLOOKUP(E189,Inspector!A$1:B$50,2,FALSE)</f>
        <v>#N/A</v>
      </c>
      <c r="I189" s="1" t="e">
        <f>VLOOKUP(D189,epiunits!A$1:J$4000,6,FALSE)</f>
        <v>#N/A</v>
      </c>
      <c r="J189" s="1" t="e">
        <f>VLOOKUP(D189,epiunits!A$1:J$4000,7,FALSE)</f>
        <v>#N/A</v>
      </c>
      <c r="K189" s="1" t="e">
        <f>VLOOKUP(D189,epiunits!A$1:J$4000,8,FALSE)</f>
        <v>#N/A</v>
      </c>
      <c r="L189" s="1" t="e">
        <f>VLOOKUP(D189,epiunits!A$1:J$4000,9,FALSE)</f>
        <v>#N/A</v>
      </c>
      <c r="M189" s="1" t="e">
        <f>VLOOKUP(D189,epiunits!A$1:J$4000,10,FALSE)</f>
        <v>#N/A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</row>
    <row r="190" spans="1:51" x14ac:dyDescent="0.25">
      <c r="A190" s="1" t="e">
        <f>VLOOKUP(D190,epiunits!A$1:C$4000,2,FALSE)</f>
        <v>#N/A</v>
      </c>
      <c r="B190" s="1" t="e">
        <f>VLOOKUP(D190,epiunits!A$1:C$4000,3,FALSE)</f>
        <v>#N/A</v>
      </c>
      <c r="C190" s="1" t="e">
        <f>VLOOKUP(E190,Inspector!A$1:B$50,2,FALSE)</f>
        <v>#N/A</v>
      </c>
      <c r="I190" s="1" t="e">
        <f>VLOOKUP(D190,epiunits!A$1:J$4000,6,FALSE)</f>
        <v>#N/A</v>
      </c>
      <c r="J190" s="1" t="e">
        <f>VLOOKUP(D190,epiunits!A$1:J$4000,7,FALSE)</f>
        <v>#N/A</v>
      </c>
      <c r="K190" s="1" t="e">
        <f>VLOOKUP(D190,epiunits!A$1:J$4000,8,FALSE)</f>
        <v>#N/A</v>
      </c>
      <c r="L190" s="1" t="e">
        <f>VLOOKUP(D190,epiunits!A$1:J$4000,9,FALSE)</f>
        <v>#N/A</v>
      </c>
      <c r="M190" s="1" t="e">
        <f>VLOOKUP(D190,epiunits!A$1:J$4000,10,FALSE)</f>
        <v>#N/A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</row>
    <row r="191" spans="1:51" x14ac:dyDescent="0.25">
      <c r="A191" s="1" t="e">
        <f>VLOOKUP(D191,epiunits!A$1:C$4000,2,FALSE)</f>
        <v>#N/A</v>
      </c>
      <c r="B191" s="1" t="e">
        <f>VLOOKUP(D191,epiunits!A$1:C$4000,3,FALSE)</f>
        <v>#N/A</v>
      </c>
      <c r="C191" s="1" t="e">
        <f>VLOOKUP(E191,Inspector!A$1:B$50,2,FALSE)</f>
        <v>#N/A</v>
      </c>
      <c r="I191" s="1" t="e">
        <f>VLOOKUP(D191,epiunits!A$1:J$4000,6,FALSE)</f>
        <v>#N/A</v>
      </c>
      <c r="J191" s="1" t="e">
        <f>VLOOKUP(D191,epiunits!A$1:J$4000,7,FALSE)</f>
        <v>#N/A</v>
      </c>
      <c r="K191" s="1" t="e">
        <f>VLOOKUP(D191,epiunits!A$1:J$4000,8,FALSE)</f>
        <v>#N/A</v>
      </c>
      <c r="L191" s="1" t="e">
        <f>VLOOKUP(D191,epiunits!A$1:J$4000,9,FALSE)</f>
        <v>#N/A</v>
      </c>
      <c r="M191" s="1" t="e">
        <f>VLOOKUP(D191,epiunits!A$1:J$4000,10,FALSE)</f>
        <v>#N/A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</row>
    <row r="192" spans="1:51" x14ac:dyDescent="0.25">
      <c r="A192" s="1" t="e">
        <f>VLOOKUP(D192,epiunits!A$1:C$4000,2,FALSE)</f>
        <v>#N/A</v>
      </c>
      <c r="B192" s="1" t="e">
        <f>VLOOKUP(D192,epiunits!A$1:C$4000,3,FALSE)</f>
        <v>#N/A</v>
      </c>
      <c r="C192" s="1" t="e">
        <f>VLOOKUP(E192,Inspector!A$1:B$50,2,FALSE)</f>
        <v>#N/A</v>
      </c>
      <c r="I192" s="1" t="e">
        <f>VLOOKUP(D192,epiunits!A$1:J$4000,6,FALSE)</f>
        <v>#N/A</v>
      </c>
      <c r="J192" s="1" t="e">
        <f>VLOOKUP(D192,epiunits!A$1:J$4000,7,FALSE)</f>
        <v>#N/A</v>
      </c>
      <c r="K192" s="1" t="e">
        <f>VLOOKUP(D192,epiunits!A$1:J$4000,8,FALSE)</f>
        <v>#N/A</v>
      </c>
      <c r="L192" s="1" t="e">
        <f>VLOOKUP(D192,epiunits!A$1:J$4000,9,FALSE)</f>
        <v>#N/A</v>
      </c>
      <c r="M192" s="1" t="e">
        <f>VLOOKUP(D192,epiunits!A$1:J$4000,10,FALSE)</f>
        <v>#N/A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</row>
    <row r="193" spans="1:51" x14ac:dyDescent="0.25">
      <c r="A193" s="1" t="e">
        <f>VLOOKUP(D193,epiunits!A$1:C$4000,2,FALSE)</f>
        <v>#N/A</v>
      </c>
      <c r="B193" s="1" t="e">
        <f>VLOOKUP(D193,epiunits!A$1:C$4000,3,FALSE)</f>
        <v>#N/A</v>
      </c>
      <c r="C193" s="1" t="e">
        <f>VLOOKUP(E193,Inspector!A$1:B$50,2,FALSE)</f>
        <v>#N/A</v>
      </c>
      <c r="I193" s="1" t="e">
        <f>VLOOKUP(D193,epiunits!A$1:J$4000,6,FALSE)</f>
        <v>#N/A</v>
      </c>
      <c r="J193" s="1" t="e">
        <f>VLOOKUP(D193,epiunits!A$1:J$4000,7,FALSE)</f>
        <v>#N/A</v>
      </c>
      <c r="K193" s="1" t="e">
        <f>VLOOKUP(D193,epiunits!A$1:J$4000,8,FALSE)</f>
        <v>#N/A</v>
      </c>
      <c r="L193" s="1" t="e">
        <f>VLOOKUP(D193,epiunits!A$1:J$4000,9,FALSE)</f>
        <v>#N/A</v>
      </c>
      <c r="M193" s="1" t="e">
        <f>VLOOKUP(D193,epiunits!A$1:J$4000,10,FALSE)</f>
        <v>#N/A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</row>
    <row r="194" spans="1:51" x14ac:dyDescent="0.25">
      <c r="A194" s="1" t="e">
        <f>VLOOKUP(D194,epiunits!A$1:C$4000,2,FALSE)</f>
        <v>#N/A</v>
      </c>
      <c r="B194" s="1" t="e">
        <f>VLOOKUP(D194,epiunits!A$1:C$4000,3,FALSE)</f>
        <v>#N/A</v>
      </c>
      <c r="C194" s="1" t="e">
        <f>VLOOKUP(E194,Inspector!A$1:B$50,2,FALSE)</f>
        <v>#N/A</v>
      </c>
      <c r="I194" s="1" t="e">
        <f>VLOOKUP(D194,epiunits!A$1:J$4000,6,FALSE)</f>
        <v>#N/A</v>
      </c>
      <c r="J194" s="1" t="e">
        <f>VLOOKUP(D194,epiunits!A$1:J$4000,7,FALSE)</f>
        <v>#N/A</v>
      </c>
      <c r="K194" s="1" t="e">
        <f>VLOOKUP(D194,epiunits!A$1:J$4000,8,FALSE)</f>
        <v>#N/A</v>
      </c>
      <c r="L194" s="1" t="e">
        <f>VLOOKUP(D194,epiunits!A$1:J$4000,9,FALSE)</f>
        <v>#N/A</v>
      </c>
      <c r="M194" s="1" t="e">
        <f>VLOOKUP(D194,epiunits!A$1:J$4000,10,FALSE)</f>
        <v>#N/A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</row>
    <row r="195" spans="1:51" x14ac:dyDescent="0.25">
      <c r="A195" s="1" t="e">
        <f>VLOOKUP(D195,epiunits!A$1:C$4000,2,FALSE)</f>
        <v>#N/A</v>
      </c>
      <c r="B195" s="1" t="e">
        <f>VLOOKUP(D195,epiunits!A$1:C$4000,3,FALSE)</f>
        <v>#N/A</v>
      </c>
      <c r="C195" s="1" t="e">
        <f>VLOOKUP(E195,Inspector!A$1:B$50,2,FALSE)</f>
        <v>#N/A</v>
      </c>
      <c r="I195" s="1" t="e">
        <f>VLOOKUP(D195,epiunits!A$1:J$4000,6,FALSE)</f>
        <v>#N/A</v>
      </c>
      <c r="J195" s="1" t="e">
        <f>VLOOKUP(D195,epiunits!A$1:J$4000,7,FALSE)</f>
        <v>#N/A</v>
      </c>
      <c r="K195" s="1" t="e">
        <f>VLOOKUP(D195,epiunits!A$1:J$4000,8,FALSE)</f>
        <v>#N/A</v>
      </c>
      <c r="L195" s="1" t="e">
        <f>VLOOKUP(D195,epiunits!A$1:J$4000,9,FALSE)</f>
        <v>#N/A</v>
      </c>
      <c r="M195" s="1" t="e">
        <f>VLOOKUP(D195,epiunits!A$1:J$4000,10,FALSE)</f>
        <v>#N/A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</row>
    <row r="196" spans="1:51" x14ac:dyDescent="0.25">
      <c r="A196" s="1" t="e">
        <f>VLOOKUP(D196,epiunits!A$1:C$4000,2,FALSE)</f>
        <v>#N/A</v>
      </c>
      <c r="B196" s="1" t="e">
        <f>VLOOKUP(D196,epiunits!A$1:C$4000,3,FALSE)</f>
        <v>#N/A</v>
      </c>
      <c r="C196" s="1" t="e">
        <f>VLOOKUP(E196,Inspector!A$1:B$50,2,FALSE)</f>
        <v>#N/A</v>
      </c>
      <c r="I196" s="1" t="e">
        <f>VLOOKUP(D196,epiunits!A$1:J$4000,6,FALSE)</f>
        <v>#N/A</v>
      </c>
      <c r="J196" s="1" t="e">
        <f>VLOOKUP(D196,epiunits!A$1:J$4000,7,FALSE)</f>
        <v>#N/A</v>
      </c>
      <c r="K196" s="1" t="e">
        <f>VLOOKUP(D196,epiunits!A$1:J$4000,8,FALSE)</f>
        <v>#N/A</v>
      </c>
      <c r="L196" s="1" t="e">
        <f>VLOOKUP(D196,epiunits!A$1:J$4000,9,FALSE)</f>
        <v>#N/A</v>
      </c>
      <c r="M196" s="1" t="e">
        <f>VLOOKUP(D196,epiunits!A$1:J$4000,10,FALSE)</f>
        <v>#N/A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</row>
    <row r="197" spans="1:51" x14ac:dyDescent="0.25">
      <c r="A197" s="1" t="e">
        <f>VLOOKUP(D197,epiunits!A$1:C$4000,2,FALSE)</f>
        <v>#N/A</v>
      </c>
      <c r="B197" s="1" t="e">
        <f>VLOOKUP(D197,epiunits!A$1:C$4000,3,FALSE)</f>
        <v>#N/A</v>
      </c>
      <c r="C197" s="1" t="e">
        <f>VLOOKUP(E197,Inspector!A$1:B$50,2,FALSE)</f>
        <v>#N/A</v>
      </c>
      <c r="I197" s="1" t="e">
        <f>VLOOKUP(D197,epiunits!A$1:J$4000,6,FALSE)</f>
        <v>#N/A</v>
      </c>
      <c r="J197" s="1" t="e">
        <f>VLOOKUP(D197,epiunits!A$1:J$4000,7,FALSE)</f>
        <v>#N/A</v>
      </c>
      <c r="K197" s="1" t="e">
        <f>VLOOKUP(D197,epiunits!A$1:J$4000,8,FALSE)</f>
        <v>#N/A</v>
      </c>
      <c r="L197" s="1" t="e">
        <f>VLOOKUP(D197,epiunits!A$1:J$4000,9,FALSE)</f>
        <v>#N/A</v>
      </c>
      <c r="M197" s="1" t="e">
        <f>VLOOKUP(D197,epiunits!A$1:J$4000,10,FALSE)</f>
        <v>#N/A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</row>
    <row r="198" spans="1:51" x14ac:dyDescent="0.25">
      <c r="A198" s="1" t="e">
        <f>VLOOKUP(D198,epiunits!A$1:C$4000,2,FALSE)</f>
        <v>#N/A</v>
      </c>
      <c r="B198" s="1" t="e">
        <f>VLOOKUP(D198,epiunits!A$1:C$4000,3,FALSE)</f>
        <v>#N/A</v>
      </c>
      <c r="C198" s="1" t="e">
        <f>VLOOKUP(E198,Inspector!A$1:B$50,2,FALSE)</f>
        <v>#N/A</v>
      </c>
      <c r="I198" s="1" t="e">
        <f>VLOOKUP(D198,epiunits!A$1:J$4000,6,FALSE)</f>
        <v>#N/A</v>
      </c>
      <c r="J198" s="1" t="e">
        <f>VLOOKUP(D198,epiunits!A$1:J$4000,7,FALSE)</f>
        <v>#N/A</v>
      </c>
      <c r="K198" s="1" t="e">
        <f>VLOOKUP(D198,epiunits!A$1:J$4000,8,FALSE)</f>
        <v>#N/A</v>
      </c>
      <c r="L198" s="1" t="e">
        <f>VLOOKUP(D198,epiunits!A$1:J$4000,9,FALSE)</f>
        <v>#N/A</v>
      </c>
      <c r="M198" s="1" t="e">
        <f>VLOOKUP(D198,epiunits!A$1:J$4000,10,FALSE)</f>
        <v>#N/A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</row>
    <row r="199" spans="1:51" x14ac:dyDescent="0.25">
      <c r="A199" s="1" t="e">
        <f>VLOOKUP(D199,epiunits!A$1:C$4000,2,FALSE)</f>
        <v>#N/A</v>
      </c>
      <c r="B199" s="1" t="e">
        <f>VLOOKUP(D199,epiunits!A$1:C$4000,3,FALSE)</f>
        <v>#N/A</v>
      </c>
      <c r="C199" s="1" t="e">
        <f>VLOOKUP(E199,Inspector!A$1:B$50,2,FALSE)</f>
        <v>#N/A</v>
      </c>
      <c r="I199" s="1" t="e">
        <f>VLOOKUP(D199,epiunits!A$1:J$4000,6,FALSE)</f>
        <v>#N/A</v>
      </c>
      <c r="J199" s="1" t="e">
        <f>VLOOKUP(D199,epiunits!A$1:J$4000,7,FALSE)</f>
        <v>#N/A</v>
      </c>
      <c r="K199" s="1" t="e">
        <f>VLOOKUP(D199,epiunits!A$1:J$4000,8,FALSE)</f>
        <v>#N/A</v>
      </c>
      <c r="L199" s="1" t="e">
        <f>VLOOKUP(D199,epiunits!A$1:J$4000,9,FALSE)</f>
        <v>#N/A</v>
      </c>
      <c r="M199" s="1" t="e">
        <f>VLOOKUP(D199,epiunits!A$1:J$4000,10,FALSE)</f>
        <v>#N/A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</row>
    <row r="200" spans="1:51" x14ac:dyDescent="0.25">
      <c r="A200" s="1" t="e">
        <f>VLOOKUP(D200,epiunits!A$1:C$4000,2,FALSE)</f>
        <v>#N/A</v>
      </c>
      <c r="B200" s="1" t="e">
        <f>VLOOKUP(D200,epiunits!A$1:C$4000,3,FALSE)</f>
        <v>#N/A</v>
      </c>
      <c r="C200" s="1" t="e">
        <f>VLOOKUP(E200,Inspector!A$1:B$50,2,FALSE)</f>
        <v>#N/A</v>
      </c>
      <c r="I200" s="1" t="e">
        <f>VLOOKUP(D200,epiunits!A$1:J$4000,6,FALSE)</f>
        <v>#N/A</v>
      </c>
      <c r="J200" s="1" t="e">
        <f>VLOOKUP(D200,epiunits!A$1:J$4000,7,FALSE)</f>
        <v>#N/A</v>
      </c>
      <c r="K200" s="1" t="e">
        <f>VLOOKUP(D200,epiunits!A$1:J$4000,8,FALSE)</f>
        <v>#N/A</v>
      </c>
      <c r="L200" s="1" t="e">
        <f>VLOOKUP(D200,epiunits!A$1:J$4000,9,FALSE)</f>
        <v>#N/A</v>
      </c>
      <c r="M200" s="1" t="e">
        <f>VLOOKUP(D200,epiunits!A$1:J$4000,10,FALSE)</f>
        <v>#N/A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</row>
    <row r="201" spans="1:51" x14ac:dyDescent="0.25">
      <c r="A201" s="1" t="e">
        <f>VLOOKUP(D201,epiunits!A$1:C$4000,2,FALSE)</f>
        <v>#N/A</v>
      </c>
      <c r="B201" s="1" t="e">
        <f>VLOOKUP(D201,epiunits!A$1:C$4000,3,FALSE)</f>
        <v>#N/A</v>
      </c>
      <c r="C201" s="1" t="e">
        <f>VLOOKUP(E201,Inspector!A$1:B$50,2,FALSE)</f>
        <v>#N/A</v>
      </c>
      <c r="I201" s="1" t="e">
        <f>VLOOKUP(D201,epiunits!A$1:J$4000,6,FALSE)</f>
        <v>#N/A</v>
      </c>
      <c r="J201" s="1" t="e">
        <f>VLOOKUP(D201,epiunits!A$1:J$4000,7,FALSE)</f>
        <v>#N/A</v>
      </c>
      <c r="K201" s="1" t="e">
        <f>VLOOKUP(D201,epiunits!A$1:J$4000,8,FALSE)</f>
        <v>#N/A</v>
      </c>
      <c r="L201" s="1" t="e">
        <f>VLOOKUP(D201,epiunits!A$1:J$4000,9,FALSE)</f>
        <v>#N/A</v>
      </c>
      <c r="M201" s="1" t="e">
        <f>VLOOKUP(D201,epiunits!A$1:J$4000,10,FALSE)</f>
        <v>#N/A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</row>
    <row r="202" spans="1:51" x14ac:dyDescent="0.25">
      <c r="A202" s="1" t="e">
        <f>VLOOKUP(D202,epiunits!A$1:C$4000,2,FALSE)</f>
        <v>#N/A</v>
      </c>
      <c r="B202" s="1" t="e">
        <f>VLOOKUP(D202,epiunits!A$1:C$4000,3,FALSE)</f>
        <v>#N/A</v>
      </c>
      <c r="C202" s="1" t="e">
        <f>VLOOKUP(E202,Inspector!A$1:B$50,2,FALSE)</f>
        <v>#N/A</v>
      </c>
      <c r="I202" s="1" t="e">
        <f>VLOOKUP(D202,epiunits!A$1:J$4000,6,FALSE)</f>
        <v>#N/A</v>
      </c>
      <c r="J202" s="1" t="e">
        <f>VLOOKUP(D202,epiunits!A$1:J$4000,7,FALSE)</f>
        <v>#N/A</v>
      </c>
      <c r="K202" s="1" t="e">
        <f>VLOOKUP(D202,epiunits!A$1:J$4000,8,FALSE)</f>
        <v>#N/A</v>
      </c>
      <c r="L202" s="1" t="e">
        <f>VLOOKUP(D202,epiunits!A$1:J$4000,9,FALSE)</f>
        <v>#N/A</v>
      </c>
      <c r="M202" s="1" t="e">
        <f>VLOOKUP(D202,epiunits!A$1:J$4000,10,FALSE)</f>
        <v>#N/A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</row>
    <row r="203" spans="1:51" x14ac:dyDescent="0.25">
      <c r="A203" s="1" t="e">
        <f>VLOOKUP(D203,epiunits!A$1:C$4000,2,FALSE)</f>
        <v>#N/A</v>
      </c>
      <c r="B203" s="1" t="e">
        <f>VLOOKUP(D203,epiunits!A$1:C$4000,3,FALSE)</f>
        <v>#N/A</v>
      </c>
      <c r="C203" s="1" t="e">
        <f>VLOOKUP(E203,Inspector!A$1:B$50,2,FALSE)</f>
        <v>#N/A</v>
      </c>
      <c r="I203" s="1" t="e">
        <f>VLOOKUP(D203,epiunits!A$1:J$4000,6,FALSE)</f>
        <v>#N/A</v>
      </c>
      <c r="J203" s="1" t="e">
        <f>VLOOKUP(D203,epiunits!A$1:J$4000,7,FALSE)</f>
        <v>#N/A</v>
      </c>
      <c r="K203" s="1" t="e">
        <f>VLOOKUP(D203,epiunits!A$1:J$4000,8,FALSE)</f>
        <v>#N/A</v>
      </c>
      <c r="L203" s="1" t="e">
        <f>VLOOKUP(D203,epiunits!A$1:J$4000,9,FALSE)</f>
        <v>#N/A</v>
      </c>
      <c r="M203" s="1" t="e">
        <f>VLOOKUP(D203,epiunits!A$1:J$4000,10,FALSE)</f>
        <v>#N/A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</row>
    <row r="204" spans="1:51" x14ac:dyDescent="0.25">
      <c r="A204" s="1" t="e">
        <f>VLOOKUP(D204,epiunits!A$1:C$4000,2,FALSE)</f>
        <v>#N/A</v>
      </c>
      <c r="B204" s="1" t="e">
        <f>VLOOKUP(D204,epiunits!A$1:C$4000,3,FALSE)</f>
        <v>#N/A</v>
      </c>
      <c r="C204" s="1" t="e">
        <f>VLOOKUP(E204,Inspector!A$1:B$50,2,FALSE)</f>
        <v>#N/A</v>
      </c>
      <c r="I204" s="1" t="e">
        <f>VLOOKUP(D204,epiunits!A$1:J$4000,6,FALSE)</f>
        <v>#N/A</v>
      </c>
      <c r="J204" s="1" t="e">
        <f>VLOOKUP(D204,epiunits!A$1:J$4000,7,FALSE)</f>
        <v>#N/A</v>
      </c>
      <c r="K204" s="1" t="e">
        <f>VLOOKUP(D204,epiunits!A$1:J$4000,8,FALSE)</f>
        <v>#N/A</v>
      </c>
      <c r="L204" s="1" t="e">
        <f>VLOOKUP(D204,epiunits!A$1:J$4000,9,FALSE)</f>
        <v>#N/A</v>
      </c>
      <c r="M204" s="1" t="e">
        <f>VLOOKUP(D204,epiunits!A$1:J$4000,10,FALSE)</f>
        <v>#N/A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</row>
    <row r="205" spans="1:51" x14ac:dyDescent="0.25">
      <c r="A205" s="1" t="e">
        <f>VLOOKUP(D205,epiunits!A$1:C$4000,2,FALSE)</f>
        <v>#N/A</v>
      </c>
      <c r="B205" s="1" t="e">
        <f>VLOOKUP(D205,epiunits!A$1:C$4000,3,FALSE)</f>
        <v>#N/A</v>
      </c>
      <c r="C205" s="1" t="e">
        <f>VLOOKUP(E205,Inspector!A$1:B$50,2,FALSE)</f>
        <v>#N/A</v>
      </c>
      <c r="I205" s="1" t="e">
        <f>VLOOKUP(D205,epiunits!A$1:J$4000,6,FALSE)</f>
        <v>#N/A</v>
      </c>
      <c r="J205" s="1" t="e">
        <f>VLOOKUP(D205,epiunits!A$1:J$4000,7,FALSE)</f>
        <v>#N/A</v>
      </c>
      <c r="K205" s="1" t="e">
        <f>VLOOKUP(D205,epiunits!A$1:J$4000,8,FALSE)</f>
        <v>#N/A</v>
      </c>
      <c r="L205" s="1" t="e">
        <f>VLOOKUP(D205,epiunits!A$1:J$4000,9,FALSE)</f>
        <v>#N/A</v>
      </c>
      <c r="M205" s="1" t="e">
        <f>VLOOKUP(D205,epiunits!A$1:J$4000,10,FALSE)</f>
        <v>#N/A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</row>
    <row r="206" spans="1:51" x14ac:dyDescent="0.25">
      <c r="A206" s="1" t="e">
        <f>VLOOKUP(D206,epiunits!A$1:C$4000,2,FALSE)</f>
        <v>#N/A</v>
      </c>
      <c r="B206" s="1" t="e">
        <f>VLOOKUP(D206,epiunits!A$1:C$4000,3,FALSE)</f>
        <v>#N/A</v>
      </c>
      <c r="C206" s="1" t="e">
        <f>VLOOKUP(E206,Inspector!A$1:B$50,2,FALSE)</f>
        <v>#N/A</v>
      </c>
      <c r="I206" s="1" t="e">
        <f>VLOOKUP(D206,epiunits!A$1:J$4000,6,FALSE)</f>
        <v>#N/A</v>
      </c>
      <c r="J206" s="1" t="e">
        <f>VLOOKUP(D206,epiunits!A$1:J$4000,7,FALSE)</f>
        <v>#N/A</v>
      </c>
      <c r="K206" s="1" t="e">
        <f>VLOOKUP(D206,epiunits!A$1:J$4000,8,FALSE)</f>
        <v>#N/A</v>
      </c>
      <c r="L206" s="1" t="e">
        <f>VLOOKUP(D206,epiunits!A$1:J$4000,9,FALSE)</f>
        <v>#N/A</v>
      </c>
      <c r="M206" s="1" t="e">
        <f>VLOOKUP(D206,epiunits!A$1:J$4000,10,FALSE)</f>
        <v>#N/A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</row>
    <row r="207" spans="1:51" x14ac:dyDescent="0.25">
      <c r="A207" s="1" t="e">
        <f>VLOOKUP(D207,epiunits!A$1:C$4000,2,FALSE)</f>
        <v>#N/A</v>
      </c>
      <c r="B207" s="1" t="e">
        <f>VLOOKUP(D207,epiunits!A$1:C$4000,3,FALSE)</f>
        <v>#N/A</v>
      </c>
      <c r="C207" s="1" t="e">
        <f>VLOOKUP(E207,Inspector!A$1:B$50,2,FALSE)</f>
        <v>#N/A</v>
      </c>
      <c r="I207" s="1" t="e">
        <f>VLOOKUP(D207,epiunits!A$1:J$4000,6,FALSE)</f>
        <v>#N/A</v>
      </c>
      <c r="J207" s="1" t="e">
        <f>VLOOKUP(D207,epiunits!A$1:J$4000,7,FALSE)</f>
        <v>#N/A</v>
      </c>
      <c r="K207" s="1" t="e">
        <f>VLOOKUP(D207,epiunits!A$1:J$4000,8,FALSE)</f>
        <v>#N/A</v>
      </c>
      <c r="L207" s="1" t="e">
        <f>VLOOKUP(D207,epiunits!A$1:J$4000,9,FALSE)</f>
        <v>#N/A</v>
      </c>
      <c r="M207" s="1" t="e">
        <f>VLOOKUP(D207,epiunits!A$1:J$4000,10,FALSE)</f>
        <v>#N/A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</row>
    <row r="208" spans="1:51" x14ac:dyDescent="0.25">
      <c r="A208" s="1" t="e">
        <f>VLOOKUP(D208,epiunits!A$1:C$4000,2,FALSE)</f>
        <v>#N/A</v>
      </c>
      <c r="B208" s="1" t="e">
        <f>VLOOKUP(D208,epiunits!A$1:C$4000,3,FALSE)</f>
        <v>#N/A</v>
      </c>
      <c r="C208" s="1" t="e">
        <f>VLOOKUP(E208,Inspector!A$1:B$50,2,FALSE)</f>
        <v>#N/A</v>
      </c>
      <c r="I208" s="1" t="e">
        <f>VLOOKUP(D208,epiunits!A$1:J$4000,6,FALSE)</f>
        <v>#N/A</v>
      </c>
      <c r="J208" s="1" t="e">
        <f>VLOOKUP(D208,epiunits!A$1:J$4000,7,FALSE)</f>
        <v>#N/A</v>
      </c>
      <c r="K208" s="1" t="e">
        <f>VLOOKUP(D208,epiunits!A$1:J$4000,8,FALSE)</f>
        <v>#N/A</v>
      </c>
      <c r="L208" s="1" t="e">
        <f>VLOOKUP(D208,epiunits!A$1:J$4000,9,FALSE)</f>
        <v>#N/A</v>
      </c>
      <c r="M208" s="1" t="e">
        <f>VLOOKUP(D208,epiunits!A$1:J$4000,10,FALSE)</f>
        <v>#N/A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</row>
    <row r="209" spans="1:51" x14ac:dyDescent="0.25">
      <c r="A209" s="1" t="e">
        <f>VLOOKUP(D209,epiunits!A$1:C$4000,2,FALSE)</f>
        <v>#N/A</v>
      </c>
      <c r="B209" s="1" t="e">
        <f>VLOOKUP(D209,epiunits!A$1:C$4000,3,FALSE)</f>
        <v>#N/A</v>
      </c>
      <c r="C209" s="1" t="e">
        <f>VLOOKUP(E209,Inspector!A$1:B$50,2,FALSE)</f>
        <v>#N/A</v>
      </c>
      <c r="I209" s="1" t="e">
        <f>VLOOKUP(D209,epiunits!A$1:J$4000,6,FALSE)</f>
        <v>#N/A</v>
      </c>
      <c r="J209" s="1" t="e">
        <f>VLOOKUP(D209,epiunits!A$1:J$4000,7,FALSE)</f>
        <v>#N/A</v>
      </c>
      <c r="K209" s="1" t="e">
        <f>VLOOKUP(D209,epiunits!A$1:J$4000,8,FALSE)</f>
        <v>#N/A</v>
      </c>
      <c r="L209" s="1" t="e">
        <f>VLOOKUP(D209,epiunits!A$1:J$4000,9,FALSE)</f>
        <v>#N/A</v>
      </c>
      <c r="M209" s="1" t="e">
        <f>VLOOKUP(D209,epiunits!A$1:J$4000,10,FALSE)</f>
        <v>#N/A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</row>
    <row r="210" spans="1:51" x14ac:dyDescent="0.25">
      <c r="A210" s="1" t="e">
        <f>VLOOKUP(D210,epiunits!A$1:C$4000,2,FALSE)</f>
        <v>#N/A</v>
      </c>
      <c r="B210" s="1" t="e">
        <f>VLOOKUP(D210,epiunits!A$1:C$4000,3,FALSE)</f>
        <v>#N/A</v>
      </c>
      <c r="C210" s="1" t="e">
        <f>VLOOKUP(E210,Inspector!A$1:B$50,2,FALSE)</f>
        <v>#N/A</v>
      </c>
      <c r="I210" s="1" t="e">
        <f>VLOOKUP(D210,epiunits!A$1:J$4000,6,FALSE)</f>
        <v>#N/A</v>
      </c>
      <c r="J210" s="1" t="e">
        <f>VLOOKUP(D210,epiunits!A$1:J$4000,7,FALSE)</f>
        <v>#N/A</v>
      </c>
      <c r="K210" s="1" t="e">
        <f>VLOOKUP(D210,epiunits!A$1:J$4000,8,FALSE)</f>
        <v>#N/A</v>
      </c>
      <c r="L210" s="1" t="e">
        <f>VLOOKUP(D210,epiunits!A$1:J$4000,9,FALSE)</f>
        <v>#N/A</v>
      </c>
      <c r="M210" s="1" t="e">
        <f>VLOOKUP(D210,epiunits!A$1:J$4000,10,FALSE)</f>
        <v>#N/A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</row>
    <row r="211" spans="1:51" x14ac:dyDescent="0.25">
      <c r="A211" s="1" t="e">
        <f>VLOOKUP(D211,epiunits!A$1:C$4000,2,FALSE)</f>
        <v>#N/A</v>
      </c>
      <c r="B211" s="1" t="e">
        <f>VLOOKUP(D211,epiunits!A$1:C$4000,3,FALSE)</f>
        <v>#N/A</v>
      </c>
      <c r="C211" s="1" t="e">
        <f>VLOOKUP(E211,Inspector!A$1:B$50,2,FALSE)</f>
        <v>#N/A</v>
      </c>
      <c r="I211" s="1" t="e">
        <f>VLOOKUP(D211,epiunits!A$1:J$4000,6,FALSE)</f>
        <v>#N/A</v>
      </c>
      <c r="J211" s="1" t="e">
        <f>VLOOKUP(D211,epiunits!A$1:J$4000,7,FALSE)</f>
        <v>#N/A</v>
      </c>
      <c r="K211" s="1" t="e">
        <f>VLOOKUP(D211,epiunits!A$1:J$4000,8,FALSE)</f>
        <v>#N/A</v>
      </c>
      <c r="L211" s="1" t="e">
        <f>VLOOKUP(D211,epiunits!A$1:J$4000,9,FALSE)</f>
        <v>#N/A</v>
      </c>
      <c r="M211" s="1" t="e">
        <f>VLOOKUP(D211,epiunits!A$1:J$4000,10,FALSE)</f>
        <v>#N/A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</row>
    <row r="212" spans="1:51" x14ac:dyDescent="0.25">
      <c r="A212" s="1" t="e">
        <f>VLOOKUP(D212,epiunits!A$1:C$4000,2,FALSE)</f>
        <v>#N/A</v>
      </c>
      <c r="B212" s="1" t="e">
        <f>VLOOKUP(D212,epiunits!A$1:C$4000,3,FALSE)</f>
        <v>#N/A</v>
      </c>
      <c r="C212" s="1" t="e">
        <f>VLOOKUP(E212,Inspector!A$1:B$50,2,FALSE)</f>
        <v>#N/A</v>
      </c>
      <c r="I212" s="1" t="e">
        <f>VLOOKUP(D212,epiunits!A$1:J$4000,6,FALSE)</f>
        <v>#N/A</v>
      </c>
      <c r="J212" s="1" t="e">
        <f>VLOOKUP(D212,epiunits!A$1:J$4000,7,FALSE)</f>
        <v>#N/A</v>
      </c>
      <c r="K212" s="1" t="e">
        <f>VLOOKUP(D212,epiunits!A$1:J$4000,8,FALSE)</f>
        <v>#N/A</v>
      </c>
      <c r="L212" s="1" t="e">
        <f>VLOOKUP(D212,epiunits!A$1:J$4000,9,FALSE)</f>
        <v>#N/A</v>
      </c>
      <c r="M212" s="1" t="e">
        <f>VLOOKUP(D212,epiunits!A$1:J$4000,10,FALSE)</f>
        <v>#N/A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</row>
    <row r="213" spans="1:51" x14ac:dyDescent="0.25">
      <c r="A213" s="1" t="e">
        <f>VLOOKUP(D213,epiunits!A$1:C$4000,2,FALSE)</f>
        <v>#N/A</v>
      </c>
      <c r="B213" s="1" t="e">
        <f>VLOOKUP(D213,epiunits!A$1:C$4000,3,FALSE)</f>
        <v>#N/A</v>
      </c>
      <c r="C213" s="1" t="e">
        <f>VLOOKUP(E213,Inspector!A$1:B$50,2,FALSE)</f>
        <v>#N/A</v>
      </c>
      <c r="I213" s="1" t="e">
        <f>VLOOKUP(D213,epiunits!A$1:J$4000,6,FALSE)</f>
        <v>#N/A</v>
      </c>
      <c r="J213" s="1" t="e">
        <f>VLOOKUP(D213,epiunits!A$1:J$4000,7,FALSE)</f>
        <v>#N/A</v>
      </c>
      <c r="K213" s="1" t="e">
        <f>VLOOKUP(D213,epiunits!A$1:J$4000,8,FALSE)</f>
        <v>#N/A</v>
      </c>
      <c r="L213" s="1" t="e">
        <f>VLOOKUP(D213,epiunits!A$1:J$4000,9,FALSE)</f>
        <v>#N/A</v>
      </c>
      <c r="M213" s="1" t="e">
        <f>VLOOKUP(D213,epiunits!A$1:J$4000,10,FALSE)</f>
        <v>#N/A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</row>
    <row r="214" spans="1:51" x14ac:dyDescent="0.25">
      <c r="A214" s="1" t="e">
        <f>VLOOKUP(D214,epiunits!A$1:C$4000,2,FALSE)</f>
        <v>#N/A</v>
      </c>
      <c r="B214" s="1" t="e">
        <f>VLOOKUP(D214,epiunits!A$1:C$4000,3,FALSE)</f>
        <v>#N/A</v>
      </c>
      <c r="C214" s="1" t="e">
        <f>VLOOKUP(E214,Inspector!A$1:B$50,2,FALSE)</f>
        <v>#N/A</v>
      </c>
      <c r="I214" s="1" t="e">
        <f>VLOOKUP(D214,epiunits!A$1:J$4000,6,FALSE)</f>
        <v>#N/A</v>
      </c>
      <c r="J214" s="1" t="e">
        <f>VLOOKUP(D214,epiunits!A$1:J$4000,7,FALSE)</f>
        <v>#N/A</v>
      </c>
      <c r="K214" s="1" t="e">
        <f>VLOOKUP(D214,epiunits!A$1:J$4000,8,FALSE)</f>
        <v>#N/A</v>
      </c>
      <c r="L214" s="1" t="e">
        <f>VLOOKUP(D214,epiunits!A$1:J$4000,9,FALSE)</f>
        <v>#N/A</v>
      </c>
      <c r="M214" s="1" t="e">
        <f>VLOOKUP(D214,epiunits!A$1:J$4000,10,FALSE)</f>
        <v>#N/A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</row>
    <row r="215" spans="1:51" x14ac:dyDescent="0.25">
      <c r="A215" s="1" t="e">
        <f>VLOOKUP(D215,epiunits!A$1:C$4000,2,FALSE)</f>
        <v>#N/A</v>
      </c>
      <c r="B215" s="1" t="e">
        <f>VLOOKUP(D215,epiunits!A$1:C$4000,3,FALSE)</f>
        <v>#N/A</v>
      </c>
      <c r="C215" s="1" t="e">
        <f>VLOOKUP(E215,Inspector!A$1:B$50,2,FALSE)</f>
        <v>#N/A</v>
      </c>
      <c r="I215" s="1" t="e">
        <f>VLOOKUP(D215,epiunits!A$1:J$4000,6,FALSE)</f>
        <v>#N/A</v>
      </c>
      <c r="J215" s="1" t="e">
        <f>VLOOKUP(D215,epiunits!A$1:J$4000,7,FALSE)</f>
        <v>#N/A</v>
      </c>
      <c r="K215" s="1" t="e">
        <f>VLOOKUP(D215,epiunits!A$1:J$4000,8,FALSE)</f>
        <v>#N/A</v>
      </c>
      <c r="L215" s="1" t="e">
        <f>VLOOKUP(D215,epiunits!A$1:J$4000,9,FALSE)</f>
        <v>#N/A</v>
      </c>
      <c r="M215" s="1" t="e">
        <f>VLOOKUP(D215,epiunits!A$1:J$4000,10,FALSE)</f>
        <v>#N/A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</row>
    <row r="216" spans="1:51" x14ac:dyDescent="0.25">
      <c r="A216" s="1" t="e">
        <f>VLOOKUP(D216,epiunits!A$1:C$4000,2,FALSE)</f>
        <v>#N/A</v>
      </c>
      <c r="B216" s="1" t="e">
        <f>VLOOKUP(D216,epiunits!A$1:C$4000,3,FALSE)</f>
        <v>#N/A</v>
      </c>
      <c r="C216" s="1" t="e">
        <f>VLOOKUP(E216,Inspector!A$1:B$50,2,FALSE)</f>
        <v>#N/A</v>
      </c>
      <c r="I216" s="1" t="e">
        <f>VLOOKUP(D216,epiunits!A$1:J$4000,6,FALSE)</f>
        <v>#N/A</v>
      </c>
      <c r="J216" s="1" t="e">
        <f>VLOOKUP(D216,epiunits!A$1:J$4000,7,FALSE)</f>
        <v>#N/A</v>
      </c>
      <c r="K216" s="1" t="e">
        <f>VLOOKUP(D216,epiunits!A$1:J$4000,8,FALSE)</f>
        <v>#N/A</v>
      </c>
      <c r="L216" s="1" t="e">
        <f>VLOOKUP(D216,epiunits!A$1:J$4000,9,FALSE)</f>
        <v>#N/A</v>
      </c>
      <c r="M216" s="1" t="e">
        <f>VLOOKUP(D216,epiunits!A$1:J$4000,10,FALSE)</f>
        <v>#N/A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</row>
    <row r="217" spans="1:51" x14ac:dyDescent="0.25">
      <c r="A217" s="1" t="e">
        <f>VLOOKUP(D217,epiunits!A$1:C$4000,2,FALSE)</f>
        <v>#N/A</v>
      </c>
      <c r="B217" s="1" t="e">
        <f>VLOOKUP(D217,epiunits!A$1:C$4000,3,FALSE)</f>
        <v>#N/A</v>
      </c>
      <c r="C217" s="1" t="e">
        <f>VLOOKUP(E217,Inspector!A$1:B$50,2,FALSE)</f>
        <v>#N/A</v>
      </c>
      <c r="I217" s="1" t="e">
        <f>VLOOKUP(D217,epiunits!A$1:J$4000,6,FALSE)</f>
        <v>#N/A</v>
      </c>
      <c r="J217" s="1" t="e">
        <f>VLOOKUP(D217,epiunits!A$1:J$4000,7,FALSE)</f>
        <v>#N/A</v>
      </c>
      <c r="K217" s="1" t="e">
        <f>VLOOKUP(D217,epiunits!A$1:J$4000,8,FALSE)</f>
        <v>#N/A</v>
      </c>
      <c r="L217" s="1" t="e">
        <f>VLOOKUP(D217,epiunits!A$1:J$4000,9,FALSE)</f>
        <v>#N/A</v>
      </c>
      <c r="M217" s="1" t="e">
        <f>VLOOKUP(D217,epiunits!A$1:J$4000,10,FALSE)</f>
        <v>#N/A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</row>
    <row r="218" spans="1:51" x14ac:dyDescent="0.25">
      <c r="A218" s="1" t="e">
        <f>VLOOKUP(D218,epiunits!A$1:C$4000,2,FALSE)</f>
        <v>#N/A</v>
      </c>
      <c r="B218" s="1" t="e">
        <f>VLOOKUP(D218,epiunits!A$1:C$4000,3,FALSE)</f>
        <v>#N/A</v>
      </c>
      <c r="C218" s="1" t="e">
        <f>VLOOKUP(E218,Inspector!A$1:B$50,2,FALSE)</f>
        <v>#N/A</v>
      </c>
      <c r="I218" s="1" t="e">
        <f>VLOOKUP(D218,epiunits!A$1:J$4000,6,FALSE)</f>
        <v>#N/A</v>
      </c>
      <c r="J218" s="1" t="e">
        <f>VLOOKUP(D218,epiunits!A$1:J$4000,7,FALSE)</f>
        <v>#N/A</v>
      </c>
      <c r="K218" s="1" t="e">
        <f>VLOOKUP(D218,epiunits!A$1:J$4000,8,FALSE)</f>
        <v>#N/A</v>
      </c>
      <c r="L218" s="1" t="e">
        <f>VLOOKUP(D218,epiunits!A$1:J$4000,9,FALSE)</f>
        <v>#N/A</v>
      </c>
      <c r="M218" s="1" t="e">
        <f>VLOOKUP(D218,epiunits!A$1:J$4000,10,FALSE)</f>
        <v>#N/A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</row>
    <row r="219" spans="1:51" x14ac:dyDescent="0.25">
      <c r="A219" s="1" t="e">
        <f>VLOOKUP(D219,epiunits!A$1:C$4000,2,FALSE)</f>
        <v>#N/A</v>
      </c>
      <c r="B219" s="1" t="e">
        <f>VLOOKUP(D219,epiunits!A$1:C$4000,3,FALSE)</f>
        <v>#N/A</v>
      </c>
      <c r="C219" s="1" t="e">
        <f>VLOOKUP(E219,Inspector!A$1:B$50,2,FALSE)</f>
        <v>#N/A</v>
      </c>
      <c r="I219" s="1" t="e">
        <f>VLOOKUP(D219,epiunits!A$1:J$4000,6,FALSE)</f>
        <v>#N/A</v>
      </c>
      <c r="J219" s="1" t="e">
        <f>VLOOKUP(D219,epiunits!A$1:J$4000,7,FALSE)</f>
        <v>#N/A</v>
      </c>
      <c r="K219" s="1" t="e">
        <f>VLOOKUP(D219,epiunits!A$1:J$4000,8,FALSE)</f>
        <v>#N/A</v>
      </c>
      <c r="L219" s="1" t="e">
        <f>VLOOKUP(D219,epiunits!A$1:J$4000,9,FALSE)</f>
        <v>#N/A</v>
      </c>
      <c r="M219" s="1" t="e">
        <f>VLOOKUP(D219,epiunits!A$1:J$4000,10,FALSE)</f>
        <v>#N/A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</row>
    <row r="220" spans="1:51" x14ac:dyDescent="0.25">
      <c r="A220" s="1" t="e">
        <f>VLOOKUP(D220,epiunits!A$1:C$4000,2,FALSE)</f>
        <v>#N/A</v>
      </c>
      <c r="B220" s="1" t="e">
        <f>VLOOKUP(D220,epiunits!A$1:C$4000,3,FALSE)</f>
        <v>#N/A</v>
      </c>
      <c r="C220" s="1" t="e">
        <f>VLOOKUP(E220,Inspector!A$1:B$50,2,FALSE)</f>
        <v>#N/A</v>
      </c>
      <c r="I220" s="1" t="e">
        <f>VLOOKUP(D220,epiunits!A$1:J$4000,6,FALSE)</f>
        <v>#N/A</v>
      </c>
      <c r="J220" s="1" t="e">
        <f>VLOOKUP(D220,epiunits!A$1:J$4000,7,FALSE)</f>
        <v>#N/A</v>
      </c>
      <c r="K220" s="1" t="e">
        <f>VLOOKUP(D220,epiunits!A$1:J$4000,8,FALSE)</f>
        <v>#N/A</v>
      </c>
      <c r="L220" s="1" t="e">
        <f>VLOOKUP(D220,epiunits!A$1:J$4000,9,FALSE)</f>
        <v>#N/A</v>
      </c>
      <c r="M220" s="1" t="e">
        <f>VLOOKUP(D220,epiunits!A$1:J$4000,10,FALSE)</f>
        <v>#N/A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</row>
    <row r="221" spans="1:51" x14ac:dyDescent="0.25">
      <c r="A221" s="1" t="e">
        <f>VLOOKUP(D221,epiunits!A$1:C$4000,2,FALSE)</f>
        <v>#N/A</v>
      </c>
      <c r="B221" s="1" t="e">
        <f>VLOOKUP(D221,epiunits!A$1:C$4000,3,FALSE)</f>
        <v>#N/A</v>
      </c>
      <c r="C221" s="1" t="e">
        <f>VLOOKUP(E221,Inspector!A$1:B$50,2,FALSE)</f>
        <v>#N/A</v>
      </c>
      <c r="I221" s="1" t="e">
        <f>VLOOKUP(D221,epiunits!A$1:J$4000,6,FALSE)</f>
        <v>#N/A</v>
      </c>
      <c r="J221" s="1" t="e">
        <f>VLOOKUP(D221,epiunits!A$1:J$4000,7,FALSE)</f>
        <v>#N/A</v>
      </c>
      <c r="K221" s="1" t="e">
        <f>VLOOKUP(D221,epiunits!A$1:J$4000,8,FALSE)</f>
        <v>#N/A</v>
      </c>
      <c r="L221" s="1" t="e">
        <f>VLOOKUP(D221,epiunits!A$1:J$4000,9,FALSE)</f>
        <v>#N/A</v>
      </c>
      <c r="M221" s="1" t="e">
        <f>VLOOKUP(D221,epiunits!A$1:J$4000,10,FALSE)</f>
        <v>#N/A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</row>
    <row r="222" spans="1:51" x14ac:dyDescent="0.25">
      <c r="A222" s="1" t="e">
        <f>VLOOKUP(D222,epiunits!A$1:C$4000,2,FALSE)</f>
        <v>#N/A</v>
      </c>
      <c r="B222" s="1" t="e">
        <f>VLOOKUP(D222,epiunits!A$1:C$4000,3,FALSE)</f>
        <v>#N/A</v>
      </c>
      <c r="C222" s="1" t="e">
        <f>VLOOKUP(E222,Inspector!A$1:B$50,2,FALSE)</f>
        <v>#N/A</v>
      </c>
      <c r="I222" s="1" t="e">
        <f>VLOOKUP(D222,epiunits!A$1:J$4000,6,FALSE)</f>
        <v>#N/A</v>
      </c>
      <c r="J222" s="1" t="e">
        <f>VLOOKUP(D222,epiunits!A$1:J$4000,7,FALSE)</f>
        <v>#N/A</v>
      </c>
      <c r="K222" s="1" t="e">
        <f>VLOOKUP(D222,epiunits!A$1:J$4000,8,FALSE)</f>
        <v>#N/A</v>
      </c>
      <c r="L222" s="1" t="e">
        <f>VLOOKUP(D222,epiunits!A$1:J$4000,9,FALSE)</f>
        <v>#N/A</v>
      </c>
      <c r="M222" s="1" t="e">
        <f>VLOOKUP(D222,epiunits!A$1:J$4000,10,FALSE)</f>
        <v>#N/A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</row>
    <row r="223" spans="1:51" x14ac:dyDescent="0.25">
      <c r="A223" s="1" t="e">
        <f>VLOOKUP(D223,epiunits!A$1:C$4000,2,FALSE)</f>
        <v>#N/A</v>
      </c>
      <c r="B223" s="1" t="e">
        <f>VLOOKUP(D223,epiunits!A$1:C$4000,3,FALSE)</f>
        <v>#N/A</v>
      </c>
      <c r="C223" s="1" t="e">
        <f>VLOOKUP(E223,Inspector!A$1:B$50,2,FALSE)</f>
        <v>#N/A</v>
      </c>
      <c r="I223" s="1" t="e">
        <f>VLOOKUP(D223,epiunits!A$1:J$4000,6,FALSE)</f>
        <v>#N/A</v>
      </c>
      <c r="J223" s="1" t="e">
        <f>VLOOKUP(D223,epiunits!A$1:J$4000,7,FALSE)</f>
        <v>#N/A</v>
      </c>
      <c r="K223" s="1" t="e">
        <f>VLOOKUP(D223,epiunits!A$1:J$4000,8,FALSE)</f>
        <v>#N/A</v>
      </c>
      <c r="L223" s="1" t="e">
        <f>VLOOKUP(D223,epiunits!A$1:J$4000,9,FALSE)</f>
        <v>#N/A</v>
      </c>
      <c r="M223" s="1" t="e">
        <f>VLOOKUP(D223,epiunits!A$1:J$4000,10,FALSE)</f>
        <v>#N/A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</row>
    <row r="224" spans="1:51" x14ac:dyDescent="0.25">
      <c r="A224" s="1" t="e">
        <f>VLOOKUP(D224,epiunits!A$1:C$4000,2,FALSE)</f>
        <v>#N/A</v>
      </c>
      <c r="B224" s="1" t="e">
        <f>VLOOKUP(D224,epiunits!A$1:C$4000,3,FALSE)</f>
        <v>#N/A</v>
      </c>
      <c r="C224" s="1" t="e">
        <f>VLOOKUP(E224,Inspector!A$1:B$50,2,FALSE)</f>
        <v>#N/A</v>
      </c>
      <c r="I224" s="1" t="e">
        <f>VLOOKUP(D224,epiunits!A$1:J$4000,6,FALSE)</f>
        <v>#N/A</v>
      </c>
      <c r="J224" s="1" t="e">
        <f>VLOOKUP(D224,epiunits!A$1:J$4000,7,FALSE)</f>
        <v>#N/A</v>
      </c>
      <c r="K224" s="1" t="e">
        <f>VLOOKUP(D224,epiunits!A$1:J$4000,8,FALSE)</f>
        <v>#N/A</v>
      </c>
      <c r="L224" s="1" t="e">
        <f>VLOOKUP(D224,epiunits!A$1:J$4000,9,FALSE)</f>
        <v>#N/A</v>
      </c>
      <c r="M224" s="1" t="e">
        <f>VLOOKUP(D224,epiunits!A$1:J$4000,10,FALSE)</f>
        <v>#N/A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</row>
    <row r="225" spans="1:51" x14ac:dyDescent="0.25">
      <c r="A225" s="1" t="e">
        <f>VLOOKUP(D225,epiunits!A$1:C$4000,2,FALSE)</f>
        <v>#N/A</v>
      </c>
      <c r="B225" s="1" t="e">
        <f>VLOOKUP(D225,epiunits!A$1:C$4000,3,FALSE)</f>
        <v>#N/A</v>
      </c>
      <c r="C225" s="1" t="e">
        <f>VLOOKUP(E225,Inspector!A$1:B$50,2,FALSE)</f>
        <v>#N/A</v>
      </c>
      <c r="I225" s="1" t="e">
        <f>VLOOKUP(D225,epiunits!A$1:J$4000,6,FALSE)</f>
        <v>#N/A</v>
      </c>
      <c r="J225" s="1" t="e">
        <f>VLOOKUP(D225,epiunits!A$1:J$4000,7,FALSE)</f>
        <v>#N/A</v>
      </c>
      <c r="K225" s="1" t="e">
        <f>VLOOKUP(D225,epiunits!A$1:J$4000,8,FALSE)</f>
        <v>#N/A</v>
      </c>
      <c r="L225" s="1" t="e">
        <f>VLOOKUP(D225,epiunits!A$1:J$4000,9,FALSE)</f>
        <v>#N/A</v>
      </c>
      <c r="M225" s="1" t="e">
        <f>VLOOKUP(D225,epiunits!A$1:J$4000,10,FALSE)</f>
        <v>#N/A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</row>
    <row r="226" spans="1:51" x14ac:dyDescent="0.25">
      <c r="A226" s="1" t="e">
        <f>VLOOKUP(D226,epiunits!A$1:C$4000,2,FALSE)</f>
        <v>#N/A</v>
      </c>
      <c r="B226" s="1" t="e">
        <f>VLOOKUP(D226,epiunits!A$1:C$4000,3,FALSE)</f>
        <v>#N/A</v>
      </c>
      <c r="C226" s="1" t="e">
        <f>VLOOKUP(E226,Inspector!A$1:B$50,2,FALSE)</f>
        <v>#N/A</v>
      </c>
      <c r="I226" s="1" t="e">
        <f>VLOOKUP(D226,epiunits!A$1:J$4000,6,FALSE)</f>
        <v>#N/A</v>
      </c>
      <c r="J226" s="1" t="e">
        <f>VLOOKUP(D226,epiunits!A$1:J$4000,7,FALSE)</f>
        <v>#N/A</v>
      </c>
      <c r="K226" s="1" t="e">
        <f>VLOOKUP(D226,epiunits!A$1:J$4000,8,FALSE)</f>
        <v>#N/A</v>
      </c>
      <c r="L226" s="1" t="e">
        <f>VLOOKUP(D226,epiunits!A$1:J$4000,9,FALSE)</f>
        <v>#N/A</v>
      </c>
      <c r="M226" s="1" t="e">
        <f>VLOOKUP(D226,epiunits!A$1:J$4000,10,FALSE)</f>
        <v>#N/A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</row>
    <row r="227" spans="1:51" x14ac:dyDescent="0.25">
      <c r="A227" s="1" t="e">
        <f>VLOOKUP(D227,epiunits!A$1:C$4000,2,FALSE)</f>
        <v>#N/A</v>
      </c>
      <c r="B227" s="1" t="e">
        <f>VLOOKUP(D227,epiunits!A$1:C$4000,3,FALSE)</f>
        <v>#N/A</v>
      </c>
      <c r="C227" s="1" t="e">
        <f>VLOOKUP(E227,Inspector!A$1:B$50,2,FALSE)</f>
        <v>#N/A</v>
      </c>
      <c r="I227" s="1" t="e">
        <f>VLOOKUP(D227,epiunits!A$1:J$4000,6,FALSE)</f>
        <v>#N/A</v>
      </c>
      <c r="J227" s="1" t="e">
        <f>VLOOKUP(D227,epiunits!A$1:J$4000,7,FALSE)</f>
        <v>#N/A</v>
      </c>
      <c r="K227" s="1" t="e">
        <f>VLOOKUP(D227,epiunits!A$1:J$4000,8,FALSE)</f>
        <v>#N/A</v>
      </c>
      <c r="L227" s="1" t="e">
        <f>VLOOKUP(D227,epiunits!A$1:J$4000,9,FALSE)</f>
        <v>#N/A</v>
      </c>
      <c r="M227" s="1" t="e">
        <f>VLOOKUP(D227,epiunits!A$1:J$4000,10,FALSE)</f>
        <v>#N/A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</row>
    <row r="228" spans="1:51" x14ac:dyDescent="0.25">
      <c r="A228" s="1" t="e">
        <f>VLOOKUP(D228,epiunits!A$1:C$4000,2,FALSE)</f>
        <v>#N/A</v>
      </c>
      <c r="B228" s="1" t="e">
        <f>VLOOKUP(D228,epiunits!A$1:C$4000,3,FALSE)</f>
        <v>#N/A</v>
      </c>
      <c r="C228" s="1" t="e">
        <f>VLOOKUP(E228,Inspector!A$1:B$50,2,FALSE)</f>
        <v>#N/A</v>
      </c>
      <c r="I228" s="1" t="e">
        <f>VLOOKUP(D228,epiunits!A$1:J$4000,6,FALSE)</f>
        <v>#N/A</v>
      </c>
      <c r="J228" s="1" t="e">
        <f>VLOOKUP(D228,epiunits!A$1:J$4000,7,FALSE)</f>
        <v>#N/A</v>
      </c>
      <c r="K228" s="1" t="e">
        <f>VLOOKUP(D228,epiunits!A$1:J$4000,8,FALSE)</f>
        <v>#N/A</v>
      </c>
      <c r="L228" s="1" t="e">
        <f>VLOOKUP(D228,epiunits!A$1:J$4000,9,FALSE)</f>
        <v>#N/A</v>
      </c>
      <c r="M228" s="1" t="e">
        <f>VLOOKUP(D228,epiunits!A$1:J$4000,10,FALSE)</f>
        <v>#N/A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</row>
    <row r="229" spans="1:51" x14ac:dyDescent="0.25">
      <c r="A229" s="1" t="e">
        <f>VLOOKUP(D229,epiunits!A$1:C$4000,2,FALSE)</f>
        <v>#N/A</v>
      </c>
      <c r="B229" s="1" t="e">
        <f>VLOOKUP(D229,epiunits!A$1:C$4000,3,FALSE)</f>
        <v>#N/A</v>
      </c>
      <c r="C229" s="1" t="e">
        <f>VLOOKUP(E229,Inspector!A$1:B$50,2,FALSE)</f>
        <v>#N/A</v>
      </c>
      <c r="I229" s="1" t="e">
        <f>VLOOKUP(D229,epiunits!A$1:J$4000,6,FALSE)</f>
        <v>#N/A</v>
      </c>
      <c r="J229" s="1" t="e">
        <f>VLOOKUP(D229,epiunits!A$1:J$4000,7,FALSE)</f>
        <v>#N/A</v>
      </c>
      <c r="K229" s="1" t="e">
        <f>VLOOKUP(D229,epiunits!A$1:J$4000,8,FALSE)</f>
        <v>#N/A</v>
      </c>
      <c r="L229" s="1" t="e">
        <f>VLOOKUP(D229,epiunits!A$1:J$4000,9,FALSE)</f>
        <v>#N/A</v>
      </c>
      <c r="M229" s="1" t="e">
        <f>VLOOKUP(D229,epiunits!A$1:J$4000,10,FALSE)</f>
        <v>#N/A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</row>
    <row r="230" spans="1:51" x14ac:dyDescent="0.25">
      <c r="A230" s="1" t="e">
        <f>VLOOKUP(D230,epiunits!A$1:C$4000,2,FALSE)</f>
        <v>#N/A</v>
      </c>
      <c r="B230" s="1" t="e">
        <f>VLOOKUP(D230,epiunits!A$1:C$4000,3,FALSE)</f>
        <v>#N/A</v>
      </c>
      <c r="C230" s="1" t="e">
        <f>VLOOKUP(E230,Inspector!A$1:B$50,2,FALSE)</f>
        <v>#N/A</v>
      </c>
      <c r="I230" s="1" t="e">
        <f>VLOOKUP(D230,epiunits!A$1:J$4000,6,FALSE)</f>
        <v>#N/A</v>
      </c>
      <c r="J230" s="1" t="e">
        <f>VLOOKUP(D230,epiunits!A$1:J$4000,7,FALSE)</f>
        <v>#N/A</v>
      </c>
      <c r="K230" s="1" t="e">
        <f>VLOOKUP(D230,epiunits!A$1:J$4000,8,FALSE)</f>
        <v>#N/A</v>
      </c>
      <c r="L230" s="1" t="e">
        <f>VLOOKUP(D230,epiunits!A$1:J$4000,9,FALSE)</f>
        <v>#N/A</v>
      </c>
      <c r="M230" s="1" t="e">
        <f>VLOOKUP(D230,epiunits!A$1:J$4000,10,FALSE)</f>
        <v>#N/A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</row>
    <row r="231" spans="1:51" x14ac:dyDescent="0.25">
      <c r="A231" s="1" t="e">
        <f>VLOOKUP(D231,epiunits!A$1:C$4000,2,FALSE)</f>
        <v>#N/A</v>
      </c>
      <c r="B231" s="1" t="e">
        <f>VLOOKUP(D231,epiunits!A$1:C$4000,3,FALSE)</f>
        <v>#N/A</v>
      </c>
      <c r="C231" s="1" t="e">
        <f>VLOOKUP(E231,Inspector!A$1:B$50,2,FALSE)</f>
        <v>#N/A</v>
      </c>
      <c r="I231" s="1" t="e">
        <f>VLOOKUP(D231,epiunits!A$1:J$4000,6,FALSE)</f>
        <v>#N/A</v>
      </c>
      <c r="J231" s="1" t="e">
        <f>VLOOKUP(D231,epiunits!A$1:J$4000,7,FALSE)</f>
        <v>#N/A</v>
      </c>
      <c r="K231" s="1" t="e">
        <f>VLOOKUP(D231,epiunits!A$1:J$4000,8,FALSE)</f>
        <v>#N/A</v>
      </c>
      <c r="L231" s="1" t="e">
        <f>VLOOKUP(D231,epiunits!A$1:J$4000,9,FALSE)</f>
        <v>#N/A</v>
      </c>
      <c r="M231" s="1" t="e">
        <f>VLOOKUP(D231,epiunits!A$1:J$4000,10,FALSE)</f>
        <v>#N/A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</row>
    <row r="232" spans="1:51" x14ac:dyDescent="0.25">
      <c r="A232" s="1" t="e">
        <f>VLOOKUP(D232,epiunits!A$1:C$4000,2,FALSE)</f>
        <v>#N/A</v>
      </c>
      <c r="B232" s="1" t="e">
        <f>VLOOKUP(D232,epiunits!A$1:C$4000,3,FALSE)</f>
        <v>#N/A</v>
      </c>
      <c r="C232" s="1" t="e">
        <f>VLOOKUP(E232,Inspector!A$1:B$50,2,FALSE)</f>
        <v>#N/A</v>
      </c>
      <c r="I232" s="1" t="e">
        <f>VLOOKUP(D232,epiunits!A$1:J$4000,6,FALSE)</f>
        <v>#N/A</v>
      </c>
      <c r="J232" s="1" t="e">
        <f>VLOOKUP(D232,epiunits!A$1:J$4000,7,FALSE)</f>
        <v>#N/A</v>
      </c>
      <c r="K232" s="1" t="e">
        <f>VLOOKUP(D232,epiunits!A$1:J$4000,8,FALSE)</f>
        <v>#N/A</v>
      </c>
      <c r="L232" s="1" t="e">
        <f>VLOOKUP(D232,epiunits!A$1:J$4000,9,FALSE)</f>
        <v>#N/A</v>
      </c>
      <c r="M232" s="1" t="e">
        <f>VLOOKUP(D232,epiunits!A$1:J$4000,10,FALSE)</f>
        <v>#N/A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</row>
    <row r="233" spans="1:51" x14ac:dyDescent="0.25">
      <c r="A233" s="1" t="e">
        <f>VLOOKUP(D233,epiunits!A$1:C$4000,2,FALSE)</f>
        <v>#N/A</v>
      </c>
      <c r="B233" s="1" t="e">
        <f>VLOOKUP(D233,epiunits!A$1:C$4000,3,FALSE)</f>
        <v>#N/A</v>
      </c>
      <c r="C233" s="1" t="e">
        <f>VLOOKUP(E233,Inspector!A$1:B$50,2,FALSE)</f>
        <v>#N/A</v>
      </c>
      <c r="I233" s="1" t="e">
        <f>VLOOKUP(D233,epiunits!A$1:J$4000,6,FALSE)</f>
        <v>#N/A</v>
      </c>
      <c r="J233" s="1" t="e">
        <f>VLOOKUP(D233,epiunits!A$1:J$4000,7,FALSE)</f>
        <v>#N/A</v>
      </c>
      <c r="K233" s="1" t="e">
        <f>VLOOKUP(D233,epiunits!A$1:J$4000,8,FALSE)</f>
        <v>#N/A</v>
      </c>
      <c r="L233" s="1" t="e">
        <f>VLOOKUP(D233,epiunits!A$1:J$4000,9,FALSE)</f>
        <v>#N/A</v>
      </c>
      <c r="M233" s="1" t="e">
        <f>VLOOKUP(D233,epiunits!A$1:J$4000,10,FALSE)</f>
        <v>#N/A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</row>
    <row r="234" spans="1:51" x14ac:dyDescent="0.25">
      <c r="A234" s="1" t="e">
        <f>VLOOKUP(D234,epiunits!A$1:C$4000,2,FALSE)</f>
        <v>#N/A</v>
      </c>
      <c r="B234" s="1" t="e">
        <f>VLOOKUP(D234,epiunits!A$1:C$4000,3,FALSE)</f>
        <v>#N/A</v>
      </c>
      <c r="C234" s="1" t="e">
        <f>VLOOKUP(E234,Inspector!A$1:B$50,2,FALSE)</f>
        <v>#N/A</v>
      </c>
      <c r="I234" s="1" t="e">
        <f>VLOOKUP(D234,epiunits!A$1:J$4000,6,FALSE)</f>
        <v>#N/A</v>
      </c>
      <c r="J234" s="1" t="e">
        <f>VLOOKUP(D234,epiunits!A$1:J$4000,7,FALSE)</f>
        <v>#N/A</v>
      </c>
      <c r="K234" s="1" t="e">
        <f>VLOOKUP(D234,epiunits!A$1:J$4000,8,FALSE)</f>
        <v>#N/A</v>
      </c>
      <c r="L234" s="1" t="e">
        <f>VLOOKUP(D234,epiunits!A$1:J$4000,9,FALSE)</f>
        <v>#N/A</v>
      </c>
      <c r="M234" s="1" t="e">
        <f>VLOOKUP(D234,epiunits!A$1:J$4000,10,FALSE)</f>
        <v>#N/A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</row>
    <row r="235" spans="1:51" x14ac:dyDescent="0.25">
      <c r="A235" s="1" t="e">
        <f>VLOOKUP(D235,epiunits!A$1:C$4000,2,FALSE)</f>
        <v>#N/A</v>
      </c>
      <c r="B235" s="1" t="e">
        <f>VLOOKUP(D235,epiunits!A$1:C$4000,3,FALSE)</f>
        <v>#N/A</v>
      </c>
      <c r="C235" s="1" t="e">
        <f>VLOOKUP(E235,Inspector!A$1:B$50,2,FALSE)</f>
        <v>#N/A</v>
      </c>
      <c r="I235" s="1" t="e">
        <f>VLOOKUP(D235,epiunits!A$1:J$4000,6,FALSE)</f>
        <v>#N/A</v>
      </c>
      <c r="J235" s="1" t="e">
        <f>VLOOKUP(D235,epiunits!A$1:J$4000,7,FALSE)</f>
        <v>#N/A</v>
      </c>
      <c r="K235" s="1" t="e">
        <f>VLOOKUP(D235,epiunits!A$1:J$4000,8,FALSE)</f>
        <v>#N/A</v>
      </c>
      <c r="L235" s="1" t="e">
        <f>VLOOKUP(D235,epiunits!A$1:J$4000,9,FALSE)</f>
        <v>#N/A</v>
      </c>
      <c r="M235" s="1" t="e">
        <f>VLOOKUP(D235,epiunits!A$1:J$4000,10,FALSE)</f>
        <v>#N/A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</row>
    <row r="236" spans="1:51" x14ac:dyDescent="0.25">
      <c r="A236" s="1" t="e">
        <f>VLOOKUP(D236,epiunits!A$1:C$4000,2,FALSE)</f>
        <v>#N/A</v>
      </c>
      <c r="B236" s="1" t="e">
        <f>VLOOKUP(D236,epiunits!A$1:C$4000,3,FALSE)</f>
        <v>#N/A</v>
      </c>
      <c r="C236" s="1" t="e">
        <f>VLOOKUP(E236,Inspector!A$1:B$50,2,FALSE)</f>
        <v>#N/A</v>
      </c>
      <c r="I236" s="1" t="e">
        <f>VLOOKUP(D236,epiunits!A$1:J$4000,6,FALSE)</f>
        <v>#N/A</v>
      </c>
      <c r="J236" s="1" t="e">
        <f>VLOOKUP(D236,epiunits!A$1:J$4000,7,FALSE)</f>
        <v>#N/A</v>
      </c>
      <c r="K236" s="1" t="e">
        <f>VLOOKUP(D236,epiunits!A$1:J$4000,8,FALSE)</f>
        <v>#N/A</v>
      </c>
      <c r="L236" s="1" t="e">
        <f>VLOOKUP(D236,epiunits!A$1:J$4000,9,FALSE)</f>
        <v>#N/A</v>
      </c>
      <c r="M236" s="1" t="e">
        <f>VLOOKUP(D236,epiunits!A$1:J$4000,10,FALSE)</f>
        <v>#N/A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</row>
    <row r="237" spans="1:51" x14ac:dyDescent="0.25">
      <c r="A237" s="1" t="e">
        <f>VLOOKUP(D237,epiunits!A$1:C$4000,2,FALSE)</f>
        <v>#N/A</v>
      </c>
      <c r="B237" s="1" t="e">
        <f>VLOOKUP(D237,epiunits!A$1:C$4000,3,FALSE)</f>
        <v>#N/A</v>
      </c>
      <c r="C237" s="1" t="e">
        <f>VLOOKUP(E237,Inspector!A$1:B$50,2,FALSE)</f>
        <v>#N/A</v>
      </c>
      <c r="I237" s="1" t="e">
        <f>VLOOKUP(D237,epiunits!A$1:J$4000,6,FALSE)</f>
        <v>#N/A</v>
      </c>
      <c r="J237" s="1" t="e">
        <f>VLOOKUP(D237,epiunits!A$1:J$4000,7,FALSE)</f>
        <v>#N/A</v>
      </c>
      <c r="K237" s="1" t="e">
        <f>VLOOKUP(D237,epiunits!A$1:J$4000,8,FALSE)</f>
        <v>#N/A</v>
      </c>
      <c r="L237" s="1" t="e">
        <f>VLOOKUP(D237,epiunits!A$1:J$4000,9,FALSE)</f>
        <v>#N/A</v>
      </c>
      <c r="M237" s="1" t="e">
        <f>VLOOKUP(D237,epiunits!A$1:J$4000,10,FALSE)</f>
        <v>#N/A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</row>
    <row r="238" spans="1:51" x14ac:dyDescent="0.25">
      <c r="A238" s="1" t="e">
        <f>VLOOKUP(D238,epiunits!A$1:C$4000,2,FALSE)</f>
        <v>#N/A</v>
      </c>
      <c r="B238" s="1" t="e">
        <f>VLOOKUP(D238,epiunits!A$1:C$4000,3,FALSE)</f>
        <v>#N/A</v>
      </c>
      <c r="C238" s="1" t="e">
        <f>VLOOKUP(E238,Inspector!A$1:B$50,2,FALSE)</f>
        <v>#N/A</v>
      </c>
      <c r="I238" s="1" t="e">
        <f>VLOOKUP(D238,epiunits!A$1:J$4000,6,FALSE)</f>
        <v>#N/A</v>
      </c>
      <c r="J238" s="1" t="e">
        <f>VLOOKUP(D238,epiunits!A$1:J$4000,7,FALSE)</f>
        <v>#N/A</v>
      </c>
      <c r="K238" s="1" t="e">
        <f>VLOOKUP(D238,epiunits!A$1:J$4000,8,FALSE)</f>
        <v>#N/A</v>
      </c>
      <c r="L238" s="1" t="e">
        <f>VLOOKUP(D238,epiunits!A$1:J$4000,9,FALSE)</f>
        <v>#N/A</v>
      </c>
      <c r="M238" s="1" t="e">
        <f>VLOOKUP(D238,epiunits!A$1:J$4000,10,FALSE)</f>
        <v>#N/A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</row>
    <row r="239" spans="1:51" x14ac:dyDescent="0.25">
      <c r="A239" s="1" t="e">
        <f>VLOOKUP(D239,epiunits!A$1:C$4000,2,FALSE)</f>
        <v>#N/A</v>
      </c>
      <c r="B239" s="1" t="e">
        <f>VLOOKUP(D239,epiunits!A$1:C$4000,3,FALSE)</f>
        <v>#N/A</v>
      </c>
      <c r="C239" s="1" t="e">
        <f>VLOOKUP(E239,Inspector!A$1:B$50,2,FALSE)</f>
        <v>#N/A</v>
      </c>
      <c r="I239" s="1" t="e">
        <f>VLOOKUP(D239,epiunits!A$1:J$4000,6,FALSE)</f>
        <v>#N/A</v>
      </c>
      <c r="J239" s="1" t="e">
        <f>VLOOKUP(D239,epiunits!A$1:J$4000,7,FALSE)</f>
        <v>#N/A</v>
      </c>
      <c r="K239" s="1" t="e">
        <f>VLOOKUP(D239,epiunits!A$1:J$4000,8,FALSE)</f>
        <v>#N/A</v>
      </c>
      <c r="L239" s="1" t="e">
        <f>VLOOKUP(D239,epiunits!A$1:J$4000,9,FALSE)</f>
        <v>#N/A</v>
      </c>
      <c r="M239" s="1" t="e">
        <f>VLOOKUP(D239,epiunits!A$1:J$4000,10,FALSE)</f>
        <v>#N/A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</row>
    <row r="240" spans="1:51" x14ac:dyDescent="0.25">
      <c r="A240" s="1" t="e">
        <f>VLOOKUP(D240,epiunits!A$1:C$4000,2,FALSE)</f>
        <v>#N/A</v>
      </c>
      <c r="B240" s="1" t="e">
        <f>VLOOKUP(D240,epiunits!A$1:C$4000,3,FALSE)</f>
        <v>#N/A</v>
      </c>
      <c r="C240" s="1" t="e">
        <f>VLOOKUP(E240,Inspector!A$1:B$50,2,FALSE)</f>
        <v>#N/A</v>
      </c>
      <c r="I240" s="1" t="e">
        <f>VLOOKUP(D240,epiunits!A$1:J$4000,6,FALSE)</f>
        <v>#N/A</v>
      </c>
      <c r="J240" s="1" t="e">
        <f>VLOOKUP(D240,epiunits!A$1:J$4000,7,FALSE)</f>
        <v>#N/A</v>
      </c>
      <c r="K240" s="1" t="e">
        <f>VLOOKUP(D240,epiunits!A$1:J$4000,8,FALSE)</f>
        <v>#N/A</v>
      </c>
      <c r="L240" s="1" t="e">
        <f>VLOOKUP(D240,epiunits!A$1:J$4000,9,FALSE)</f>
        <v>#N/A</v>
      </c>
      <c r="M240" s="1" t="e">
        <f>VLOOKUP(D240,epiunits!A$1:J$4000,10,FALSE)</f>
        <v>#N/A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</row>
    <row r="241" spans="1:51" x14ac:dyDescent="0.25">
      <c r="A241" s="1" t="e">
        <f>VLOOKUP(D241,epiunits!A$1:C$4000,2,FALSE)</f>
        <v>#N/A</v>
      </c>
      <c r="B241" s="1" t="e">
        <f>VLOOKUP(D241,epiunits!A$1:C$4000,3,FALSE)</f>
        <v>#N/A</v>
      </c>
      <c r="C241" s="1" t="e">
        <f>VLOOKUP(E241,Inspector!A$1:B$50,2,FALSE)</f>
        <v>#N/A</v>
      </c>
      <c r="I241" s="1" t="e">
        <f>VLOOKUP(D241,epiunits!A$1:J$4000,6,FALSE)</f>
        <v>#N/A</v>
      </c>
      <c r="J241" s="1" t="e">
        <f>VLOOKUP(D241,epiunits!A$1:J$4000,7,FALSE)</f>
        <v>#N/A</v>
      </c>
      <c r="K241" s="1" t="e">
        <f>VLOOKUP(D241,epiunits!A$1:J$4000,8,FALSE)</f>
        <v>#N/A</v>
      </c>
      <c r="L241" s="1" t="e">
        <f>VLOOKUP(D241,epiunits!A$1:J$4000,9,FALSE)</f>
        <v>#N/A</v>
      </c>
      <c r="M241" s="1" t="e">
        <f>VLOOKUP(D241,epiunits!A$1:J$4000,10,FALSE)</f>
        <v>#N/A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</row>
    <row r="242" spans="1:51" x14ac:dyDescent="0.25">
      <c r="A242" s="1" t="e">
        <f>VLOOKUP(D242,epiunits!A$1:C$4000,2,FALSE)</f>
        <v>#N/A</v>
      </c>
      <c r="B242" s="1" t="e">
        <f>VLOOKUP(D242,epiunits!A$1:C$4000,3,FALSE)</f>
        <v>#N/A</v>
      </c>
      <c r="C242" s="1" t="e">
        <f>VLOOKUP(E242,Inspector!A$1:B$50,2,FALSE)</f>
        <v>#N/A</v>
      </c>
      <c r="I242" s="1" t="e">
        <f>VLOOKUP(D242,epiunits!A$1:J$4000,6,FALSE)</f>
        <v>#N/A</v>
      </c>
      <c r="J242" s="1" t="e">
        <f>VLOOKUP(D242,epiunits!A$1:J$4000,7,FALSE)</f>
        <v>#N/A</v>
      </c>
      <c r="K242" s="1" t="e">
        <f>VLOOKUP(D242,epiunits!A$1:J$4000,8,FALSE)</f>
        <v>#N/A</v>
      </c>
      <c r="L242" s="1" t="e">
        <f>VLOOKUP(D242,epiunits!A$1:J$4000,9,FALSE)</f>
        <v>#N/A</v>
      </c>
      <c r="M242" s="1" t="e">
        <f>VLOOKUP(D242,epiunits!A$1:J$4000,10,FALSE)</f>
        <v>#N/A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</row>
    <row r="243" spans="1:51" x14ac:dyDescent="0.25">
      <c r="A243" s="1" t="e">
        <f>VLOOKUP(D243,epiunits!A$1:C$4000,2,FALSE)</f>
        <v>#N/A</v>
      </c>
      <c r="B243" s="1" t="e">
        <f>VLOOKUP(D243,epiunits!A$1:C$4000,3,FALSE)</f>
        <v>#N/A</v>
      </c>
      <c r="C243" s="1" t="e">
        <f>VLOOKUP(E243,Inspector!A$1:B$50,2,FALSE)</f>
        <v>#N/A</v>
      </c>
      <c r="I243" s="1" t="e">
        <f>VLOOKUP(D243,epiunits!A$1:J$4000,6,FALSE)</f>
        <v>#N/A</v>
      </c>
      <c r="J243" s="1" t="e">
        <f>VLOOKUP(D243,epiunits!A$1:J$4000,7,FALSE)</f>
        <v>#N/A</v>
      </c>
      <c r="K243" s="1" t="e">
        <f>VLOOKUP(D243,epiunits!A$1:J$4000,8,FALSE)</f>
        <v>#N/A</v>
      </c>
      <c r="L243" s="1" t="e">
        <f>VLOOKUP(D243,epiunits!A$1:J$4000,9,FALSE)</f>
        <v>#N/A</v>
      </c>
      <c r="M243" s="1" t="e">
        <f>VLOOKUP(D243,epiunits!A$1:J$4000,10,FALSE)</f>
        <v>#N/A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</row>
    <row r="244" spans="1:51" x14ac:dyDescent="0.25">
      <c r="A244" s="1" t="e">
        <f>VLOOKUP(D244,epiunits!A$1:C$4000,2,FALSE)</f>
        <v>#N/A</v>
      </c>
      <c r="B244" s="1" t="e">
        <f>VLOOKUP(D244,epiunits!A$1:C$4000,3,FALSE)</f>
        <v>#N/A</v>
      </c>
      <c r="C244" s="1" t="e">
        <f>VLOOKUP(E244,Inspector!A$1:B$50,2,FALSE)</f>
        <v>#N/A</v>
      </c>
      <c r="I244" s="1" t="e">
        <f>VLOOKUP(D244,epiunits!A$1:J$4000,6,FALSE)</f>
        <v>#N/A</v>
      </c>
      <c r="J244" s="1" t="e">
        <f>VLOOKUP(D244,epiunits!A$1:J$4000,7,FALSE)</f>
        <v>#N/A</v>
      </c>
      <c r="K244" s="1" t="e">
        <f>VLOOKUP(D244,epiunits!A$1:J$4000,8,FALSE)</f>
        <v>#N/A</v>
      </c>
      <c r="L244" s="1" t="e">
        <f>VLOOKUP(D244,epiunits!A$1:J$4000,9,FALSE)</f>
        <v>#N/A</v>
      </c>
      <c r="M244" s="1" t="e">
        <f>VLOOKUP(D244,epiunits!A$1:J$4000,10,FALSE)</f>
        <v>#N/A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</row>
    <row r="245" spans="1:51" x14ac:dyDescent="0.25">
      <c r="A245" s="1" t="e">
        <f>VLOOKUP(D245,epiunits!A$1:C$4000,2,FALSE)</f>
        <v>#N/A</v>
      </c>
      <c r="B245" s="1" t="e">
        <f>VLOOKUP(D245,epiunits!A$1:C$4000,3,FALSE)</f>
        <v>#N/A</v>
      </c>
      <c r="C245" s="1" t="e">
        <f>VLOOKUP(E245,Inspector!A$1:B$50,2,FALSE)</f>
        <v>#N/A</v>
      </c>
      <c r="I245" s="1" t="e">
        <f>VLOOKUP(D245,epiunits!A$1:J$4000,6,FALSE)</f>
        <v>#N/A</v>
      </c>
      <c r="J245" s="1" t="e">
        <f>VLOOKUP(D245,epiunits!A$1:J$4000,7,FALSE)</f>
        <v>#N/A</v>
      </c>
      <c r="K245" s="1" t="e">
        <f>VLOOKUP(D245,epiunits!A$1:J$4000,8,FALSE)</f>
        <v>#N/A</v>
      </c>
      <c r="L245" s="1" t="e">
        <f>VLOOKUP(D245,epiunits!A$1:J$4000,9,FALSE)</f>
        <v>#N/A</v>
      </c>
      <c r="M245" s="1" t="e">
        <f>VLOOKUP(D245,epiunits!A$1:J$4000,10,FALSE)</f>
        <v>#N/A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</row>
    <row r="246" spans="1:51" x14ac:dyDescent="0.25">
      <c r="A246" s="1" t="e">
        <f>VLOOKUP(D246,epiunits!A$1:C$4000,2,FALSE)</f>
        <v>#N/A</v>
      </c>
      <c r="B246" s="1" t="e">
        <f>VLOOKUP(D246,epiunits!A$1:C$4000,3,FALSE)</f>
        <v>#N/A</v>
      </c>
      <c r="C246" s="1" t="e">
        <f>VLOOKUP(E246,Inspector!A$1:B$50,2,FALSE)</f>
        <v>#N/A</v>
      </c>
      <c r="I246" s="1" t="e">
        <f>VLOOKUP(D246,epiunits!A$1:J$4000,6,FALSE)</f>
        <v>#N/A</v>
      </c>
      <c r="J246" s="1" t="e">
        <f>VLOOKUP(D246,epiunits!A$1:J$4000,7,FALSE)</f>
        <v>#N/A</v>
      </c>
      <c r="K246" s="1" t="e">
        <f>VLOOKUP(D246,epiunits!A$1:J$4000,8,FALSE)</f>
        <v>#N/A</v>
      </c>
      <c r="L246" s="1" t="e">
        <f>VLOOKUP(D246,epiunits!A$1:J$4000,9,FALSE)</f>
        <v>#N/A</v>
      </c>
      <c r="M246" s="1" t="e">
        <f>VLOOKUP(D246,epiunits!A$1:J$4000,10,FALSE)</f>
        <v>#N/A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</row>
    <row r="247" spans="1:51" x14ac:dyDescent="0.25">
      <c r="A247" s="1" t="e">
        <f>VLOOKUP(D247,epiunits!A$1:C$4000,2,FALSE)</f>
        <v>#N/A</v>
      </c>
      <c r="B247" s="1" t="e">
        <f>VLOOKUP(D247,epiunits!A$1:C$4000,3,FALSE)</f>
        <v>#N/A</v>
      </c>
      <c r="C247" s="1" t="e">
        <f>VLOOKUP(E247,Inspector!A$1:B$50,2,FALSE)</f>
        <v>#N/A</v>
      </c>
      <c r="I247" s="1" t="e">
        <f>VLOOKUP(D247,epiunits!A$1:J$4000,6,FALSE)</f>
        <v>#N/A</v>
      </c>
      <c r="J247" s="1" t="e">
        <f>VLOOKUP(D247,epiunits!A$1:J$4000,7,FALSE)</f>
        <v>#N/A</v>
      </c>
      <c r="K247" s="1" t="e">
        <f>VLOOKUP(D247,epiunits!A$1:J$4000,8,FALSE)</f>
        <v>#N/A</v>
      </c>
      <c r="L247" s="1" t="e">
        <f>VLOOKUP(D247,epiunits!A$1:J$4000,9,FALSE)</f>
        <v>#N/A</v>
      </c>
      <c r="M247" s="1" t="e">
        <f>VLOOKUP(D247,epiunits!A$1:J$4000,10,FALSE)</f>
        <v>#N/A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</row>
    <row r="248" spans="1:51" x14ac:dyDescent="0.25">
      <c r="A248" s="1" t="e">
        <f>VLOOKUP(D248,epiunits!A$1:C$4000,2,FALSE)</f>
        <v>#N/A</v>
      </c>
      <c r="B248" s="1" t="e">
        <f>VLOOKUP(D248,epiunits!A$1:C$4000,3,FALSE)</f>
        <v>#N/A</v>
      </c>
      <c r="C248" s="1" t="e">
        <f>VLOOKUP(E248,Inspector!A$1:B$50,2,FALSE)</f>
        <v>#N/A</v>
      </c>
      <c r="I248" s="1" t="e">
        <f>VLOOKUP(D248,epiunits!A$1:J$4000,6,FALSE)</f>
        <v>#N/A</v>
      </c>
      <c r="J248" s="1" t="e">
        <f>VLOOKUP(D248,epiunits!A$1:J$4000,7,FALSE)</f>
        <v>#N/A</v>
      </c>
      <c r="K248" s="1" t="e">
        <f>VLOOKUP(D248,epiunits!A$1:J$4000,8,FALSE)</f>
        <v>#N/A</v>
      </c>
      <c r="L248" s="1" t="e">
        <f>VLOOKUP(D248,epiunits!A$1:J$4000,9,FALSE)</f>
        <v>#N/A</v>
      </c>
      <c r="M248" s="1" t="e">
        <f>VLOOKUP(D248,epiunits!A$1:J$4000,10,FALSE)</f>
        <v>#N/A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</row>
    <row r="249" spans="1:51" x14ac:dyDescent="0.25">
      <c r="A249" s="1" t="e">
        <f>VLOOKUP(D249,epiunits!A$1:C$4000,2,FALSE)</f>
        <v>#N/A</v>
      </c>
      <c r="B249" s="1" t="e">
        <f>VLOOKUP(D249,epiunits!A$1:C$4000,3,FALSE)</f>
        <v>#N/A</v>
      </c>
      <c r="C249" s="1" t="e">
        <f>VLOOKUP(E249,Inspector!A$1:B$50,2,FALSE)</f>
        <v>#N/A</v>
      </c>
      <c r="I249" s="1" t="e">
        <f>VLOOKUP(D249,epiunits!A$1:J$4000,6,FALSE)</f>
        <v>#N/A</v>
      </c>
      <c r="J249" s="1" t="e">
        <f>VLOOKUP(D249,epiunits!A$1:J$4000,7,FALSE)</f>
        <v>#N/A</v>
      </c>
      <c r="K249" s="1" t="e">
        <f>VLOOKUP(D249,epiunits!A$1:J$4000,8,FALSE)</f>
        <v>#N/A</v>
      </c>
      <c r="L249" s="1" t="e">
        <f>VLOOKUP(D249,epiunits!A$1:J$4000,9,FALSE)</f>
        <v>#N/A</v>
      </c>
      <c r="M249" s="1" t="e">
        <f>VLOOKUP(D249,epiunits!A$1:J$4000,10,FALSE)</f>
        <v>#N/A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</row>
    <row r="250" spans="1:51" x14ac:dyDescent="0.25">
      <c r="A250" s="1" t="e">
        <f>VLOOKUP(D250,epiunits!A$1:C$4000,2,FALSE)</f>
        <v>#N/A</v>
      </c>
      <c r="B250" s="1" t="e">
        <f>VLOOKUP(D250,epiunits!A$1:C$4000,3,FALSE)</f>
        <v>#N/A</v>
      </c>
      <c r="C250" s="1" t="e">
        <f>VLOOKUP(E250,Inspector!A$1:B$50,2,FALSE)</f>
        <v>#N/A</v>
      </c>
      <c r="I250" s="1" t="e">
        <f>VLOOKUP(D250,epiunits!A$1:J$4000,6,FALSE)</f>
        <v>#N/A</v>
      </c>
      <c r="J250" s="1" t="e">
        <f>VLOOKUP(D250,epiunits!A$1:J$4000,7,FALSE)</f>
        <v>#N/A</v>
      </c>
      <c r="K250" s="1" t="e">
        <f>VLOOKUP(D250,epiunits!A$1:J$4000,8,FALSE)</f>
        <v>#N/A</v>
      </c>
      <c r="L250" s="1" t="e">
        <f>VLOOKUP(D250,epiunits!A$1:J$4000,9,FALSE)</f>
        <v>#N/A</v>
      </c>
      <c r="M250" s="1" t="e">
        <f>VLOOKUP(D250,epiunits!A$1:J$4000,10,FALSE)</f>
        <v>#N/A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</row>
    <row r="251" spans="1:51" x14ac:dyDescent="0.25">
      <c r="A251" s="1" t="e">
        <f>VLOOKUP(D251,epiunits!A$1:C$4000,2,FALSE)</f>
        <v>#N/A</v>
      </c>
      <c r="B251" s="1" t="e">
        <f>VLOOKUP(D251,epiunits!A$1:C$4000,3,FALSE)</f>
        <v>#N/A</v>
      </c>
      <c r="C251" s="1" t="e">
        <f>VLOOKUP(E251,Inspector!A$1:B$50,2,FALSE)</f>
        <v>#N/A</v>
      </c>
      <c r="I251" s="1" t="e">
        <f>VLOOKUP(D251,epiunits!A$1:J$4000,6,FALSE)</f>
        <v>#N/A</v>
      </c>
      <c r="J251" s="1" t="e">
        <f>VLOOKUP(D251,epiunits!A$1:J$4000,7,FALSE)</f>
        <v>#N/A</v>
      </c>
      <c r="K251" s="1" t="e">
        <f>VLOOKUP(D251,epiunits!A$1:J$4000,8,FALSE)</f>
        <v>#N/A</v>
      </c>
      <c r="L251" s="1" t="e">
        <f>VLOOKUP(D251,epiunits!A$1:J$4000,9,FALSE)</f>
        <v>#N/A</v>
      </c>
      <c r="M251" s="1" t="e">
        <f>VLOOKUP(D251,epiunits!A$1:J$4000,10,FALSE)</f>
        <v>#N/A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</row>
    <row r="252" spans="1:51" x14ac:dyDescent="0.25">
      <c r="A252" s="1" t="e">
        <f>VLOOKUP(D252,epiunits!A$1:C$4000,2,FALSE)</f>
        <v>#N/A</v>
      </c>
      <c r="B252" s="1" t="e">
        <f>VLOOKUP(D252,epiunits!A$1:C$4000,3,FALSE)</f>
        <v>#N/A</v>
      </c>
      <c r="C252" s="1" t="e">
        <f>VLOOKUP(E252,Inspector!A$1:B$50,2,FALSE)</f>
        <v>#N/A</v>
      </c>
      <c r="I252" s="1" t="e">
        <f>VLOOKUP(D252,epiunits!A$1:J$4000,6,FALSE)</f>
        <v>#N/A</v>
      </c>
      <c r="J252" s="1" t="e">
        <f>VLOOKUP(D252,epiunits!A$1:J$4000,7,FALSE)</f>
        <v>#N/A</v>
      </c>
      <c r="K252" s="1" t="e">
        <f>VLOOKUP(D252,epiunits!A$1:J$4000,8,FALSE)</f>
        <v>#N/A</v>
      </c>
      <c r="L252" s="1" t="e">
        <f>VLOOKUP(D252,epiunits!A$1:J$4000,9,FALSE)</f>
        <v>#N/A</v>
      </c>
      <c r="M252" s="1" t="e">
        <f>VLOOKUP(D252,epiunits!A$1:J$4000,10,FALSE)</f>
        <v>#N/A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</row>
    <row r="253" spans="1:51" x14ac:dyDescent="0.25">
      <c r="A253" s="1" t="e">
        <f>VLOOKUP(D253,epiunits!A$1:C$4000,2,FALSE)</f>
        <v>#N/A</v>
      </c>
      <c r="B253" s="1" t="e">
        <f>VLOOKUP(D253,epiunits!A$1:C$4000,3,FALSE)</f>
        <v>#N/A</v>
      </c>
      <c r="C253" s="1" t="e">
        <f>VLOOKUP(E253,Inspector!A$1:B$50,2,FALSE)</f>
        <v>#N/A</v>
      </c>
      <c r="I253" s="1" t="e">
        <f>VLOOKUP(D253,epiunits!A$1:J$4000,6,FALSE)</f>
        <v>#N/A</v>
      </c>
      <c r="J253" s="1" t="e">
        <f>VLOOKUP(D253,epiunits!A$1:J$4000,7,FALSE)</f>
        <v>#N/A</v>
      </c>
      <c r="K253" s="1" t="e">
        <f>VLOOKUP(D253,epiunits!A$1:J$4000,8,FALSE)</f>
        <v>#N/A</v>
      </c>
      <c r="L253" s="1" t="e">
        <f>VLOOKUP(D253,epiunits!A$1:J$4000,9,FALSE)</f>
        <v>#N/A</v>
      </c>
      <c r="M253" s="1" t="e">
        <f>VLOOKUP(D253,epiunits!A$1:J$4000,10,FALSE)</f>
        <v>#N/A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</row>
    <row r="254" spans="1:51" x14ac:dyDescent="0.25">
      <c r="A254" s="1" t="e">
        <f>VLOOKUP(D254,epiunits!A$1:C$4000,2,FALSE)</f>
        <v>#N/A</v>
      </c>
      <c r="B254" s="1" t="e">
        <f>VLOOKUP(D254,epiunits!A$1:C$4000,3,FALSE)</f>
        <v>#N/A</v>
      </c>
      <c r="C254" s="1" t="e">
        <f>VLOOKUP(E254,Inspector!A$1:B$50,2,FALSE)</f>
        <v>#N/A</v>
      </c>
      <c r="I254" s="1" t="e">
        <f>VLOOKUP(D254,epiunits!A$1:J$4000,6,FALSE)</f>
        <v>#N/A</v>
      </c>
      <c r="J254" s="1" t="e">
        <f>VLOOKUP(D254,epiunits!A$1:J$4000,7,FALSE)</f>
        <v>#N/A</v>
      </c>
      <c r="K254" s="1" t="e">
        <f>VLOOKUP(D254,epiunits!A$1:J$4000,8,FALSE)</f>
        <v>#N/A</v>
      </c>
      <c r="L254" s="1" t="e">
        <f>VLOOKUP(D254,epiunits!A$1:J$4000,9,FALSE)</f>
        <v>#N/A</v>
      </c>
      <c r="M254" s="1" t="e">
        <f>VLOOKUP(D254,epiunits!A$1:J$4000,10,FALSE)</f>
        <v>#N/A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</row>
    <row r="255" spans="1:51" x14ac:dyDescent="0.25">
      <c r="A255" s="1" t="e">
        <f>VLOOKUP(D255,epiunits!A$1:C$4000,2,FALSE)</f>
        <v>#N/A</v>
      </c>
      <c r="B255" s="1" t="e">
        <f>VLOOKUP(D255,epiunits!A$1:C$4000,3,FALSE)</f>
        <v>#N/A</v>
      </c>
      <c r="C255" s="1" t="e">
        <f>VLOOKUP(E255,Inspector!A$1:B$50,2,FALSE)</f>
        <v>#N/A</v>
      </c>
      <c r="I255" s="1" t="e">
        <f>VLOOKUP(D255,epiunits!A$1:J$4000,6,FALSE)</f>
        <v>#N/A</v>
      </c>
      <c r="J255" s="1" t="e">
        <f>VLOOKUP(D255,epiunits!A$1:J$4000,7,FALSE)</f>
        <v>#N/A</v>
      </c>
      <c r="K255" s="1" t="e">
        <f>VLOOKUP(D255,epiunits!A$1:J$4000,8,FALSE)</f>
        <v>#N/A</v>
      </c>
      <c r="L255" s="1" t="e">
        <f>VLOOKUP(D255,epiunits!A$1:J$4000,9,FALSE)</f>
        <v>#N/A</v>
      </c>
      <c r="M255" s="1" t="e">
        <f>VLOOKUP(D255,epiunits!A$1:J$4000,10,FALSE)</f>
        <v>#N/A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</row>
    <row r="256" spans="1:51" x14ac:dyDescent="0.25">
      <c r="A256" s="1" t="e">
        <f>VLOOKUP(D256,epiunits!A$1:C$4000,2,FALSE)</f>
        <v>#N/A</v>
      </c>
      <c r="B256" s="1" t="e">
        <f>VLOOKUP(D256,epiunits!A$1:C$4000,3,FALSE)</f>
        <v>#N/A</v>
      </c>
      <c r="C256" s="1" t="e">
        <f>VLOOKUP(E256,Inspector!A$1:B$50,2,FALSE)</f>
        <v>#N/A</v>
      </c>
      <c r="I256" s="1" t="e">
        <f>VLOOKUP(D256,epiunits!A$1:J$4000,6,FALSE)</f>
        <v>#N/A</v>
      </c>
      <c r="J256" s="1" t="e">
        <f>VLOOKUP(D256,epiunits!A$1:J$4000,7,FALSE)</f>
        <v>#N/A</v>
      </c>
      <c r="K256" s="1" t="e">
        <f>VLOOKUP(D256,epiunits!A$1:J$4000,8,FALSE)</f>
        <v>#N/A</v>
      </c>
      <c r="L256" s="1" t="e">
        <f>VLOOKUP(D256,epiunits!A$1:J$4000,9,FALSE)</f>
        <v>#N/A</v>
      </c>
      <c r="M256" s="1" t="e">
        <f>VLOOKUP(D256,epiunits!A$1:J$4000,10,FALSE)</f>
        <v>#N/A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</row>
    <row r="257" spans="1:51" x14ac:dyDescent="0.25">
      <c r="A257" s="1" t="e">
        <f>VLOOKUP(D257,epiunits!A$1:C$4000,2,FALSE)</f>
        <v>#N/A</v>
      </c>
      <c r="B257" s="1" t="e">
        <f>VLOOKUP(D257,epiunits!A$1:C$4000,3,FALSE)</f>
        <v>#N/A</v>
      </c>
      <c r="C257" s="1" t="e">
        <f>VLOOKUP(E257,Inspector!A$1:B$50,2,FALSE)</f>
        <v>#N/A</v>
      </c>
      <c r="I257" s="1" t="e">
        <f>VLOOKUP(D257,epiunits!A$1:J$4000,6,FALSE)</f>
        <v>#N/A</v>
      </c>
      <c r="J257" s="1" t="e">
        <f>VLOOKUP(D257,epiunits!A$1:J$4000,7,FALSE)</f>
        <v>#N/A</v>
      </c>
      <c r="K257" s="1" t="e">
        <f>VLOOKUP(D257,epiunits!A$1:J$4000,8,FALSE)</f>
        <v>#N/A</v>
      </c>
      <c r="L257" s="1" t="e">
        <f>VLOOKUP(D257,epiunits!A$1:J$4000,9,FALSE)</f>
        <v>#N/A</v>
      </c>
      <c r="M257" s="1" t="e">
        <f>VLOOKUP(D257,epiunits!A$1:J$4000,10,FALSE)</f>
        <v>#N/A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</row>
    <row r="258" spans="1:51" x14ac:dyDescent="0.25">
      <c r="A258" s="1" t="e">
        <f>VLOOKUP(D258,epiunits!A$1:C$4000,2,FALSE)</f>
        <v>#N/A</v>
      </c>
      <c r="B258" s="1" t="e">
        <f>VLOOKUP(D258,epiunits!A$1:C$4000,3,FALSE)</f>
        <v>#N/A</v>
      </c>
      <c r="C258" s="1" t="e">
        <f>VLOOKUP(E258,Inspector!A$1:B$50,2,FALSE)</f>
        <v>#N/A</v>
      </c>
      <c r="I258" s="1" t="e">
        <f>VLOOKUP(D258,epiunits!A$1:J$4000,6,FALSE)</f>
        <v>#N/A</v>
      </c>
      <c r="J258" s="1" t="e">
        <f>VLOOKUP(D258,epiunits!A$1:J$4000,7,FALSE)</f>
        <v>#N/A</v>
      </c>
      <c r="K258" s="1" t="e">
        <f>VLOOKUP(D258,epiunits!A$1:J$4000,8,FALSE)</f>
        <v>#N/A</v>
      </c>
      <c r="L258" s="1" t="e">
        <f>VLOOKUP(D258,epiunits!A$1:J$4000,9,FALSE)</f>
        <v>#N/A</v>
      </c>
      <c r="M258" s="1" t="e">
        <f>VLOOKUP(D258,epiunits!A$1:J$4000,10,FALSE)</f>
        <v>#N/A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</row>
    <row r="259" spans="1:51" x14ac:dyDescent="0.25">
      <c r="A259" s="1" t="e">
        <f>VLOOKUP(D259,epiunits!A$1:C$4000,2,FALSE)</f>
        <v>#N/A</v>
      </c>
      <c r="B259" s="1" t="e">
        <f>VLOOKUP(D259,epiunits!A$1:C$4000,3,FALSE)</f>
        <v>#N/A</v>
      </c>
      <c r="C259" s="1" t="e">
        <f>VLOOKUP(E259,Inspector!A$1:B$50,2,FALSE)</f>
        <v>#N/A</v>
      </c>
      <c r="I259" s="1" t="e">
        <f>VLOOKUP(D259,epiunits!A$1:J$4000,6,FALSE)</f>
        <v>#N/A</v>
      </c>
      <c r="J259" s="1" t="e">
        <f>VLOOKUP(D259,epiunits!A$1:J$4000,7,FALSE)</f>
        <v>#N/A</v>
      </c>
      <c r="K259" s="1" t="e">
        <f>VLOOKUP(D259,epiunits!A$1:J$4000,8,FALSE)</f>
        <v>#N/A</v>
      </c>
      <c r="L259" s="1" t="e">
        <f>VLOOKUP(D259,epiunits!A$1:J$4000,9,FALSE)</f>
        <v>#N/A</v>
      </c>
      <c r="M259" s="1" t="e">
        <f>VLOOKUP(D259,epiunits!A$1:J$4000,10,FALSE)</f>
        <v>#N/A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</row>
    <row r="260" spans="1:51" x14ac:dyDescent="0.25">
      <c r="A260" s="1" t="e">
        <f>VLOOKUP(D260,epiunits!A$1:C$4000,2,FALSE)</f>
        <v>#N/A</v>
      </c>
      <c r="B260" s="1" t="e">
        <f>VLOOKUP(D260,epiunits!A$1:C$4000,3,FALSE)</f>
        <v>#N/A</v>
      </c>
      <c r="C260" s="1" t="e">
        <f>VLOOKUP(E260,Inspector!A$1:B$50,2,FALSE)</f>
        <v>#N/A</v>
      </c>
      <c r="I260" s="1" t="e">
        <f>VLOOKUP(D260,epiunits!A$1:J$4000,6,FALSE)</f>
        <v>#N/A</v>
      </c>
      <c r="J260" s="1" t="e">
        <f>VLOOKUP(D260,epiunits!A$1:J$4000,7,FALSE)</f>
        <v>#N/A</v>
      </c>
      <c r="K260" s="1" t="e">
        <f>VLOOKUP(D260,epiunits!A$1:J$4000,8,FALSE)</f>
        <v>#N/A</v>
      </c>
      <c r="L260" s="1" t="e">
        <f>VLOOKUP(D260,epiunits!A$1:J$4000,9,FALSE)</f>
        <v>#N/A</v>
      </c>
      <c r="M260" s="1" t="e">
        <f>VLOOKUP(D260,epiunits!A$1:J$4000,10,FALSE)</f>
        <v>#N/A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</row>
    <row r="261" spans="1:51" x14ac:dyDescent="0.25">
      <c r="A261" s="1" t="e">
        <f>VLOOKUP(D261,epiunits!A$1:C$4000,2,FALSE)</f>
        <v>#N/A</v>
      </c>
      <c r="B261" s="1" t="e">
        <f>VLOOKUP(D261,epiunits!A$1:C$4000,3,FALSE)</f>
        <v>#N/A</v>
      </c>
      <c r="C261" s="1" t="e">
        <f>VLOOKUP(E261,Inspector!A$1:B$50,2,FALSE)</f>
        <v>#N/A</v>
      </c>
      <c r="I261" s="1" t="e">
        <f>VLOOKUP(D261,epiunits!A$1:J$4000,6,FALSE)</f>
        <v>#N/A</v>
      </c>
      <c r="J261" s="1" t="e">
        <f>VLOOKUP(D261,epiunits!A$1:J$4000,7,FALSE)</f>
        <v>#N/A</v>
      </c>
      <c r="K261" s="1" t="e">
        <f>VLOOKUP(D261,epiunits!A$1:J$4000,8,FALSE)</f>
        <v>#N/A</v>
      </c>
      <c r="L261" s="1" t="e">
        <f>VLOOKUP(D261,epiunits!A$1:J$4000,9,FALSE)</f>
        <v>#N/A</v>
      </c>
      <c r="M261" s="1" t="e">
        <f>VLOOKUP(D261,epiunits!A$1:J$4000,10,FALSE)</f>
        <v>#N/A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</row>
    <row r="262" spans="1:51" x14ac:dyDescent="0.25">
      <c r="A262" s="1" t="e">
        <f>VLOOKUP(D262,epiunits!A$1:C$4000,2,FALSE)</f>
        <v>#N/A</v>
      </c>
      <c r="B262" s="1" t="e">
        <f>VLOOKUP(D262,epiunits!A$1:C$4000,3,FALSE)</f>
        <v>#N/A</v>
      </c>
      <c r="C262" s="1" t="e">
        <f>VLOOKUP(E262,Inspector!A$1:B$50,2,FALSE)</f>
        <v>#N/A</v>
      </c>
      <c r="I262" s="1" t="e">
        <f>VLOOKUP(D262,epiunits!A$1:J$4000,6,FALSE)</f>
        <v>#N/A</v>
      </c>
      <c r="J262" s="1" t="e">
        <f>VLOOKUP(D262,epiunits!A$1:J$4000,7,FALSE)</f>
        <v>#N/A</v>
      </c>
      <c r="K262" s="1" t="e">
        <f>VLOOKUP(D262,epiunits!A$1:J$4000,8,FALSE)</f>
        <v>#N/A</v>
      </c>
      <c r="L262" s="1" t="e">
        <f>VLOOKUP(D262,epiunits!A$1:J$4000,9,FALSE)</f>
        <v>#N/A</v>
      </c>
      <c r="M262" s="1" t="e">
        <f>VLOOKUP(D262,epiunits!A$1:J$4000,10,FALSE)</f>
        <v>#N/A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</row>
    <row r="263" spans="1:51" x14ac:dyDescent="0.25">
      <c r="A263" s="1" t="e">
        <f>VLOOKUP(D263,epiunits!A$1:C$4000,2,FALSE)</f>
        <v>#N/A</v>
      </c>
      <c r="B263" s="1" t="e">
        <f>VLOOKUP(D263,epiunits!A$1:C$4000,3,FALSE)</f>
        <v>#N/A</v>
      </c>
      <c r="C263" s="1" t="e">
        <f>VLOOKUP(E263,Inspector!A$1:B$50,2,FALSE)</f>
        <v>#N/A</v>
      </c>
      <c r="I263" s="1" t="e">
        <f>VLOOKUP(D263,epiunits!A$1:J$4000,6,FALSE)</f>
        <v>#N/A</v>
      </c>
      <c r="J263" s="1" t="e">
        <f>VLOOKUP(D263,epiunits!A$1:J$4000,7,FALSE)</f>
        <v>#N/A</v>
      </c>
      <c r="K263" s="1" t="e">
        <f>VLOOKUP(D263,epiunits!A$1:J$4000,8,FALSE)</f>
        <v>#N/A</v>
      </c>
      <c r="L263" s="1" t="e">
        <f>VLOOKUP(D263,epiunits!A$1:J$4000,9,FALSE)</f>
        <v>#N/A</v>
      </c>
      <c r="M263" s="1" t="e">
        <f>VLOOKUP(D263,epiunits!A$1:J$4000,10,FALSE)</f>
        <v>#N/A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</row>
    <row r="264" spans="1:51" x14ac:dyDescent="0.25">
      <c r="A264" s="1" t="e">
        <f>VLOOKUP(D264,epiunits!A$1:C$4000,2,FALSE)</f>
        <v>#N/A</v>
      </c>
      <c r="B264" s="1" t="e">
        <f>VLOOKUP(D264,epiunits!A$1:C$4000,3,FALSE)</f>
        <v>#N/A</v>
      </c>
      <c r="C264" s="1" t="e">
        <f>VLOOKUP(E264,Inspector!A$1:B$50,2,FALSE)</f>
        <v>#N/A</v>
      </c>
      <c r="I264" s="1" t="e">
        <f>VLOOKUP(D264,epiunits!A$1:J$4000,6,FALSE)</f>
        <v>#N/A</v>
      </c>
      <c r="J264" s="1" t="e">
        <f>VLOOKUP(D264,epiunits!A$1:J$4000,7,FALSE)</f>
        <v>#N/A</v>
      </c>
      <c r="K264" s="1" t="e">
        <f>VLOOKUP(D264,epiunits!A$1:J$4000,8,FALSE)</f>
        <v>#N/A</v>
      </c>
      <c r="L264" s="1" t="e">
        <f>VLOOKUP(D264,epiunits!A$1:J$4000,9,FALSE)</f>
        <v>#N/A</v>
      </c>
      <c r="M264" s="1" t="e">
        <f>VLOOKUP(D264,epiunits!A$1:J$4000,10,FALSE)</f>
        <v>#N/A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</row>
    <row r="265" spans="1:51" x14ac:dyDescent="0.25">
      <c r="A265" s="1" t="e">
        <f>VLOOKUP(D265,epiunits!A$1:C$4000,2,FALSE)</f>
        <v>#N/A</v>
      </c>
      <c r="B265" s="1" t="e">
        <f>VLOOKUP(D265,epiunits!A$1:C$4000,3,FALSE)</f>
        <v>#N/A</v>
      </c>
      <c r="C265" s="1" t="e">
        <f>VLOOKUP(E265,Inspector!A$1:B$50,2,FALSE)</f>
        <v>#N/A</v>
      </c>
      <c r="I265" s="1" t="e">
        <f>VLOOKUP(D265,epiunits!A$1:J$4000,6,FALSE)</f>
        <v>#N/A</v>
      </c>
      <c r="J265" s="1" t="e">
        <f>VLOOKUP(D265,epiunits!A$1:J$4000,7,FALSE)</f>
        <v>#N/A</v>
      </c>
      <c r="K265" s="1" t="e">
        <f>VLOOKUP(D265,epiunits!A$1:J$4000,8,FALSE)</f>
        <v>#N/A</v>
      </c>
      <c r="L265" s="1" t="e">
        <f>VLOOKUP(D265,epiunits!A$1:J$4000,9,FALSE)</f>
        <v>#N/A</v>
      </c>
      <c r="M265" s="1" t="e">
        <f>VLOOKUP(D265,epiunits!A$1:J$4000,10,FALSE)</f>
        <v>#N/A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</row>
    <row r="266" spans="1:51" x14ac:dyDescent="0.25">
      <c r="A266" s="1" t="e">
        <f>VLOOKUP(D266,epiunits!A$1:C$4000,2,FALSE)</f>
        <v>#N/A</v>
      </c>
      <c r="B266" s="1" t="e">
        <f>VLOOKUP(D266,epiunits!A$1:C$4000,3,FALSE)</f>
        <v>#N/A</v>
      </c>
      <c r="C266" s="1" t="e">
        <f>VLOOKUP(E266,Inspector!A$1:B$50,2,FALSE)</f>
        <v>#N/A</v>
      </c>
      <c r="I266" s="1" t="e">
        <f>VLOOKUP(D266,epiunits!A$1:J$4000,6,FALSE)</f>
        <v>#N/A</v>
      </c>
      <c r="J266" s="1" t="e">
        <f>VLOOKUP(D266,epiunits!A$1:J$4000,7,FALSE)</f>
        <v>#N/A</v>
      </c>
      <c r="K266" s="1" t="e">
        <f>VLOOKUP(D266,epiunits!A$1:J$4000,8,FALSE)</f>
        <v>#N/A</v>
      </c>
      <c r="L266" s="1" t="e">
        <f>VLOOKUP(D266,epiunits!A$1:J$4000,9,FALSE)</f>
        <v>#N/A</v>
      </c>
      <c r="M266" s="1" t="e">
        <f>VLOOKUP(D266,epiunits!A$1:J$4000,10,FALSE)</f>
        <v>#N/A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</row>
    <row r="267" spans="1:51" x14ac:dyDescent="0.25">
      <c r="A267" s="1" t="e">
        <f>VLOOKUP(D267,epiunits!A$1:C$4000,2,FALSE)</f>
        <v>#N/A</v>
      </c>
      <c r="B267" s="1" t="e">
        <f>VLOOKUP(D267,epiunits!A$1:C$4000,3,FALSE)</f>
        <v>#N/A</v>
      </c>
      <c r="C267" s="1" t="e">
        <f>VLOOKUP(E267,Inspector!A$1:B$50,2,FALSE)</f>
        <v>#N/A</v>
      </c>
      <c r="I267" s="1" t="e">
        <f>VLOOKUP(D267,epiunits!A$1:J$4000,6,FALSE)</f>
        <v>#N/A</v>
      </c>
      <c r="J267" s="1" t="e">
        <f>VLOOKUP(D267,epiunits!A$1:J$4000,7,FALSE)</f>
        <v>#N/A</v>
      </c>
      <c r="K267" s="1" t="e">
        <f>VLOOKUP(D267,epiunits!A$1:J$4000,8,FALSE)</f>
        <v>#N/A</v>
      </c>
      <c r="L267" s="1" t="e">
        <f>VLOOKUP(D267,epiunits!A$1:J$4000,9,FALSE)</f>
        <v>#N/A</v>
      </c>
      <c r="M267" s="1" t="e">
        <f>VLOOKUP(D267,epiunits!A$1:J$4000,10,FALSE)</f>
        <v>#N/A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</row>
    <row r="268" spans="1:51" x14ac:dyDescent="0.25">
      <c r="A268" s="1" t="e">
        <f>VLOOKUP(D268,epiunits!A$1:C$4000,2,FALSE)</f>
        <v>#N/A</v>
      </c>
      <c r="B268" s="1" t="e">
        <f>VLOOKUP(D268,epiunits!A$1:C$4000,3,FALSE)</f>
        <v>#N/A</v>
      </c>
      <c r="C268" s="1" t="e">
        <f>VLOOKUP(E268,Inspector!A$1:B$50,2,FALSE)</f>
        <v>#N/A</v>
      </c>
      <c r="I268" s="1" t="e">
        <f>VLOOKUP(D268,epiunits!A$1:J$4000,6,FALSE)</f>
        <v>#N/A</v>
      </c>
      <c r="J268" s="1" t="e">
        <f>VLOOKUP(D268,epiunits!A$1:J$4000,7,FALSE)</f>
        <v>#N/A</v>
      </c>
      <c r="K268" s="1" t="e">
        <f>VLOOKUP(D268,epiunits!A$1:J$4000,8,FALSE)</f>
        <v>#N/A</v>
      </c>
      <c r="L268" s="1" t="e">
        <f>VLOOKUP(D268,epiunits!A$1:J$4000,9,FALSE)</f>
        <v>#N/A</v>
      </c>
      <c r="M268" s="1" t="e">
        <f>VLOOKUP(D268,epiunits!A$1:J$4000,10,FALSE)</f>
        <v>#N/A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</row>
    <row r="269" spans="1:51" x14ac:dyDescent="0.25">
      <c r="A269" s="1" t="e">
        <f>VLOOKUP(D269,epiunits!A$1:C$4000,2,FALSE)</f>
        <v>#N/A</v>
      </c>
      <c r="B269" s="1" t="e">
        <f>VLOOKUP(D269,epiunits!A$1:C$4000,3,FALSE)</f>
        <v>#N/A</v>
      </c>
      <c r="C269" s="1" t="e">
        <f>VLOOKUP(E269,Inspector!A$1:B$50,2,FALSE)</f>
        <v>#N/A</v>
      </c>
      <c r="I269" s="1" t="e">
        <f>VLOOKUP(D269,epiunits!A$1:J$4000,6,FALSE)</f>
        <v>#N/A</v>
      </c>
      <c r="J269" s="1" t="e">
        <f>VLOOKUP(D269,epiunits!A$1:J$4000,7,FALSE)</f>
        <v>#N/A</v>
      </c>
      <c r="K269" s="1" t="e">
        <f>VLOOKUP(D269,epiunits!A$1:J$4000,8,FALSE)</f>
        <v>#N/A</v>
      </c>
      <c r="L269" s="1" t="e">
        <f>VLOOKUP(D269,epiunits!A$1:J$4000,9,FALSE)</f>
        <v>#N/A</v>
      </c>
      <c r="M269" s="1" t="e">
        <f>VLOOKUP(D269,epiunits!A$1:J$4000,10,FALSE)</f>
        <v>#N/A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</row>
    <row r="270" spans="1:51" x14ac:dyDescent="0.25">
      <c r="A270" s="1" t="e">
        <f>VLOOKUP(D270,epiunits!A$1:C$4000,2,FALSE)</f>
        <v>#N/A</v>
      </c>
      <c r="B270" s="1" t="e">
        <f>VLOOKUP(D270,epiunits!A$1:C$4000,3,FALSE)</f>
        <v>#N/A</v>
      </c>
      <c r="C270" s="1" t="e">
        <f>VLOOKUP(E270,Inspector!A$1:B$50,2,FALSE)</f>
        <v>#N/A</v>
      </c>
      <c r="I270" s="1" t="e">
        <f>VLOOKUP(D270,epiunits!A$1:J$4000,6,FALSE)</f>
        <v>#N/A</v>
      </c>
      <c r="J270" s="1" t="e">
        <f>VLOOKUP(D270,epiunits!A$1:J$4000,7,FALSE)</f>
        <v>#N/A</v>
      </c>
      <c r="K270" s="1" t="e">
        <f>VLOOKUP(D270,epiunits!A$1:J$4000,8,FALSE)</f>
        <v>#N/A</v>
      </c>
      <c r="L270" s="1" t="e">
        <f>VLOOKUP(D270,epiunits!A$1:J$4000,9,FALSE)</f>
        <v>#N/A</v>
      </c>
      <c r="M270" s="1" t="e">
        <f>VLOOKUP(D270,epiunits!A$1:J$4000,10,FALSE)</f>
        <v>#N/A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</row>
    <row r="271" spans="1:51" x14ac:dyDescent="0.25">
      <c r="A271" s="1" t="e">
        <f>VLOOKUP(D271,epiunits!A$1:C$4000,2,FALSE)</f>
        <v>#N/A</v>
      </c>
      <c r="B271" s="1" t="e">
        <f>VLOOKUP(D271,epiunits!A$1:C$4000,3,FALSE)</f>
        <v>#N/A</v>
      </c>
      <c r="C271" s="1" t="e">
        <f>VLOOKUP(E271,Inspector!A$1:B$50,2,FALSE)</f>
        <v>#N/A</v>
      </c>
      <c r="I271" s="1" t="e">
        <f>VLOOKUP(D271,epiunits!A$1:J$4000,6,FALSE)</f>
        <v>#N/A</v>
      </c>
      <c r="J271" s="1" t="e">
        <f>VLOOKUP(D271,epiunits!A$1:J$4000,7,FALSE)</f>
        <v>#N/A</v>
      </c>
      <c r="K271" s="1" t="e">
        <f>VLOOKUP(D271,epiunits!A$1:J$4000,8,FALSE)</f>
        <v>#N/A</v>
      </c>
      <c r="L271" s="1" t="e">
        <f>VLOOKUP(D271,epiunits!A$1:J$4000,9,FALSE)</f>
        <v>#N/A</v>
      </c>
      <c r="M271" s="1" t="e">
        <f>VLOOKUP(D271,epiunits!A$1:J$4000,10,FALSE)</f>
        <v>#N/A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</row>
    <row r="272" spans="1:51" x14ac:dyDescent="0.25">
      <c r="A272" s="1" t="e">
        <f>VLOOKUP(D272,epiunits!A$1:C$4000,2,FALSE)</f>
        <v>#N/A</v>
      </c>
      <c r="B272" s="1" t="e">
        <f>VLOOKUP(D272,epiunits!A$1:C$4000,3,FALSE)</f>
        <v>#N/A</v>
      </c>
      <c r="C272" s="1" t="e">
        <f>VLOOKUP(E272,Inspector!A$1:B$50,2,FALSE)</f>
        <v>#N/A</v>
      </c>
      <c r="I272" s="1" t="e">
        <f>VLOOKUP(D272,epiunits!A$1:J$4000,6,FALSE)</f>
        <v>#N/A</v>
      </c>
      <c r="J272" s="1" t="e">
        <f>VLOOKUP(D272,epiunits!A$1:J$4000,7,FALSE)</f>
        <v>#N/A</v>
      </c>
      <c r="K272" s="1" t="e">
        <f>VLOOKUP(D272,epiunits!A$1:J$4000,8,FALSE)</f>
        <v>#N/A</v>
      </c>
      <c r="L272" s="1" t="e">
        <f>VLOOKUP(D272,epiunits!A$1:J$4000,9,FALSE)</f>
        <v>#N/A</v>
      </c>
      <c r="M272" s="1" t="e">
        <f>VLOOKUP(D272,epiunits!A$1:J$4000,10,FALSE)</f>
        <v>#N/A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</row>
    <row r="273" spans="1:51" x14ac:dyDescent="0.25">
      <c r="A273" s="1" t="e">
        <f>VLOOKUP(D273,epiunits!A$1:C$4000,2,FALSE)</f>
        <v>#N/A</v>
      </c>
      <c r="B273" s="1" t="e">
        <f>VLOOKUP(D273,epiunits!A$1:C$4000,3,FALSE)</f>
        <v>#N/A</v>
      </c>
      <c r="C273" s="1" t="e">
        <f>VLOOKUP(E273,Inspector!A$1:B$50,2,FALSE)</f>
        <v>#N/A</v>
      </c>
      <c r="I273" s="1" t="e">
        <f>VLOOKUP(D273,epiunits!A$1:J$4000,6,FALSE)</f>
        <v>#N/A</v>
      </c>
      <c r="J273" s="1" t="e">
        <f>VLOOKUP(D273,epiunits!A$1:J$4000,7,FALSE)</f>
        <v>#N/A</v>
      </c>
      <c r="K273" s="1" t="e">
        <f>VLOOKUP(D273,epiunits!A$1:J$4000,8,FALSE)</f>
        <v>#N/A</v>
      </c>
      <c r="L273" s="1" t="e">
        <f>VLOOKUP(D273,epiunits!A$1:J$4000,9,FALSE)</f>
        <v>#N/A</v>
      </c>
      <c r="M273" s="1" t="e">
        <f>VLOOKUP(D273,epiunits!A$1:J$4000,10,FALSE)</f>
        <v>#N/A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</row>
    <row r="274" spans="1:51" x14ac:dyDescent="0.25">
      <c r="A274" s="1" t="e">
        <f>VLOOKUP(D274,epiunits!A$1:C$4000,2,FALSE)</f>
        <v>#N/A</v>
      </c>
      <c r="B274" s="1" t="e">
        <f>VLOOKUP(D274,epiunits!A$1:C$4000,3,FALSE)</f>
        <v>#N/A</v>
      </c>
      <c r="C274" s="1" t="e">
        <f>VLOOKUP(E274,Inspector!A$1:B$50,2,FALSE)</f>
        <v>#N/A</v>
      </c>
      <c r="I274" s="1" t="e">
        <f>VLOOKUP(D274,epiunits!A$1:J$4000,6,FALSE)</f>
        <v>#N/A</v>
      </c>
      <c r="J274" s="1" t="e">
        <f>VLOOKUP(D274,epiunits!A$1:J$4000,7,FALSE)</f>
        <v>#N/A</v>
      </c>
      <c r="K274" s="1" t="e">
        <f>VLOOKUP(D274,epiunits!A$1:J$4000,8,FALSE)</f>
        <v>#N/A</v>
      </c>
      <c r="L274" s="1" t="e">
        <f>VLOOKUP(D274,epiunits!A$1:J$4000,9,FALSE)</f>
        <v>#N/A</v>
      </c>
      <c r="M274" s="1" t="e">
        <f>VLOOKUP(D274,epiunits!A$1:J$4000,10,FALSE)</f>
        <v>#N/A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</row>
    <row r="275" spans="1:51" x14ac:dyDescent="0.25">
      <c r="A275" s="1" t="e">
        <f>VLOOKUP(D275,epiunits!A$1:C$4000,2,FALSE)</f>
        <v>#N/A</v>
      </c>
      <c r="B275" s="1" t="e">
        <f>VLOOKUP(D275,epiunits!A$1:C$4000,3,FALSE)</f>
        <v>#N/A</v>
      </c>
      <c r="C275" s="1" t="e">
        <f>VLOOKUP(E275,Inspector!A$1:B$50,2,FALSE)</f>
        <v>#N/A</v>
      </c>
      <c r="I275" s="1" t="e">
        <f>VLOOKUP(D275,epiunits!A$1:J$4000,6,FALSE)</f>
        <v>#N/A</v>
      </c>
      <c r="J275" s="1" t="e">
        <f>VLOOKUP(D275,epiunits!A$1:J$4000,7,FALSE)</f>
        <v>#N/A</v>
      </c>
      <c r="K275" s="1" t="e">
        <f>VLOOKUP(D275,epiunits!A$1:J$4000,8,FALSE)</f>
        <v>#N/A</v>
      </c>
      <c r="L275" s="1" t="e">
        <f>VLOOKUP(D275,epiunits!A$1:J$4000,9,FALSE)</f>
        <v>#N/A</v>
      </c>
      <c r="M275" s="1" t="e">
        <f>VLOOKUP(D275,epiunits!A$1:J$4000,10,FALSE)</f>
        <v>#N/A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</row>
    <row r="276" spans="1:51" x14ac:dyDescent="0.25">
      <c r="A276" s="1" t="e">
        <f>VLOOKUP(D276,epiunits!A$1:C$4000,2,FALSE)</f>
        <v>#N/A</v>
      </c>
      <c r="B276" s="1" t="e">
        <f>VLOOKUP(D276,epiunits!A$1:C$4000,3,FALSE)</f>
        <v>#N/A</v>
      </c>
      <c r="C276" s="1" t="e">
        <f>VLOOKUP(E276,Inspector!A$1:B$50,2,FALSE)</f>
        <v>#N/A</v>
      </c>
      <c r="I276" s="1" t="e">
        <f>VLOOKUP(D276,epiunits!A$1:J$4000,6,FALSE)</f>
        <v>#N/A</v>
      </c>
      <c r="J276" s="1" t="e">
        <f>VLOOKUP(D276,epiunits!A$1:J$4000,7,FALSE)</f>
        <v>#N/A</v>
      </c>
      <c r="K276" s="1" t="e">
        <f>VLOOKUP(D276,epiunits!A$1:J$4000,8,FALSE)</f>
        <v>#N/A</v>
      </c>
      <c r="L276" s="1" t="e">
        <f>VLOOKUP(D276,epiunits!A$1:J$4000,9,FALSE)</f>
        <v>#N/A</v>
      </c>
      <c r="M276" s="1" t="e">
        <f>VLOOKUP(D276,epiunits!A$1:J$4000,10,FALSE)</f>
        <v>#N/A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</row>
    <row r="277" spans="1:51" x14ac:dyDescent="0.25">
      <c r="A277" s="1" t="e">
        <f>VLOOKUP(D277,epiunits!A$1:C$4000,2,FALSE)</f>
        <v>#N/A</v>
      </c>
      <c r="B277" s="1" t="e">
        <f>VLOOKUP(D277,epiunits!A$1:C$4000,3,FALSE)</f>
        <v>#N/A</v>
      </c>
      <c r="C277" s="1" t="e">
        <f>VLOOKUP(E277,Inspector!A$1:B$50,2,FALSE)</f>
        <v>#N/A</v>
      </c>
      <c r="I277" s="1" t="e">
        <f>VLOOKUP(D277,epiunits!A$1:J$4000,6,FALSE)</f>
        <v>#N/A</v>
      </c>
      <c r="J277" s="1" t="e">
        <f>VLOOKUP(D277,epiunits!A$1:J$4000,7,FALSE)</f>
        <v>#N/A</v>
      </c>
      <c r="K277" s="1" t="e">
        <f>VLOOKUP(D277,epiunits!A$1:J$4000,8,FALSE)</f>
        <v>#N/A</v>
      </c>
      <c r="L277" s="1" t="e">
        <f>VLOOKUP(D277,epiunits!A$1:J$4000,9,FALSE)</f>
        <v>#N/A</v>
      </c>
      <c r="M277" s="1" t="e">
        <f>VLOOKUP(D277,epiunits!A$1:J$4000,10,FALSE)</f>
        <v>#N/A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</row>
    <row r="278" spans="1:51" x14ac:dyDescent="0.25">
      <c r="A278" s="1" t="e">
        <f>VLOOKUP(D278,epiunits!A$1:C$4000,2,FALSE)</f>
        <v>#N/A</v>
      </c>
      <c r="B278" s="1" t="e">
        <f>VLOOKUP(D278,epiunits!A$1:C$4000,3,FALSE)</f>
        <v>#N/A</v>
      </c>
      <c r="C278" s="1" t="e">
        <f>VLOOKUP(E278,Inspector!A$1:B$50,2,FALSE)</f>
        <v>#N/A</v>
      </c>
      <c r="I278" s="1" t="e">
        <f>VLOOKUP(D278,epiunits!A$1:J$4000,6,FALSE)</f>
        <v>#N/A</v>
      </c>
      <c r="J278" s="1" t="e">
        <f>VLOOKUP(D278,epiunits!A$1:J$4000,7,FALSE)</f>
        <v>#N/A</v>
      </c>
      <c r="K278" s="1" t="e">
        <f>VLOOKUP(D278,epiunits!A$1:J$4000,8,FALSE)</f>
        <v>#N/A</v>
      </c>
      <c r="L278" s="1" t="e">
        <f>VLOOKUP(D278,epiunits!A$1:J$4000,9,FALSE)</f>
        <v>#N/A</v>
      </c>
      <c r="M278" s="1" t="e">
        <f>VLOOKUP(D278,epiunits!A$1:J$4000,10,FALSE)</f>
        <v>#N/A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</row>
    <row r="279" spans="1:51" x14ac:dyDescent="0.25">
      <c r="A279" s="1" t="e">
        <f>VLOOKUP(D279,epiunits!A$1:C$4000,2,FALSE)</f>
        <v>#N/A</v>
      </c>
      <c r="B279" s="1" t="e">
        <f>VLOOKUP(D279,epiunits!A$1:C$4000,3,FALSE)</f>
        <v>#N/A</v>
      </c>
      <c r="C279" s="1" t="e">
        <f>VLOOKUP(E279,Inspector!A$1:B$50,2,FALSE)</f>
        <v>#N/A</v>
      </c>
      <c r="I279" s="1" t="e">
        <f>VLOOKUP(D279,epiunits!A$1:J$4000,6,FALSE)</f>
        <v>#N/A</v>
      </c>
      <c r="J279" s="1" t="e">
        <f>VLOOKUP(D279,epiunits!A$1:J$4000,7,FALSE)</f>
        <v>#N/A</v>
      </c>
      <c r="K279" s="1" t="e">
        <f>VLOOKUP(D279,epiunits!A$1:J$4000,8,FALSE)</f>
        <v>#N/A</v>
      </c>
      <c r="L279" s="1" t="e">
        <f>VLOOKUP(D279,epiunits!A$1:J$4000,9,FALSE)</f>
        <v>#N/A</v>
      </c>
      <c r="M279" s="1" t="e">
        <f>VLOOKUP(D279,epiunits!A$1:J$4000,10,FALSE)</f>
        <v>#N/A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</row>
    <row r="280" spans="1:51" x14ac:dyDescent="0.25">
      <c r="A280" s="1" t="e">
        <f>VLOOKUP(D280,epiunits!A$1:C$4000,2,FALSE)</f>
        <v>#N/A</v>
      </c>
      <c r="B280" s="1" t="e">
        <f>VLOOKUP(D280,epiunits!A$1:C$4000,3,FALSE)</f>
        <v>#N/A</v>
      </c>
      <c r="C280" s="1" t="e">
        <f>VLOOKUP(E280,Inspector!A$1:B$50,2,FALSE)</f>
        <v>#N/A</v>
      </c>
      <c r="I280" s="1" t="e">
        <f>VLOOKUP(D280,epiunits!A$1:J$4000,6,FALSE)</f>
        <v>#N/A</v>
      </c>
      <c r="J280" s="1" t="e">
        <f>VLOOKUP(D280,epiunits!A$1:J$4000,7,FALSE)</f>
        <v>#N/A</v>
      </c>
      <c r="K280" s="1" t="e">
        <f>VLOOKUP(D280,epiunits!A$1:J$4000,8,FALSE)</f>
        <v>#N/A</v>
      </c>
      <c r="L280" s="1" t="e">
        <f>VLOOKUP(D280,epiunits!A$1:J$4000,9,FALSE)</f>
        <v>#N/A</v>
      </c>
      <c r="M280" s="1" t="e">
        <f>VLOOKUP(D280,epiunits!A$1:J$4000,10,FALSE)</f>
        <v>#N/A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</row>
    <row r="281" spans="1:51" x14ac:dyDescent="0.25">
      <c r="A281" s="1" t="e">
        <f>VLOOKUP(D281,epiunits!A$1:C$4000,2,FALSE)</f>
        <v>#N/A</v>
      </c>
      <c r="B281" s="1" t="e">
        <f>VLOOKUP(D281,epiunits!A$1:C$4000,3,FALSE)</f>
        <v>#N/A</v>
      </c>
      <c r="C281" s="1" t="e">
        <f>VLOOKUP(E281,Inspector!A$1:B$50,2,FALSE)</f>
        <v>#N/A</v>
      </c>
      <c r="I281" s="1" t="e">
        <f>VLOOKUP(D281,epiunits!A$1:J$4000,6,FALSE)</f>
        <v>#N/A</v>
      </c>
      <c r="J281" s="1" t="e">
        <f>VLOOKUP(D281,epiunits!A$1:J$4000,7,FALSE)</f>
        <v>#N/A</v>
      </c>
      <c r="K281" s="1" t="e">
        <f>VLOOKUP(D281,epiunits!A$1:J$4000,8,FALSE)</f>
        <v>#N/A</v>
      </c>
      <c r="L281" s="1" t="e">
        <f>VLOOKUP(D281,epiunits!A$1:J$4000,9,FALSE)</f>
        <v>#N/A</v>
      </c>
      <c r="M281" s="1" t="e">
        <f>VLOOKUP(D281,epiunits!A$1:J$4000,10,FALSE)</f>
        <v>#N/A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</row>
    <row r="282" spans="1:51" x14ac:dyDescent="0.25">
      <c r="A282" s="1" t="e">
        <f>VLOOKUP(D282,epiunits!A$1:C$4000,2,FALSE)</f>
        <v>#N/A</v>
      </c>
      <c r="B282" s="1" t="e">
        <f>VLOOKUP(D282,epiunits!A$1:C$4000,3,FALSE)</f>
        <v>#N/A</v>
      </c>
      <c r="C282" s="1" t="e">
        <f>VLOOKUP(E282,Inspector!A$1:B$50,2,FALSE)</f>
        <v>#N/A</v>
      </c>
      <c r="I282" s="1" t="e">
        <f>VLOOKUP(D282,epiunits!A$1:J$4000,6,FALSE)</f>
        <v>#N/A</v>
      </c>
      <c r="J282" s="1" t="e">
        <f>VLOOKUP(D282,epiunits!A$1:J$4000,7,FALSE)</f>
        <v>#N/A</v>
      </c>
      <c r="K282" s="1" t="e">
        <f>VLOOKUP(D282,epiunits!A$1:J$4000,8,FALSE)</f>
        <v>#N/A</v>
      </c>
      <c r="L282" s="1" t="e">
        <f>VLOOKUP(D282,epiunits!A$1:J$4000,9,FALSE)</f>
        <v>#N/A</v>
      </c>
      <c r="M282" s="1" t="e">
        <f>VLOOKUP(D282,epiunits!A$1:J$4000,10,FALSE)</f>
        <v>#N/A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</row>
    <row r="283" spans="1:51" x14ac:dyDescent="0.25">
      <c r="A283" s="1" t="e">
        <f>VLOOKUP(D283,epiunits!A$1:C$4000,2,FALSE)</f>
        <v>#N/A</v>
      </c>
      <c r="B283" s="1" t="e">
        <f>VLOOKUP(D283,epiunits!A$1:C$4000,3,FALSE)</f>
        <v>#N/A</v>
      </c>
      <c r="C283" s="1" t="e">
        <f>VLOOKUP(E283,Inspector!A$1:B$50,2,FALSE)</f>
        <v>#N/A</v>
      </c>
      <c r="I283" s="1" t="e">
        <f>VLOOKUP(D283,epiunits!A$1:J$4000,6,FALSE)</f>
        <v>#N/A</v>
      </c>
      <c r="J283" s="1" t="e">
        <f>VLOOKUP(D283,epiunits!A$1:J$4000,7,FALSE)</f>
        <v>#N/A</v>
      </c>
      <c r="K283" s="1" t="e">
        <f>VLOOKUP(D283,epiunits!A$1:J$4000,8,FALSE)</f>
        <v>#N/A</v>
      </c>
      <c r="L283" s="1" t="e">
        <f>VLOOKUP(D283,epiunits!A$1:J$4000,9,FALSE)</f>
        <v>#N/A</v>
      </c>
      <c r="M283" s="1" t="e">
        <f>VLOOKUP(D283,epiunits!A$1:J$4000,10,FALSE)</f>
        <v>#N/A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</row>
    <row r="284" spans="1:51" x14ac:dyDescent="0.25">
      <c r="A284" s="1" t="e">
        <f>VLOOKUP(D284,epiunits!A$1:C$4000,2,FALSE)</f>
        <v>#N/A</v>
      </c>
      <c r="B284" s="1" t="e">
        <f>VLOOKUP(D284,epiunits!A$1:C$4000,3,FALSE)</f>
        <v>#N/A</v>
      </c>
      <c r="C284" s="1" t="e">
        <f>VLOOKUP(E284,Inspector!A$1:B$50,2,FALSE)</f>
        <v>#N/A</v>
      </c>
      <c r="I284" s="1" t="e">
        <f>VLOOKUP(D284,epiunits!A$1:J$4000,6,FALSE)</f>
        <v>#N/A</v>
      </c>
      <c r="J284" s="1" t="e">
        <f>VLOOKUP(D284,epiunits!A$1:J$4000,7,FALSE)</f>
        <v>#N/A</v>
      </c>
      <c r="K284" s="1" t="e">
        <f>VLOOKUP(D284,epiunits!A$1:J$4000,8,FALSE)</f>
        <v>#N/A</v>
      </c>
      <c r="L284" s="1" t="e">
        <f>VLOOKUP(D284,epiunits!A$1:J$4000,9,FALSE)</f>
        <v>#N/A</v>
      </c>
      <c r="M284" s="1" t="e">
        <f>VLOOKUP(D284,epiunits!A$1:J$4000,10,FALSE)</f>
        <v>#N/A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</row>
    <row r="285" spans="1:51" x14ac:dyDescent="0.25">
      <c r="A285" s="1" t="e">
        <f>VLOOKUP(D285,epiunits!A$1:C$4000,2,FALSE)</f>
        <v>#N/A</v>
      </c>
      <c r="B285" s="1" t="e">
        <f>VLOOKUP(D285,epiunits!A$1:C$4000,3,FALSE)</f>
        <v>#N/A</v>
      </c>
      <c r="C285" s="1" t="e">
        <f>VLOOKUP(E285,Inspector!A$1:B$50,2,FALSE)</f>
        <v>#N/A</v>
      </c>
      <c r="I285" s="1" t="e">
        <f>VLOOKUP(D285,epiunits!A$1:J$4000,6,FALSE)</f>
        <v>#N/A</v>
      </c>
      <c r="J285" s="1" t="e">
        <f>VLOOKUP(D285,epiunits!A$1:J$4000,7,FALSE)</f>
        <v>#N/A</v>
      </c>
      <c r="K285" s="1" t="e">
        <f>VLOOKUP(D285,epiunits!A$1:J$4000,8,FALSE)</f>
        <v>#N/A</v>
      </c>
      <c r="L285" s="1" t="e">
        <f>VLOOKUP(D285,epiunits!A$1:J$4000,9,FALSE)</f>
        <v>#N/A</v>
      </c>
      <c r="M285" s="1" t="e">
        <f>VLOOKUP(D285,epiunits!A$1:J$4000,10,FALSE)</f>
        <v>#N/A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</row>
    <row r="286" spans="1:51" x14ac:dyDescent="0.25">
      <c r="A286" s="1" t="e">
        <f>VLOOKUP(D286,epiunits!A$1:C$4000,2,FALSE)</f>
        <v>#N/A</v>
      </c>
      <c r="B286" s="1" t="e">
        <f>VLOOKUP(D286,epiunits!A$1:C$4000,3,FALSE)</f>
        <v>#N/A</v>
      </c>
      <c r="C286" s="1" t="e">
        <f>VLOOKUP(E286,Inspector!A$1:B$50,2,FALSE)</f>
        <v>#N/A</v>
      </c>
      <c r="I286" s="1" t="e">
        <f>VLOOKUP(D286,epiunits!A$1:J$4000,6,FALSE)</f>
        <v>#N/A</v>
      </c>
      <c r="J286" s="1" t="e">
        <f>VLOOKUP(D286,epiunits!A$1:J$4000,7,FALSE)</f>
        <v>#N/A</v>
      </c>
      <c r="K286" s="1" t="e">
        <f>VLOOKUP(D286,epiunits!A$1:J$4000,8,FALSE)</f>
        <v>#N/A</v>
      </c>
      <c r="L286" s="1" t="e">
        <f>VLOOKUP(D286,epiunits!A$1:J$4000,9,FALSE)</f>
        <v>#N/A</v>
      </c>
      <c r="M286" s="1" t="e">
        <f>VLOOKUP(D286,epiunits!A$1:J$4000,10,FALSE)</f>
        <v>#N/A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</row>
    <row r="287" spans="1:51" x14ac:dyDescent="0.25">
      <c r="A287" s="1" t="e">
        <f>VLOOKUP(D287,epiunits!A$1:C$4000,2,FALSE)</f>
        <v>#N/A</v>
      </c>
      <c r="B287" s="1" t="e">
        <f>VLOOKUP(D287,epiunits!A$1:C$4000,3,FALSE)</f>
        <v>#N/A</v>
      </c>
      <c r="C287" s="1" t="e">
        <f>VLOOKUP(E287,Inspector!A$1:B$50,2,FALSE)</f>
        <v>#N/A</v>
      </c>
      <c r="I287" s="1" t="e">
        <f>VLOOKUP(D287,epiunits!A$1:J$4000,6,FALSE)</f>
        <v>#N/A</v>
      </c>
      <c r="J287" s="1" t="e">
        <f>VLOOKUP(D287,epiunits!A$1:J$4000,7,FALSE)</f>
        <v>#N/A</v>
      </c>
      <c r="K287" s="1" t="e">
        <f>VLOOKUP(D287,epiunits!A$1:J$4000,8,FALSE)</f>
        <v>#N/A</v>
      </c>
      <c r="L287" s="1" t="e">
        <f>VLOOKUP(D287,epiunits!A$1:J$4000,9,FALSE)</f>
        <v>#N/A</v>
      </c>
      <c r="M287" s="1" t="e">
        <f>VLOOKUP(D287,epiunits!A$1:J$4000,10,FALSE)</f>
        <v>#N/A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</row>
    <row r="288" spans="1:51" x14ac:dyDescent="0.25">
      <c r="A288" s="1" t="e">
        <f>VLOOKUP(D288,epiunits!A$1:C$4000,2,FALSE)</f>
        <v>#N/A</v>
      </c>
      <c r="B288" s="1" t="e">
        <f>VLOOKUP(D288,epiunits!A$1:C$4000,3,FALSE)</f>
        <v>#N/A</v>
      </c>
      <c r="C288" s="1" t="e">
        <f>VLOOKUP(E288,Inspector!A$1:B$50,2,FALSE)</f>
        <v>#N/A</v>
      </c>
      <c r="I288" s="1" t="e">
        <f>VLOOKUP(D288,epiunits!A$1:J$4000,6,FALSE)</f>
        <v>#N/A</v>
      </c>
      <c r="J288" s="1" t="e">
        <f>VLOOKUP(D288,epiunits!A$1:J$4000,7,FALSE)</f>
        <v>#N/A</v>
      </c>
      <c r="K288" s="1" t="e">
        <f>VLOOKUP(D288,epiunits!A$1:J$4000,8,FALSE)</f>
        <v>#N/A</v>
      </c>
      <c r="L288" s="1" t="e">
        <f>VLOOKUP(D288,epiunits!A$1:J$4000,9,FALSE)</f>
        <v>#N/A</v>
      </c>
      <c r="M288" s="1" t="e">
        <f>VLOOKUP(D288,epiunits!A$1:J$4000,10,FALSE)</f>
        <v>#N/A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</row>
    <row r="289" spans="1:51" x14ac:dyDescent="0.25">
      <c r="A289" s="1" t="e">
        <f>VLOOKUP(D289,epiunits!A$1:C$4000,2,FALSE)</f>
        <v>#N/A</v>
      </c>
      <c r="B289" s="1" t="e">
        <f>VLOOKUP(D289,epiunits!A$1:C$4000,3,FALSE)</f>
        <v>#N/A</v>
      </c>
      <c r="C289" s="1" t="e">
        <f>VLOOKUP(E289,Inspector!A$1:B$50,2,FALSE)</f>
        <v>#N/A</v>
      </c>
      <c r="I289" s="1" t="e">
        <f>VLOOKUP(D289,epiunits!A$1:J$4000,6,FALSE)</f>
        <v>#N/A</v>
      </c>
      <c r="J289" s="1" t="e">
        <f>VLOOKUP(D289,epiunits!A$1:J$4000,7,FALSE)</f>
        <v>#N/A</v>
      </c>
      <c r="K289" s="1" t="e">
        <f>VLOOKUP(D289,epiunits!A$1:J$4000,8,FALSE)</f>
        <v>#N/A</v>
      </c>
      <c r="L289" s="1" t="e">
        <f>VLOOKUP(D289,epiunits!A$1:J$4000,9,FALSE)</f>
        <v>#N/A</v>
      </c>
      <c r="M289" s="1" t="e">
        <f>VLOOKUP(D289,epiunits!A$1:J$4000,10,FALSE)</f>
        <v>#N/A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</row>
    <row r="290" spans="1:51" x14ac:dyDescent="0.25">
      <c r="A290" s="1" t="e">
        <f>VLOOKUP(D290,epiunits!A$1:C$4000,2,FALSE)</f>
        <v>#N/A</v>
      </c>
      <c r="B290" s="1" t="e">
        <f>VLOOKUP(D290,epiunits!A$1:C$4000,3,FALSE)</f>
        <v>#N/A</v>
      </c>
      <c r="C290" s="1" t="e">
        <f>VLOOKUP(E290,Inspector!A$1:B$50,2,FALSE)</f>
        <v>#N/A</v>
      </c>
      <c r="I290" s="1" t="e">
        <f>VLOOKUP(D290,epiunits!A$1:J$4000,6,FALSE)</f>
        <v>#N/A</v>
      </c>
      <c r="J290" s="1" t="e">
        <f>VLOOKUP(D290,epiunits!A$1:J$4000,7,FALSE)</f>
        <v>#N/A</v>
      </c>
      <c r="K290" s="1" t="e">
        <f>VLOOKUP(D290,epiunits!A$1:J$4000,8,FALSE)</f>
        <v>#N/A</v>
      </c>
      <c r="L290" s="1" t="e">
        <f>VLOOKUP(D290,epiunits!A$1:J$4000,9,FALSE)</f>
        <v>#N/A</v>
      </c>
      <c r="M290" s="1" t="e">
        <f>VLOOKUP(D290,epiunits!A$1:J$4000,10,FALSE)</f>
        <v>#N/A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</row>
    <row r="291" spans="1:51" x14ac:dyDescent="0.25">
      <c r="A291" s="1" t="e">
        <f>VLOOKUP(D291,epiunits!A$1:C$4000,2,FALSE)</f>
        <v>#N/A</v>
      </c>
      <c r="B291" s="1" t="e">
        <f>VLOOKUP(D291,epiunits!A$1:C$4000,3,FALSE)</f>
        <v>#N/A</v>
      </c>
      <c r="C291" s="1" t="e">
        <f>VLOOKUP(E291,Inspector!A$1:B$50,2,FALSE)</f>
        <v>#N/A</v>
      </c>
      <c r="I291" s="1" t="e">
        <f>VLOOKUP(D291,epiunits!A$1:J$4000,6,FALSE)</f>
        <v>#N/A</v>
      </c>
      <c r="J291" s="1" t="e">
        <f>VLOOKUP(D291,epiunits!A$1:J$4000,7,FALSE)</f>
        <v>#N/A</v>
      </c>
      <c r="K291" s="1" t="e">
        <f>VLOOKUP(D291,epiunits!A$1:J$4000,8,FALSE)</f>
        <v>#N/A</v>
      </c>
      <c r="L291" s="1" t="e">
        <f>VLOOKUP(D291,epiunits!A$1:J$4000,9,FALSE)</f>
        <v>#N/A</v>
      </c>
      <c r="M291" s="1" t="e">
        <f>VLOOKUP(D291,epiunits!A$1:J$4000,10,FALSE)</f>
        <v>#N/A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</row>
    <row r="292" spans="1:51" x14ac:dyDescent="0.25">
      <c r="A292" s="1" t="e">
        <f>VLOOKUP(D292,epiunits!A$1:C$4000,2,FALSE)</f>
        <v>#N/A</v>
      </c>
      <c r="B292" s="1" t="e">
        <f>VLOOKUP(D292,epiunits!A$1:C$4000,3,FALSE)</f>
        <v>#N/A</v>
      </c>
      <c r="C292" s="1" t="e">
        <f>VLOOKUP(E292,Inspector!A$1:B$50,2,FALSE)</f>
        <v>#N/A</v>
      </c>
      <c r="I292" s="1" t="e">
        <f>VLOOKUP(D292,epiunits!A$1:J$4000,6,FALSE)</f>
        <v>#N/A</v>
      </c>
      <c r="J292" s="1" t="e">
        <f>VLOOKUP(D292,epiunits!A$1:J$4000,7,FALSE)</f>
        <v>#N/A</v>
      </c>
      <c r="K292" s="1" t="e">
        <f>VLOOKUP(D292,epiunits!A$1:J$4000,8,FALSE)</f>
        <v>#N/A</v>
      </c>
      <c r="L292" s="1" t="e">
        <f>VLOOKUP(D292,epiunits!A$1:J$4000,9,FALSE)</f>
        <v>#N/A</v>
      </c>
      <c r="M292" s="1" t="e">
        <f>VLOOKUP(D292,epiunits!A$1:J$4000,10,FALSE)</f>
        <v>#N/A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</row>
    <row r="293" spans="1:51" x14ac:dyDescent="0.25">
      <c r="A293" s="1" t="e">
        <f>VLOOKUP(D293,epiunits!A$1:C$4000,2,FALSE)</f>
        <v>#N/A</v>
      </c>
      <c r="B293" s="1" t="e">
        <f>VLOOKUP(D293,epiunits!A$1:C$4000,3,FALSE)</f>
        <v>#N/A</v>
      </c>
      <c r="C293" s="1" t="e">
        <f>VLOOKUP(E293,Inspector!A$1:B$50,2,FALSE)</f>
        <v>#N/A</v>
      </c>
      <c r="I293" s="1" t="e">
        <f>VLOOKUP(D293,epiunits!A$1:J$4000,6,FALSE)</f>
        <v>#N/A</v>
      </c>
      <c r="J293" s="1" t="e">
        <f>VLOOKUP(D293,epiunits!A$1:J$4000,7,FALSE)</f>
        <v>#N/A</v>
      </c>
      <c r="K293" s="1" t="e">
        <f>VLOOKUP(D293,epiunits!A$1:J$4000,8,FALSE)</f>
        <v>#N/A</v>
      </c>
      <c r="L293" s="1" t="e">
        <f>VLOOKUP(D293,epiunits!A$1:J$4000,9,FALSE)</f>
        <v>#N/A</v>
      </c>
      <c r="M293" s="1" t="e">
        <f>VLOOKUP(D293,epiunits!A$1:J$4000,10,FALSE)</f>
        <v>#N/A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</row>
    <row r="294" spans="1:51" x14ac:dyDescent="0.25">
      <c r="A294" s="1" t="e">
        <f>VLOOKUP(D294,epiunits!A$1:C$4000,2,FALSE)</f>
        <v>#N/A</v>
      </c>
      <c r="B294" s="1" t="e">
        <f>VLOOKUP(D294,epiunits!A$1:C$4000,3,FALSE)</f>
        <v>#N/A</v>
      </c>
      <c r="C294" s="1" t="e">
        <f>VLOOKUP(E294,Inspector!A$1:B$50,2,FALSE)</f>
        <v>#N/A</v>
      </c>
      <c r="I294" s="1" t="e">
        <f>VLOOKUP(D294,epiunits!A$1:J$4000,6,FALSE)</f>
        <v>#N/A</v>
      </c>
      <c r="J294" s="1" t="e">
        <f>VLOOKUP(D294,epiunits!A$1:J$4000,7,FALSE)</f>
        <v>#N/A</v>
      </c>
      <c r="K294" s="1" t="e">
        <f>VLOOKUP(D294,epiunits!A$1:J$4000,8,FALSE)</f>
        <v>#N/A</v>
      </c>
      <c r="L294" s="1" t="e">
        <f>VLOOKUP(D294,epiunits!A$1:J$4000,9,FALSE)</f>
        <v>#N/A</v>
      </c>
      <c r="M294" s="1" t="e">
        <f>VLOOKUP(D294,epiunits!A$1:J$4000,10,FALSE)</f>
        <v>#N/A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</row>
    <row r="295" spans="1:51" x14ac:dyDescent="0.25">
      <c r="A295" s="1" t="e">
        <f>VLOOKUP(D295,epiunits!A$1:C$4000,2,FALSE)</f>
        <v>#N/A</v>
      </c>
      <c r="B295" s="1" t="e">
        <f>VLOOKUP(D295,epiunits!A$1:C$4000,3,FALSE)</f>
        <v>#N/A</v>
      </c>
      <c r="C295" s="1" t="e">
        <f>VLOOKUP(E295,Inspector!A$1:B$50,2,FALSE)</f>
        <v>#N/A</v>
      </c>
      <c r="I295" s="1" t="e">
        <f>VLOOKUP(D295,epiunits!A$1:J$4000,6,FALSE)</f>
        <v>#N/A</v>
      </c>
      <c r="J295" s="1" t="e">
        <f>VLOOKUP(D295,epiunits!A$1:J$4000,7,FALSE)</f>
        <v>#N/A</v>
      </c>
      <c r="K295" s="1" t="e">
        <f>VLOOKUP(D295,epiunits!A$1:J$4000,8,FALSE)</f>
        <v>#N/A</v>
      </c>
      <c r="L295" s="1" t="e">
        <f>VLOOKUP(D295,epiunits!A$1:J$4000,9,FALSE)</f>
        <v>#N/A</v>
      </c>
      <c r="M295" s="1" t="e">
        <f>VLOOKUP(D295,epiunits!A$1:J$4000,10,FALSE)</f>
        <v>#N/A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</row>
    <row r="296" spans="1:51" x14ac:dyDescent="0.25">
      <c r="A296" s="1" t="e">
        <f>VLOOKUP(D296,epiunits!A$1:C$4000,2,FALSE)</f>
        <v>#N/A</v>
      </c>
      <c r="B296" s="1" t="e">
        <f>VLOOKUP(D296,epiunits!A$1:C$4000,3,FALSE)</f>
        <v>#N/A</v>
      </c>
      <c r="C296" s="1" t="e">
        <f>VLOOKUP(E296,Inspector!A$1:B$50,2,FALSE)</f>
        <v>#N/A</v>
      </c>
      <c r="I296" s="1" t="e">
        <f>VLOOKUP(D296,epiunits!A$1:J$4000,6,FALSE)</f>
        <v>#N/A</v>
      </c>
      <c r="J296" s="1" t="e">
        <f>VLOOKUP(D296,epiunits!A$1:J$4000,7,FALSE)</f>
        <v>#N/A</v>
      </c>
      <c r="K296" s="1" t="e">
        <f>VLOOKUP(D296,epiunits!A$1:J$4000,8,FALSE)</f>
        <v>#N/A</v>
      </c>
      <c r="L296" s="1" t="e">
        <f>VLOOKUP(D296,epiunits!A$1:J$4000,9,FALSE)</f>
        <v>#N/A</v>
      </c>
      <c r="M296" s="1" t="e">
        <f>VLOOKUP(D296,epiunits!A$1:J$4000,10,FALSE)</f>
        <v>#N/A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</row>
    <row r="297" spans="1:51" x14ac:dyDescent="0.25">
      <c r="A297" s="1" t="e">
        <f>VLOOKUP(D297,epiunits!A$1:C$4000,2,FALSE)</f>
        <v>#N/A</v>
      </c>
      <c r="B297" s="1" t="e">
        <f>VLOOKUP(D297,epiunits!A$1:C$4000,3,FALSE)</f>
        <v>#N/A</v>
      </c>
      <c r="C297" s="1" t="e">
        <f>VLOOKUP(E297,Inspector!A$1:B$50,2,FALSE)</f>
        <v>#N/A</v>
      </c>
      <c r="I297" s="1" t="e">
        <f>VLOOKUP(D297,epiunits!A$1:J$4000,6,FALSE)</f>
        <v>#N/A</v>
      </c>
      <c r="J297" s="1" t="e">
        <f>VLOOKUP(D297,epiunits!A$1:J$4000,7,FALSE)</f>
        <v>#N/A</v>
      </c>
      <c r="K297" s="1" t="e">
        <f>VLOOKUP(D297,epiunits!A$1:J$4000,8,FALSE)</f>
        <v>#N/A</v>
      </c>
      <c r="L297" s="1" t="e">
        <f>VLOOKUP(D297,epiunits!A$1:J$4000,9,FALSE)</f>
        <v>#N/A</v>
      </c>
      <c r="M297" s="1" t="e">
        <f>VLOOKUP(D297,epiunits!A$1:J$4000,10,FALSE)</f>
        <v>#N/A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</row>
    <row r="298" spans="1:51" x14ac:dyDescent="0.25">
      <c r="A298" s="1" t="e">
        <f>VLOOKUP(D298,epiunits!A$1:C$4000,2,FALSE)</f>
        <v>#N/A</v>
      </c>
      <c r="B298" s="1" t="e">
        <f>VLOOKUP(D298,epiunits!A$1:C$4000,3,FALSE)</f>
        <v>#N/A</v>
      </c>
      <c r="C298" s="1" t="e">
        <f>VLOOKUP(E298,Inspector!A$1:B$50,2,FALSE)</f>
        <v>#N/A</v>
      </c>
      <c r="I298" s="1" t="e">
        <f>VLOOKUP(D298,epiunits!A$1:J$4000,6,FALSE)</f>
        <v>#N/A</v>
      </c>
      <c r="J298" s="1" t="e">
        <f>VLOOKUP(D298,epiunits!A$1:J$4000,7,FALSE)</f>
        <v>#N/A</v>
      </c>
      <c r="K298" s="1" t="e">
        <f>VLOOKUP(D298,epiunits!A$1:J$4000,8,FALSE)</f>
        <v>#N/A</v>
      </c>
      <c r="L298" s="1" t="e">
        <f>VLOOKUP(D298,epiunits!A$1:J$4000,9,FALSE)</f>
        <v>#N/A</v>
      </c>
      <c r="M298" s="1" t="e">
        <f>VLOOKUP(D298,epiunits!A$1:J$4000,10,FALSE)</f>
        <v>#N/A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</row>
    <row r="299" spans="1:51" x14ac:dyDescent="0.25">
      <c r="A299" s="1" t="e">
        <f>VLOOKUP(D299,epiunits!A$1:C$4000,2,FALSE)</f>
        <v>#N/A</v>
      </c>
      <c r="B299" s="1" t="e">
        <f>VLOOKUP(D299,epiunits!A$1:C$4000,3,FALSE)</f>
        <v>#N/A</v>
      </c>
      <c r="C299" s="1" t="e">
        <f>VLOOKUP(E299,Inspector!A$1:B$50,2,FALSE)</f>
        <v>#N/A</v>
      </c>
      <c r="I299" s="1" t="e">
        <f>VLOOKUP(D299,epiunits!A$1:J$4000,6,FALSE)</f>
        <v>#N/A</v>
      </c>
      <c r="J299" s="1" t="e">
        <f>VLOOKUP(D299,epiunits!A$1:J$4000,7,FALSE)</f>
        <v>#N/A</v>
      </c>
      <c r="K299" s="1" t="e">
        <f>VLOOKUP(D299,epiunits!A$1:J$4000,8,FALSE)</f>
        <v>#N/A</v>
      </c>
      <c r="L299" s="1" t="e">
        <f>VLOOKUP(D299,epiunits!A$1:J$4000,9,FALSE)</f>
        <v>#N/A</v>
      </c>
      <c r="M299" s="1" t="e">
        <f>VLOOKUP(D299,epiunits!A$1:J$4000,10,FALSE)</f>
        <v>#N/A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</row>
    <row r="300" spans="1:51" x14ac:dyDescent="0.25">
      <c r="A300" s="1" t="e">
        <f>VLOOKUP(D300,epiunits!A$1:C$4000,2,FALSE)</f>
        <v>#N/A</v>
      </c>
      <c r="B300" s="1" t="e">
        <f>VLOOKUP(D300,epiunits!A$1:C$4000,3,FALSE)</f>
        <v>#N/A</v>
      </c>
      <c r="C300" s="1" t="e">
        <f>VLOOKUP(E300,Inspector!A$1:B$50,2,FALSE)</f>
        <v>#N/A</v>
      </c>
      <c r="I300" s="1" t="e">
        <f>VLOOKUP(D300,epiunits!A$1:J$4000,6,FALSE)</f>
        <v>#N/A</v>
      </c>
      <c r="J300" s="1" t="e">
        <f>VLOOKUP(D300,epiunits!A$1:J$4000,7,FALSE)</f>
        <v>#N/A</v>
      </c>
      <c r="K300" s="1" t="e">
        <f>VLOOKUP(D300,epiunits!A$1:J$4000,8,FALSE)</f>
        <v>#N/A</v>
      </c>
      <c r="L300" s="1" t="e">
        <f>VLOOKUP(D300,epiunits!A$1:J$4000,9,FALSE)</f>
        <v>#N/A</v>
      </c>
      <c r="M300" s="1" t="e">
        <f>VLOOKUP(D300,epiunits!A$1:J$4000,10,FALSE)</f>
        <v>#N/A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</row>
    <row r="301" spans="1:51" x14ac:dyDescent="0.25">
      <c r="A301" s="1" t="e">
        <f>VLOOKUP(D301,epiunits!A$1:C$4000,2,FALSE)</f>
        <v>#N/A</v>
      </c>
      <c r="B301" s="1" t="e">
        <f>VLOOKUP(D301,epiunits!A$1:C$4000,3,FALSE)</f>
        <v>#N/A</v>
      </c>
      <c r="C301" s="1" t="e">
        <f>VLOOKUP(E301,Inspector!A$1:B$50,2,FALSE)</f>
        <v>#N/A</v>
      </c>
      <c r="I301" s="1" t="e">
        <f>VLOOKUP(D301,epiunits!A$1:J$4000,6,FALSE)</f>
        <v>#N/A</v>
      </c>
      <c r="J301" s="1" t="e">
        <f>VLOOKUP(D301,epiunits!A$1:J$4000,7,FALSE)</f>
        <v>#N/A</v>
      </c>
      <c r="K301" s="1" t="e">
        <f>VLOOKUP(D301,epiunits!A$1:J$4000,8,FALSE)</f>
        <v>#N/A</v>
      </c>
      <c r="L301" s="1" t="e">
        <f>VLOOKUP(D301,epiunits!A$1:J$4000,9,FALSE)</f>
        <v>#N/A</v>
      </c>
      <c r="M301" s="1" t="e">
        <f>VLOOKUP(D301,epiunits!A$1:J$4000,10,FALSE)</f>
        <v>#N/A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</row>
    <row r="302" spans="1:51" x14ac:dyDescent="0.25">
      <c r="A302" s="1" t="e">
        <f>VLOOKUP(D302,epiunits!A$1:C$4000,2,FALSE)</f>
        <v>#N/A</v>
      </c>
      <c r="B302" s="1" t="e">
        <f>VLOOKUP(D302,epiunits!A$1:C$4000,3,FALSE)</f>
        <v>#N/A</v>
      </c>
      <c r="C302" s="1" t="e">
        <f>VLOOKUP(E302,Inspector!A$1:B$50,2,FALSE)</f>
        <v>#N/A</v>
      </c>
      <c r="I302" s="1" t="e">
        <f>VLOOKUP(D302,epiunits!A$1:J$4000,6,FALSE)</f>
        <v>#N/A</v>
      </c>
      <c r="J302" s="1" t="e">
        <f>VLOOKUP(D302,epiunits!A$1:J$4000,7,FALSE)</f>
        <v>#N/A</v>
      </c>
      <c r="K302" s="1" t="e">
        <f>VLOOKUP(D302,epiunits!A$1:J$4000,8,FALSE)</f>
        <v>#N/A</v>
      </c>
      <c r="L302" s="1" t="e">
        <f>VLOOKUP(D302,epiunits!A$1:J$4000,9,FALSE)</f>
        <v>#N/A</v>
      </c>
      <c r="M302" s="1" t="e">
        <f>VLOOKUP(D302,epiunits!A$1:J$4000,10,FALSE)</f>
        <v>#N/A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</row>
    <row r="303" spans="1:51" x14ac:dyDescent="0.25">
      <c r="A303" s="1" t="e">
        <f>VLOOKUP(D303,epiunits!A$1:C$4000,2,FALSE)</f>
        <v>#N/A</v>
      </c>
      <c r="B303" s="1" t="e">
        <f>VLOOKUP(D303,epiunits!A$1:C$4000,3,FALSE)</f>
        <v>#N/A</v>
      </c>
      <c r="C303" s="1" t="e">
        <f>VLOOKUP(E303,Inspector!A$1:B$50,2,FALSE)</f>
        <v>#N/A</v>
      </c>
      <c r="I303" s="1" t="e">
        <f>VLOOKUP(D303,epiunits!A$1:J$4000,6,FALSE)</f>
        <v>#N/A</v>
      </c>
      <c r="J303" s="1" t="e">
        <f>VLOOKUP(D303,epiunits!A$1:J$4000,7,FALSE)</f>
        <v>#N/A</v>
      </c>
      <c r="K303" s="1" t="e">
        <f>VLOOKUP(D303,epiunits!A$1:J$4000,8,FALSE)</f>
        <v>#N/A</v>
      </c>
      <c r="L303" s="1" t="e">
        <f>VLOOKUP(D303,epiunits!A$1:J$4000,9,FALSE)</f>
        <v>#N/A</v>
      </c>
      <c r="M303" s="1" t="e">
        <f>VLOOKUP(D303,epiunits!A$1:J$4000,10,FALSE)</f>
        <v>#N/A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</row>
    <row r="304" spans="1:51" x14ac:dyDescent="0.25">
      <c r="A304" s="1" t="e">
        <f>VLOOKUP(D304,epiunits!A$1:C$4000,2,FALSE)</f>
        <v>#N/A</v>
      </c>
      <c r="B304" s="1" t="e">
        <f>VLOOKUP(D304,epiunits!A$1:C$4000,3,FALSE)</f>
        <v>#N/A</v>
      </c>
      <c r="C304" s="1" t="e">
        <f>VLOOKUP(E304,Inspector!A$1:B$50,2,FALSE)</f>
        <v>#N/A</v>
      </c>
      <c r="I304" s="1" t="e">
        <f>VLOOKUP(D304,epiunits!A$1:J$4000,6,FALSE)</f>
        <v>#N/A</v>
      </c>
      <c r="J304" s="1" t="e">
        <f>VLOOKUP(D304,epiunits!A$1:J$4000,7,FALSE)</f>
        <v>#N/A</v>
      </c>
      <c r="K304" s="1" t="e">
        <f>VLOOKUP(D304,epiunits!A$1:J$4000,8,FALSE)</f>
        <v>#N/A</v>
      </c>
      <c r="L304" s="1" t="e">
        <f>VLOOKUP(D304,epiunits!A$1:J$4000,9,FALSE)</f>
        <v>#N/A</v>
      </c>
      <c r="M304" s="1" t="e">
        <f>VLOOKUP(D304,epiunits!A$1:J$4000,10,FALSE)</f>
        <v>#N/A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</row>
    <row r="305" spans="1:51" x14ac:dyDescent="0.25">
      <c r="A305" s="1" t="e">
        <f>VLOOKUP(D305,epiunits!A$1:C$4000,2,FALSE)</f>
        <v>#N/A</v>
      </c>
      <c r="B305" s="1" t="e">
        <f>VLOOKUP(D305,epiunits!A$1:C$4000,3,FALSE)</f>
        <v>#N/A</v>
      </c>
      <c r="C305" s="1" t="e">
        <f>VLOOKUP(E305,Inspector!A$1:B$50,2,FALSE)</f>
        <v>#N/A</v>
      </c>
      <c r="I305" s="1" t="e">
        <f>VLOOKUP(D305,epiunits!A$1:J$4000,6,FALSE)</f>
        <v>#N/A</v>
      </c>
      <c r="J305" s="1" t="e">
        <f>VLOOKUP(D305,epiunits!A$1:J$4000,7,FALSE)</f>
        <v>#N/A</v>
      </c>
      <c r="K305" s="1" t="e">
        <f>VLOOKUP(D305,epiunits!A$1:J$4000,8,FALSE)</f>
        <v>#N/A</v>
      </c>
      <c r="L305" s="1" t="e">
        <f>VLOOKUP(D305,epiunits!A$1:J$4000,9,FALSE)</f>
        <v>#N/A</v>
      </c>
      <c r="M305" s="1" t="e">
        <f>VLOOKUP(D305,epiunits!A$1:J$4000,10,FALSE)</f>
        <v>#N/A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</row>
    <row r="306" spans="1:51" x14ac:dyDescent="0.25">
      <c r="A306" s="1" t="e">
        <f>VLOOKUP(D306,epiunits!A$1:C$4000,2,FALSE)</f>
        <v>#N/A</v>
      </c>
      <c r="B306" s="1" t="e">
        <f>VLOOKUP(D306,epiunits!A$1:C$4000,3,FALSE)</f>
        <v>#N/A</v>
      </c>
      <c r="C306" s="1" t="e">
        <f>VLOOKUP(E306,Inspector!A$1:B$50,2,FALSE)</f>
        <v>#N/A</v>
      </c>
      <c r="I306" s="1" t="e">
        <f>VLOOKUP(D306,epiunits!A$1:J$4000,6,FALSE)</f>
        <v>#N/A</v>
      </c>
      <c r="J306" s="1" t="e">
        <f>VLOOKUP(D306,epiunits!A$1:J$4000,7,FALSE)</f>
        <v>#N/A</v>
      </c>
      <c r="K306" s="1" t="e">
        <f>VLOOKUP(D306,epiunits!A$1:J$4000,8,FALSE)</f>
        <v>#N/A</v>
      </c>
      <c r="L306" s="1" t="e">
        <f>VLOOKUP(D306,epiunits!A$1:J$4000,9,FALSE)</f>
        <v>#N/A</v>
      </c>
      <c r="M306" s="1" t="e">
        <f>VLOOKUP(D306,epiunits!A$1:J$4000,10,FALSE)</f>
        <v>#N/A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</row>
    <row r="307" spans="1:51" x14ac:dyDescent="0.25">
      <c r="A307" s="1" t="e">
        <f>VLOOKUP(D307,epiunits!A$1:C$4000,2,FALSE)</f>
        <v>#N/A</v>
      </c>
      <c r="B307" s="1" t="e">
        <f>VLOOKUP(D307,epiunits!A$1:C$4000,3,FALSE)</f>
        <v>#N/A</v>
      </c>
      <c r="C307" s="1" t="e">
        <f>VLOOKUP(E307,Inspector!A$1:B$50,2,FALSE)</f>
        <v>#N/A</v>
      </c>
      <c r="I307" s="1" t="e">
        <f>VLOOKUP(D307,epiunits!A$1:J$4000,6,FALSE)</f>
        <v>#N/A</v>
      </c>
      <c r="J307" s="1" t="e">
        <f>VLOOKUP(D307,epiunits!A$1:J$4000,7,FALSE)</f>
        <v>#N/A</v>
      </c>
      <c r="K307" s="1" t="e">
        <f>VLOOKUP(D307,epiunits!A$1:J$4000,8,FALSE)</f>
        <v>#N/A</v>
      </c>
      <c r="L307" s="1" t="e">
        <f>VLOOKUP(D307,epiunits!A$1:J$4000,9,FALSE)</f>
        <v>#N/A</v>
      </c>
      <c r="M307" s="1" t="e">
        <f>VLOOKUP(D307,epiunits!A$1:J$4000,10,FALSE)</f>
        <v>#N/A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</row>
    <row r="308" spans="1:51" x14ac:dyDescent="0.25">
      <c r="A308" s="1" t="e">
        <f>VLOOKUP(D308,epiunits!A$1:C$4000,2,FALSE)</f>
        <v>#N/A</v>
      </c>
      <c r="B308" s="1" t="e">
        <f>VLOOKUP(D308,epiunits!A$1:C$4000,3,FALSE)</f>
        <v>#N/A</v>
      </c>
      <c r="C308" s="1" t="e">
        <f>VLOOKUP(E308,Inspector!A$1:B$50,2,FALSE)</f>
        <v>#N/A</v>
      </c>
      <c r="I308" s="1" t="e">
        <f>VLOOKUP(D308,epiunits!A$1:J$4000,6,FALSE)</f>
        <v>#N/A</v>
      </c>
      <c r="J308" s="1" t="e">
        <f>VLOOKUP(D308,epiunits!A$1:J$4000,7,FALSE)</f>
        <v>#N/A</v>
      </c>
      <c r="K308" s="1" t="e">
        <f>VLOOKUP(D308,epiunits!A$1:J$4000,8,FALSE)</f>
        <v>#N/A</v>
      </c>
      <c r="L308" s="1" t="e">
        <f>VLOOKUP(D308,epiunits!A$1:J$4000,9,FALSE)</f>
        <v>#N/A</v>
      </c>
      <c r="M308" s="1" t="e">
        <f>VLOOKUP(D308,epiunits!A$1:J$4000,10,FALSE)</f>
        <v>#N/A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</row>
    <row r="309" spans="1:51" x14ac:dyDescent="0.25">
      <c r="A309" s="1" t="e">
        <f>VLOOKUP(D309,epiunits!A$1:C$4000,2,FALSE)</f>
        <v>#N/A</v>
      </c>
      <c r="B309" s="1" t="e">
        <f>VLOOKUP(D309,epiunits!A$1:C$4000,3,FALSE)</f>
        <v>#N/A</v>
      </c>
      <c r="C309" s="1" t="e">
        <f>VLOOKUP(E309,Inspector!A$1:B$50,2,FALSE)</f>
        <v>#N/A</v>
      </c>
      <c r="I309" s="1" t="e">
        <f>VLOOKUP(D309,epiunits!A$1:J$4000,6,FALSE)</f>
        <v>#N/A</v>
      </c>
      <c r="J309" s="1" t="e">
        <f>VLOOKUP(D309,epiunits!A$1:J$4000,7,FALSE)</f>
        <v>#N/A</v>
      </c>
      <c r="K309" s="1" t="e">
        <f>VLOOKUP(D309,epiunits!A$1:J$4000,8,FALSE)</f>
        <v>#N/A</v>
      </c>
      <c r="L309" s="1" t="e">
        <f>VLOOKUP(D309,epiunits!A$1:J$4000,9,FALSE)</f>
        <v>#N/A</v>
      </c>
      <c r="M309" s="1" t="e">
        <f>VLOOKUP(D309,epiunits!A$1:J$4000,10,FALSE)</f>
        <v>#N/A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</row>
    <row r="310" spans="1:51" x14ac:dyDescent="0.25">
      <c r="A310" s="1" t="e">
        <f>VLOOKUP(D310,epiunits!A$1:C$4000,2,FALSE)</f>
        <v>#N/A</v>
      </c>
      <c r="B310" s="1" t="e">
        <f>VLOOKUP(D310,epiunits!A$1:C$4000,3,FALSE)</f>
        <v>#N/A</v>
      </c>
      <c r="C310" s="1" t="e">
        <f>VLOOKUP(E310,Inspector!A$1:B$50,2,FALSE)</f>
        <v>#N/A</v>
      </c>
      <c r="I310" s="1" t="e">
        <f>VLOOKUP(D310,epiunits!A$1:J$4000,6,FALSE)</f>
        <v>#N/A</v>
      </c>
      <c r="J310" s="1" t="e">
        <f>VLOOKUP(D310,epiunits!A$1:J$4000,7,FALSE)</f>
        <v>#N/A</v>
      </c>
      <c r="K310" s="1" t="e">
        <f>VLOOKUP(D310,epiunits!A$1:J$4000,8,FALSE)</f>
        <v>#N/A</v>
      </c>
      <c r="L310" s="1" t="e">
        <f>VLOOKUP(D310,epiunits!A$1:J$4000,9,FALSE)</f>
        <v>#N/A</v>
      </c>
      <c r="M310" s="1" t="e">
        <f>VLOOKUP(D310,epiunits!A$1:J$4000,10,FALSE)</f>
        <v>#N/A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</row>
    <row r="311" spans="1:51" x14ac:dyDescent="0.25">
      <c r="A311" s="1" t="e">
        <f>VLOOKUP(D311,epiunits!A$1:C$4000,2,FALSE)</f>
        <v>#N/A</v>
      </c>
      <c r="B311" s="1" t="e">
        <f>VLOOKUP(D311,epiunits!A$1:C$4000,3,FALSE)</f>
        <v>#N/A</v>
      </c>
      <c r="C311" s="1" t="e">
        <f>VLOOKUP(E311,Inspector!A$1:B$50,2,FALSE)</f>
        <v>#N/A</v>
      </c>
      <c r="I311" s="1" t="e">
        <f>VLOOKUP(D311,epiunits!A$1:J$4000,6,FALSE)</f>
        <v>#N/A</v>
      </c>
      <c r="J311" s="1" t="e">
        <f>VLOOKUP(D311,epiunits!A$1:J$4000,7,FALSE)</f>
        <v>#N/A</v>
      </c>
      <c r="K311" s="1" t="e">
        <f>VLOOKUP(D311,epiunits!A$1:J$4000,8,FALSE)</f>
        <v>#N/A</v>
      </c>
      <c r="L311" s="1" t="e">
        <f>VLOOKUP(D311,epiunits!A$1:J$4000,9,FALSE)</f>
        <v>#N/A</v>
      </c>
      <c r="M311" s="1" t="e">
        <f>VLOOKUP(D311,epiunits!A$1:J$4000,10,FALSE)</f>
        <v>#N/A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</row>
    <row r="312" spans="1:51" x14ac:dyDescent="0.25">
      <c r="A312" s="1" t="e">
        <f>VLOOKUP(D312,epiunits!A$1:C$4000,2,FALSE)</f>
        <v>#N/A</v>
      </c>
      <c r="B312" s="1" t="e">
        <f>VLOOKUP(D312,epiunits!A$1:C$4000,3,FALSE)</f>
        <v>#N/A</v>
      </c>
      <c r="C312" s="1" t="e">
        <f>VLOOKUP(E312,Inspector!A$1:B$50,2,FALSE)</f>
        <v>#N/A</v>
      </c>
      <c r="I312" s="1" t="e">
        <f>VLOOKUP(D312,epiunits!A$1:J$4000,6,FALSE)</f>
        <v>#N/A</v>
      </c>
      <c r="J312" s="1" t="e">
        <f>VLOOKUP(D312,epiunits!A$1:J$4000,7,FALSE)</f>
        <v>#N/A</v>
      </c>
      <c r="K312" s="1" t="e">
        <f>VLOOKUP(D312,epiunits!A$1:J$4000,8,FALSE)</f>
        <v>#N/A</v>
      </c>
      <c r="L312" s="1" t="e">
        <f>VLOOKUP(D312,epiunits!A$1:J$4000,9,FALSE)</f>
        <v>#N/A</v>
      </c>
      <c r="M312" s="1" t="e">
        <f>VLOOKUP(D312,epiunits!A$1:J$4000,10,FALSE)</f>
        <v>#N/A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</row>
    <row r="313" spans="1:51" x14ac:dyDescent="0.25">
      <c r="A313" s="1" t="e">
        <f>VLOOKUP(D313,epiunits!A$1:C$4000,2,FALSE)</f>
        <v>#N/A</v>
      </c>
      <c r="B313" s="1" t="e">
        <f>VLOOKUP(D313,epiunits!A$1:C$4000,3,FALSE)</f>
        <v>#N/A</v>
      </c>
      <c r="C313" s="1" t="e">
        <f>VLOOKUP(E313,Inspector!A$1:B$50,2,FALSE)</f>
        <v>#N/A</v>
      </c>
      <c r="I313" s="1" t="e">
        <f>VLOOKUP(D313,epiunits!A$1:J$4000,6,FALSE)</f>
        <v>#N/A</v>
      </c>
      <c r="J313" s="1" t="e">
        <f>VLOOKUP(D313,epiunits!A$1:J$4000,7,FALSE)</f>
        <v>#N/A</v>
      </c>
      <c r="K313" s="1" t="e">
        <f>VLOOKUP(D313,epiunits!A$1:J$4000,8,FALSE)</f>
        <v>#N/A</v>
      </c>
      <c r="L313" s="1" t="e">
        <f>VLOOKUP(D313,epiunits!A$1:J$4000,9,FALSE)</f>
        <v>#N/A</v>
      </c>
      <c r="M313" s="1" t="e">
        <f>VLOOKUP(D313,epiunits!A$1:J$4000,10,FALSE)</f>
        <v>#N/A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</row>
    <row r="314" spans="1:51" x14ac:dyDescent="0.25">
      <c r="A314" s="1" t="e">
        <f>VLOOKUP(D314,epiunits!A$1:C$4000,2,FALSE)</f>
        <v>#N/A</v>
      </c>
      <c r="B314" s="1" t="e">
        <f>VLOOKUP(D314,epiunits!A$1:C$4000,3,FALSE)</f>
        <v>#N/A</v>
      </c>
      <c r="C314" s="1" t="e">
        <f>VLOOKUP(E314,Inspector!A$1:B$50,2,FALSE)</f>
        <v>#N/A</v>
      </c>
      <c r="I314" s="1" t="e">
        <f>VLOOKUP(D314,epiunits!A$1:J$4000,6,FALSE)</f>
        <v>#N/A</v>
      </c>
      <c r="J314" s="1" t="e">
        <f>VLOOKUP(D314,epiunits!A$1:J$4000,7,FALSE)</f>
        <v>#N/A</v>
      </c>
      <c r="K314" s="1" t="e">
        <f>VLOOKUP(D314,epiunits!A$1:J$4000,8,FALSE)</f>
        <v>#N/A</v>
      </c>
      <c r="L314" s="1" t="e">
        <f>VLOOKUP(D314,epiunits!A$1:J$4000,9,FALSE)</f>
        <v>#N/A</v>
      </c>
      <c r="M314" s="1" t="e">
        <f>VLOOKUP(D314,epiunits!A$1:J$4000,10,FALSE)</f>
        <v>#N/A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</row>
    <row r="315" spans="1:51" x14ac:dyDescent="0.25">
      <c r="A315" s="1" t="e">
        <f>VLOOKUP(D315,epiunits!A$1:C$4000,2,FALSE)</f>
        <v>#N/A</v>
      </c>
      <c r="B315" s="1" t="e">
        <f>VLOOKUP(D315,epiunits!A$1:C$4000,3,FALSE)</f>
        <v>#N/A</v>
      </c>
      <c r="C315" s="1" t="e">
        <f>VLOOKUP(E315,Inspector!A$1:B$50,2,FALSE)</f>
        <v>#N/A</v>
      </c>
      <c r="I315" s="1" t="e">
        <f>VLOOKUP(D315,epiunits!A$1:J$4000,6,FALSE)</f>
        <v>#N/A</v>
      </c>
      <c r="J315" s="1" t="e">
        <f>VLOOKUP(D315,epiunits!A$1:J$4000,7,FALSE)</f>
        <v>#N/A</v>
      </c>
      <c r="K315" s="1" t="e">
        <f>VLOOKUP(D315,epiunits!A$1:J$4000,8,FALSE)</f>
        <v>#N/A</v>
      </c>
      <c r="L315" s="1" t="e">
        <f>VLOOKUP(D315,epiunits!A$1:J$4000,9,FALSE)</f>
        <v>#N/A</v>
      </c>
      <c r="M315" s="1" t="e">
        <f>VLOOKUP(D315,epiunits!A$1:J$4000,10,FALSE)</f>
        <v>#N/A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</row>
    <row r="316" spans="1:51" x14ac:dyDescent="0.25">
      <c r="A316" s="1" t="e">
        <f>VLOOKUP(D316,epiunits!A$1:C$4000,2,FALSE)</f>
        <v>#N/A</v>
      </c>
      <c r="B316" s="1" t="e">
        <f>VLOOKUP(D316,epiunits!A$1:C$4000,3,FALSE)</f>
        <v>#N/A</v>
      </c>
      <c r="C316" s="1" t="e">
        <f>VLOOKUP(E316,Inspector!A$1:B$50,2,FALSE)</f>
        <v>#N/A</v>
      </c>
      <c r="I316" s="1" t="e">
        <f>VLOOKUP(D316,epiunits!A$1:J$4000,6,FALSE)</f>
        <v>#N/A</v>
      </c>
      <c r="J316" s="1" t="e">
        <f>VLOOKUP(D316,epiunits!A$1:J$4000,7,FALSE)</f>
        <v>#N/A</v>
      </c>
      <c r="K316" s="1" t="e">
        <f>VLOOKUP(D316,epiunits!A$1:J$4000,8,FALSE)</f>
        <v>#N/A</v>
      </c>
      <c r="L316" s="1" t="e">
        <f>VLOOKUP(D316,epiunits!A$1:J$4000,9,FALSE)</f>
        <v>#N/A</v>
      </c>
      <c r="M316" s="1" t="e">
        <f>VLOOKUP(D316,epiunits!A$1:J$4000,10,FALSE)</f>
        <v>#N/A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</row>
    <row r="317" spans="1:51" x14ac:dyDescent="0.25">
      <c r="A317" s="1" t="e">
        <f>VLOOKUP(D317,epiunits!A$1:C$4000,2,FALSE)</f>
        <v>#N/A</v>
      </c>
      <c r="B317" s="1" t="e">
        <f>VLOOKUP(D317,epiunits!A$1:C$4000,3,FALSE)</f>
        <v>#N/A</v>
      </c>
      <c r="C317" s="1" t="e">
        <f>VLOOKUP(E317,Inspector!A$1:B$50,2,FALSE)</f>
        <v>#N/A</v>
      </c>
      <c r="I317" s="1" t="e">
        <f>VLOOKUP(D317,epiunits!A$1:J$4000,6,FALSE)</f>
        <v>#N/A</v>
      </c>
      <c r="J317" s="1" t="e">
        <f>VLOOKUP(D317,epiunits!A$1:J$4000,7,FALSE)</f>
        <v>#N/A</v>
      </c>
      <c r="K317" s="1" t="e">
        <f>VLOOKUP(D317,epiunits!A$1:J$4000,8,FALSE)</f>
        <v>#N/A</v>
      </c>
      <c r="L317" s="1" t="e">
        <f>VLOOKUP(D317,epiunits!A$1:J$4000,9,FALSE)</f>
        <v>#N/A</v>
      </c>
      <c r="M317" s="1" t="e">
        <f>VLOOKUP(D317,epiunits!A$1:J$4000,10,FALSE)</f>
        <v>#N/A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</row>
    <row r="318" spans="1:51" x14ac:dyDescent="0.25">
      <c r="A318" s="1" t="e">
        <f>VLOOKUP(D318,epiunits!A$1:C$4000,2,FALSE)</f>
        <v>#N/A</v>
      </c>
      <c r="B318" s="1" t="e">
        <f>VLOOKUP(D318,epiunits!A$1:C$4000,3,FALSE)</f>
        <v>#N/A</v>
      </c>
      <c r="C318" s="1" t="e">
        <f>VLOOKUP(E318,Inspector!A$1:B$50,2,FALSE)</f>
        <v>#N/A</v>
      </c>
      <c r="I318" s="1" t="e">
        <f>VLOOKUP(D318,epiunits!A$1:J$4000,6,FALSE)</f>
        <v>#N/A</v>
      </c>
      <c r="J318" s="1" t="e">
        <f>VLOOKUP(D318,epiunits!A$1:J$4000,7,FALSE)</f>
        <v>#N/A</v>
      </c>
      <c r="K318" s="1" t="e">
        <f>VLOOKUP(D318,epiunits!A$1:J$4000,8,FALSE)</f>
        <v>#N/A</v>
      </c>
      <c r="L318" s="1" t="e">
        <f>VLOOKUP(D318,epiunits!A$1:J$4000,9,FALSE)</f>
        <v>#N/A</v>
      </c>
      <c r="M318" s="1" t="e">
        <f>VLOOKUP(D318,epiunits!A$1:J$4000,10,FALSE)</f>
        <v>#N/A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</row>
    <row r="319" spans="1:51" x14ac:dyDescent="0.25">
      <c r="A319" s="1" t="e">
        <f>VLOOKUP(D319,epiunits!A$1:C$4000,2,FALSE)</f>
        <v>#N/A</v>
      </c>
      <c r="B319" s="1" t="e">
        <f>VLOOKUP(D319,epiunits!A$1:C$4000,3,FALSE)</f>
        <v>#N/A</v>
      </c>
      <c r="C319" s="1" t="e">
        <f>VLOOKUP(E319,Inspector!A$1:B$50,2,FALSE)</f>
        <v>#N/A</v>
      </c>
      <c r="I319" s="1" t="e">
        <f>VLOOKUP(D319,epiunits!A$1:J$4000,6,FALSE)</f>
        <v>#N/A</v>
      </c>
      <c r="J319" s="1" t="e">
        <f>VLOOKUP(D319,epiunits!A$1:J$4000,7,FALSE)</f>
        <v>#N/A</v>
      </c>
      <c r="K319" s="1" t="e">
        <f>VLOOKUP(D319,epiunits!A$1:J$4000,8,FALSE)</f>
        <v>#N/A</v>
      </c>
      <c r="L319" s="1" t="e">
        <f>VLOOKUP(D319,epiunits!A$1:J$4000,9,FALSE)</f>
        <v>#N/A</v>
      </c>
      <c r="M319" s="1" t="e">
        <f>VLOOKUP(D319,epiunits!A$1:J$4000,10,FALSE)</f>
        <v>#N/A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</row>
    <row r="320" spans="1:51" x14ac:dyDescent="0.25">
      <c r="A320" s="1" t="e">
        <f>VLOOKUP(D320,epiunits!A$1:C$4000,2,FALSE)</f>
        <v>#N/A</v>
      </c>
      <c r="B320" s="1" t="e">
        <f>VLOOKUP(D320,epiunits!A$1:C$4000,3,FALSE)</f>
        <v>#N/A</v>
      </c>
      <c r="C320" s="1" t="e">
        <f>VLOOKUP(E320,Inspector!A$1:B$50,2,FALSE)</f>
        <v>#N/A</v>
      </c>
      <c r="I320" s="1" t="e">
        <f>VLOOKUP(D320,epiunits!A$1:J$4000,6,FALSE)</f>
        <v>#N/A</v>
      </c>
      <c r="J320" s="1" t="e">
        <f>VLOOKUP(D320,epiunits!A$1:J$4000,7,FALSE)</f>
        <v>#N/A</v>
      </c>
      <c r="K320" s="1" t="e">
        <f>VLOOKUP(D320,epiunits!A$1:J$4000,8,FALSE)</f>
        <v>#N/A</v>
      </c>
      <c r="L320" s="1" t="e">
        <f>VLOOKUP(D320,epiunits!A$1:J$4000,9,FALSE)</f>
        <v>#N/A</v>
      </c>
      <c r="M320" s="1" t="e">
        <f>VLOOKUP(D320,epiunits!A$1:J$4000,10,FALSE)</f>
        <v>#N/A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</row>
    <row r="321" spans="1:51" x14ac:dyDescent="0.25">
      <c r="A321" s="1" t="e">
        <f>VLOOKUP(D321,epiunits!A$1:C$4000,2,FALSE)</f>
        <v>#N/A</v>
      </c>
      <c r="B321" s="1" t="e">
        <f>VLOOKUP(D321,epiunits!A$1:C$4000,3,FALSE)</f>
        <v>#N/A</v>
      </c>
      <c r="C321" s="1" t="e">
        <f>VLOOKUP(E321,Inspector!A$1:B$50,2,FALSE)</f>
        <v>#N/A</v>
      </c>
      <c r="I321" s="1" t="e">
        <f>VLOOKUP(D321,epiunits!A$1:J$4000,6,FALSE)</f>
        <v>#N/A</v>
      </c>
      <c r="J321" s="1" t="e">
        <f>VLOOKUP(D321,epiunits!A$1:J$4000,7,FALSE)</f>
        <v>#N/A</v>
      </c>
      <c r="K321" s="1" t="e">
        <f>VLOOKUP(D321,epiunits!A$1:J$4000,8,FALSE)</f>
        <v>#N/A</v>
      </c>
      <c r="L321" s="1" t="e">
        <f>VLOOKUP(D321,epiunits!A$1:J$4000,9,FALSE)</f>
        <v>#N/A</v>
      </c>
      <c r="M321" s="1" t="e">
        <f>VLOOKUP(D321,epiunits!A$1:J$4000,10,FALSE)</f>
        <v>#N/A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</row>
    <row r="322" spans="1:51" x14ac:dyDescent="0.25">
      <c r="A322" s="1" t="e">
        <f>VLOOKUP(D322,epiunits!A$1:C$4000,2,FALSE)</f>
        <v>#N/A</v>
      </c>
      <c r="B322" s="1" t="e">
        <f>VLOOKUP(D322,epiunits!A$1:C$4000,3,FALSE)</f>
        <v>#N/A</v>
      </c>
      <c r="C322" s="1" t="e">
        <f>VLOOKUP(E322,Inspector!A$1:B$50,2,FALSE)</f>
        <v>#N/A</v>
      </c>
      <c r="I322" s="1" t="e">
        <f>VLOOKUP(D322,epiunits!A$1:J$4000,6,FALSE)</f>
        <v>#N/A</v>
      </c>
      <c r="J322" s="1" t="e">
        <f>VLOOKUP(D322,epiunits!A$1:J$4000,7,FALSE)</f>
        <v>#N/A</v>
      </c>
      <c r="K322" s="1" t="e">
        <f>VLOOKUP(D322,epiunits!A$1:J$4000,8,FALSE)</f>
        <v>#N/A</v>
      </c>
      <c r="L322" s="1" t="e">
        <f>VLOOKUP(D322,epiunits!A$1:J$4000,9,FALSE)</f>
        <v>#N/A</v>
      </c>
      <c r="M322" s="1" t="e">
        <f>VLOOKUP(D322,epiunits!A$1:J$4000,10,FALSE)</f>
        <v>#N/A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</row>
    <row r="323" spans="1:51" x14ac:dyDescent="0.25">
      <c r="A323" s="1" t="e">
        <f>VLOOKUP(D323,epiunits!A$1:C$4000,2,FALSE)</f>
        <v>#N/A</v>
      </c>
      <c r="B323" s="1" t="e">
        <f>VLOOKUP(D323,epiunits!A$1:C$4000,3,FALSE)</f>
        <v>#N/A</v>
      </c>
      <c r="C323" s="1" t="e">
        <f>VLOOKUP(E323,Inspector!A$1:B$50,2,FALSE)</f>
        <v>#N/A</v>
      </c>
      <c r="I323" s="1" t="e">
        <f>VLOOKUP(D323,epiunits!A$1:J$4000,6,FALSE)</f>
        <v>#N/A</v>
      </c>
      <c r="J323" s="1" t="e">
        <f>VLOOKUP(D323,epiunits!A$1:J$4000,7,FALSE)</f>
        <v>#N/A</v>
      </c>
      <c r="K323" s="1" t="e">
        <f>VLOOKUP(D323,epiunits!A$1:J$4000,8,FALSE)</f>
        <v>#N/A</v>
      </c>
      <c r="L323" s="1" t="e">
        <f>VLOOKUP(D323,epiunits!A$1:J$4000,9,FALSE)</f>
        <v>#N/A</v>
      </c>
      <c r="M323" s="1" t="e">
        <f>VLOOKUP(D323,epiunits!A$1:J$4000,10,FALSE)</f>
        <v>#N/A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</row>
    <row r="324" spans="1:51" x14ac:dyDescent="0.25">
      <c r="A324" s="1" t="e">
        <f>VLOOKUP(D324,epiunits!A$1:C$4000,2,FALSE)</f>
        <v>#N/A</v>
      </c>
      <c r="B324" s="1" t="e">
        <f>VLOOKUP(D324,epiunits!A$1:C$4000,3,FALSE)</f>
        <v>#N/A</v>
      </c>
      <c r="C324" s="1" t="e">
        <f>VLOOKUP(E324,Inspector!A$1:B$50,2,FALSE)</f>
        <v>#N/A</v>
      </c>
      <c r="I324" s="1" t="e">
        <f>VLOOKUP(D324,epiunits!A$1:J$4000,6,FALSE)</f>
        <v>#N/A</v>
      </c>
      <c r="J324" s="1" t="e">
        <f>VLOOKUP(D324,epiunits!A$1:J$4000,7,FALSE)</f>
        <v>#N/A</v>
      </c>
      <c r="K324" s="1" t="e">
        <f>VLOOKUP(D324,epiunits!A$1:J$4000,8,FALSE)</f>
        <v>#N/A</v>
      </c>
      <c r="L324" s="1" t="e">
        <f>VLOOKUP(D324,epiunits!A$1:J$4000,9,FALSE)</f>
        <v>#N/A</v>
      </c>
      <c r="M324" s="1" t="e">
        <f>VLOOKUP(D324,epiunits!A$1:J$4000,10,FALSE)</f>
        <v>#N/A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</row>
    <row r="325" spans="1:51" x14ac:dyDescent="0.25">
      <c r="A325" s="1" t="e">
        <f>VLOOKUP(D325,epiunits!A$1:C$4000,2,FALSE)</f>
        <v>#N/A</v>
      </c>
      <c r="B325" s="1" t="e">
        <f>VLOOKUP(D325,epiunits!A$1:C$4000,3,FALSE)</f>
        <v>#N/A</v>
      </c>
      <c r="C325" s="1" t="e">
        <f>VLOOKUP(E325,Inspector!A$1:B$50,2,FALSE)</f>
        <v>#N/A</v>
      </c>
      <c r="I325" s="1" t="e">
        <f>VLOOKUP(D325,epiunits!A$1:J$4000,6,FALSE)</f>
        <v>#N/A</v>
      </c>
      <c r="J325" s="1" t="e">
        <f>VLOOKUP(D325,epiunits!A$1:J$4000,7,FALSE)</f>
        <v>#N/A</v>
      </c>
      <c r="K325" s="1" t="e">
        <f>VLOOKUP(D325,epiunits!A$1:J$4000,8,FALSE)</f>
        <v>#N/A</v>
      </c>
      <c r="L325" s="1" t="e">
        <f>VLOOKUP(D325,epiunits!A$1:J$4000,9,FALSE)</f>
        <v>#N/A</v>
      </c>
      <c r="M325" s="1" t="e">
        <f>VLOOKUP(D325,epiunits!A$1:J$4000,10,FALSE)</f>
        <v>#N/A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</row>
    <row r="326" spans="1:51" x14ac:dyDescent="0.25">
      <c r="A326" s="1" t="e">
        <f>VLOOKUP(D326,epiunits!A$1:C$4000,2,FALSE)</f>
        <v>#N/A</v>
      </c>
      <c r="B326" s="1" t="e">
        <f>VLOOKUP(D326,epiunits!A$1:C$4000,3,FALSE)</f>
        <v>#N/A</v>
      </c>
      <c r="C326" s="1" t="e">
        <f>VLOOKUP(E326,Inspector!A$1:B$50,2,FALSE)</f>
        <v>#N/A</v>
      </c>
      <c r="I326" s="1" t="e">
        <f>VLOOKUP(D326,epiunits!A$1:J$4000,6,FALSE)</f>
        <v>#N/A</v>
      </c>
      <c r="J326" s="1" t="e">
        <f>VLOOKUP(D326,epiunits!A$1:J$4000,7,FALSE)</f>
        <v>#N/A</v>
      </c>
      <c r="K326" s="1" t="e">
        <f>VLOOKUP(D326,epiunits!A$1:J$4000,8,FALSE)</f>
        <v>#N/A</v>
      </c>
      <c r="L326" s="1" t="e">
        <f>VLOOKUP(D326,epiunits!A$1:J$4000,9,FALSE)</f>
        <v>#N/A</v>
      </c>
      <c r="M326" s="1" t="e">
        <f>VLOOKUP(D326,epiunits!A$1:J$4000,10,FALSE)</f>
        <v>#N/A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</row>
    <row r="327" spans="1:51" x14ac:dyDescent="0.25">
      <c r="A327" s="1" t="e">
        <f>VLOOKUP(D327,epiunits!A$1:C$4000,2,FALSE)</f>
        <v>#N/A</v>
      </c>
      <c r="B327" s="1" t="e">
        <f>VLOOKUP(D327,epiunits!A$1:C$4000,3,FALSE)</f>
        <v>#N/A</v>
      </c>
      <c r="C327" s="1" t="e">
        <f>VLOOKUP(E327,Inspector!A$1:B$50,2,FALSE)</f>
        <v>#N/A</v>
      </c>
      <c r="I327" s="1" t="e">
        <f>VLOOKUP(D327,epiunits!A$1:J$4000,6,FALSE)</f>
        <v>#N/A</v>
      </c>
      <c r="J327" s="1" t="e">
        <f>VLOOKUP(D327,epiunits!A$1:J$4000,7,FALSE)</f>
        <v>#N/A</v>
      </c>
      <c r="K327" s="1" t="e">
        <f>VLOOKUP(D327,epiunits!A$1:J$4000,8,FALSE)</f>
        <v>#N/A</v>
      </c>
      <c r="L327" s="1" t="e">
        <f>VLOOKUP(D327,epiunits!A$1:J$4000,9,FALSE)</f>
        <v>#N/A</v>
      </c>
      <c r="M327" s="1" t="e">
        <f>VLOOKUP(D327,epiunits!A$1:J$4000,10,FALSE)</f>
        <v>#N/A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</row>
    <row r="328" spans="1:51" x14ac:dyDescent="0.25">
      <c r="A328" s="1" t="e">
        <f>VLOOKUP(D328,epiunits!A$1:C$4000,2,FALSE)</f>
        <v>#N/A</v>
      </c>
      <c r="B328" s="1" t="e">
        <f>VLOOKUP(D328,epiunits!A$1:C$4000,3,FALSE)</f>
        <v>#N/A</v>
      </c>
      <c r="C328" s="1" t="e">
        <f>VLOOKUP(E328,Inspector!A$1:B$50,2,FALSE)</f>
        <v>#N/A</v>
      </c>
      <c r="I328" s="1" t="e">
        <f>VLOOKUP(D328,epiunits!A$1:J$4000,6,FALSE)</f>
        <v>#N/A</v>
      </c>
      <c r="J328" s="1" t="e">
        <f>VLOOKUP(D328,epiunits!A$1:J$4000,7,FALSE)</f>
        <v>#N/A</v>
      </c>
      <c r="K328" s="1" t="e">
        <f>VLOOKUP(D328,epiunits!A$1:J$4000,8,FALSE)</f>
        <v>#N/A</v>
      </c>
      <c r="L328" s="1" t="e">
        <f>VLOOKUP(D328,epiunits!A$1:J$4000,9,FALSE)</f>
        <v>#N/A</v>
      </c>
      <c r="M328" s="1" t="e">
        <f>VLOOKUP(D328,epiunits!A$1:J$4000,10,FALSE)</f>
        <v>#N/A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</row>
    <row r="329" spans="1:51" x14ac:dyDescent="0.25">
      <c r="A329" s="1" t="e">
        <f>VLOOKUP(D329,epiunits!A$1:C$4000,2,FALSE)</f>
        <v>#N/A</v>
      </c>
      <c r="B329" s="1" t="e">
        <f>VLOOKUP(D329,epiunits!A$1:C$4000,3,FALSE)</f>
        <v>#N/A</v>
      </c>
      <c r="C329" s="1" t="e">
        <f>VLOOKUP(E329,Inspector!A$1:B$50,2,FALSE)</f>
        <v>#N/A</v>
      </c>
      <c r="I329" s="1" t="e">
        <f>VLOOKUP(D329,epiunits!A$1:J$4000,6,FALSE)</f>
        <v>#N/A</v>
      </c>
      <c r="J329" s="1" t="e">
        <f>VLOOKUP(D329,epiunits!A$1:J$4000,7,FALSE)</f>
        <v>#N/A</v>
      </c>
      <c r="K329" s="1" t="e">
        <f>VLOOKUP(D329,epiunits!A$1:J$4000,8,FALSE)</f>
        <v>#N/A</v>
      </c>
      <c r="L329" s="1" t="e">
        <f>VLOOKUP(D329,epiunits!A$1:J$4000,9,FALSE)</f>
        <v>#N/A</v>
      </c>
      <c r="M329" s="1" t="e">
        <f>VLOOKUP(D329,epiunits!A$1:J$4000,10,FALSE)</f>
        <v>#N/A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</row>
    <row r="330" spans="1:51" x14ac:dyDescent="0.25">
      <c r="A330" s="1" t="e">
        <f>VLOOKUP(D330,epiunits!A$1:C$4000,2,FALSE)</f>
        <v>#N/A</v>
      </c>
      <c r="B330" s="1" t="e">
        <f>VLOOKUP(D330,epiunits!A$1:C$4000,3,FALSE)</f>
        <v>#N/A</v>
      </c>
      <c r="C330" s="1" t="e">
        <f>VLOOKUP(E330,Inspector!A$1:B$50,2,FALSE)</f>
        <v>#N/A</v>
      </c>
      <c r="I330" s="1" t="e">
        <f>VLOOKUP(D330,epiunits!A$1:J$4000,6,FALSE)</f>
        <v>#N/A</v>
      </c>
      <c r="J330" s="1" t="e">
        <f>VLOOKUP(D330,epiunits!A$1:J$4000,7,FALSE)</f>
        <v>#N/A</v>
      </c>
      <c r="K330" s="1" t="e">
        <f>VLOOKUP(D330,epiunits!A$1:J$4000,8,FALSE)</f>
        <v>#N/A</v>
      </c>
      <c r="L330" s="1" t="e">
        <f>VLOOKUP(D330,epiunits!A$1:J$4000,9,FALSE)</f>
        <v>#N/A</v>
      </c>
      <c r="M330" s="1" t="e">
        <f>VLOOKUP(D330,epiunits!A$1:J$4000,10,FALSE)</f>
        <v>#N/A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</row>
    <row r="331" spans="1:51" x14ac:dyDescent="0.25">
      <c r="A331" s="1" t="e">
        <f>VLOOKUP(D331,epiunits!A$1:C$4000,2,FALSE)</f>
        <v>#N/A</v>
      </c>
      <c r="B331" s="1" t="e">
        <f>VLOOKUP(D331,epiunits!A$1:C$4000,3,FALSE)</f>
        <v>#N/A</v>
      </c>
      <c r="C331" s="1" t="e">
        <f>VLOOKUP(E331,Inspector!A$1:B$50,2,FALSE)</f>
        <v>#N/A</v>
      </c>
      <c r="I331" s="1" t="e">
        <f>VLOOKUP(D331,epiunits!A$1:J$4000,6,FALSE)</f>
        <v>#N/A</v>
      </c>
      <c r="J331" s="1" t="e">
        <f>VLOOKUP(D331,epiunits!A$1:J$4000,7,FALSE)</f>
        <v>#N/A</v>
      </c>
      <c r="K331" s="1" t="e">
        <f>VLOOKUP(D331,epiunits!A$1:J$4000,8,FALSE)</f>
        <v>#N/A</v>
      </c>
      <c r="L331" s="1" t="e">
        <f>VLOOKUP(D331,epiunits!A$1:J$4000,9,FALSE)</f>
        <v>#N/A</v>
      </c>
      <c r="M331" s="1" t="e">
        <f>VLOOKUP(D331,epiunits!A$1:J$4000,10,FALSE)</f>
        <v>#N/A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</row>
    <row r="332" spans="1:51" x14ac:dyDescent="0.25">
      <c r="A332" s="1" t="e">
        <f>VLOOKUP(D332,epiunits!A$1:C$4000,2,FALSE)</f>
        <v>#N/A</v>
      </c>
      <c r="B332" s="1" t="e">
        <f>VLOOKUP(D332,epiunits!A$1:C$4000,3,FALSE)</f>
        <v>#N/A</v>
      </c>
      <c r="C332" s="1" t="e">
        <f>VLOOKUP(E332,Inspector!A$1:B$50,2,FALSE)</f>
        <v>#N/A</v>
      </c>
      <c r="I332" s="1" t="e">
        <f>VLOOKUP(D332,epiunits!A$1:J$4000,6,FALSE)</f>
        <v>#N/A</v>
      </c>
      <c r="J332" s="1" t="e">
        <f>VLOOKUP(D332,epiunits!A$1:J$4000,7,FALSE)</f>
        <v>#N/A</v>
      </c>
      <c r="K332" s="1" t="e">
        <f>VLOOKUP(D332,epiunits!A$1:J$4000,8,FALSE)</f>
        <v>#N/A</v>
      </c>
      <c r="L332" s="1" t="e">
        <f>VLOOKUP(D332,epiunits!A$1:J$4000,9,FALSE)</f>
        <v>#N/A</v>
      </c>
      <c r="M332" s="1" t="e">
        <f>VLOOKUP(D332,epiunits!A$1:J$4000,10,FALSE)</f>
        <v>#N/A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</row>
    <row r="333" spans="1:51" x14ac:dyDescent="0.25">
      <c r="A333" s="1" t="e">
        <f>VLOOKUP(D333,epiunits!A$1:C$4000,2,FALSE)</f>
        <v>#N/A</v>
      </c>
      <c r="B333" s="1" t="e">
        <f>VLOOKUP(D333,epiunits!A$1:C$4000,3,FALSE)</f>
        <v>#N/A</v>
      </c>
      <c r="C333" s="1" t="e">
        <f>VLOOKUP(E333,Inspector!A$1:B$50,2,FALSE)</f>
        <v>#N/A</v>
      </c>
      <c r="I333" s="1" t="e">
        <f>VLOOKUP(D333,epiunits!A$1:J$4000,6,FALSE)</f>
        <v>#N/A</v>
      </c>
      <c r="J333" s="1" t="e">
        <f>VLOOKUP(D333,epiunits!A$1:J$4000,7,FALSE)</f>
        <v>#N/A</v>
      </c>
      <c r="K333" s="1" t="e">
        <f>VLOOKUP(D333,epiunits!A$1:J$4000,8,FALSE)</f>
        <v>#N/A</v>
      </c>
      <c r="L333" s="1" t="e">
        <f>VLOOKUP(D333,epiunits!A$1:J$4000,9,FALSE)</f>
        <v>#N/A</v>
      </c>
      <c r="M333" s="1" t="e">
        <f>VLOOKUP(D333,epiunits!A$1:J$4000,10,FALSE)</f>
        <v>#N/A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</row>
    <row r="334" spans="1:51" x14ac:dyDescent="0.25">
      <c r="A334" s="1" t="e">
        <f>VLOOKUP(D334,epiunits!A$1:C$4000,2,FALSE)</f>
        <v>#N/A</v>
      </c>
      <c r="B334" s="1" t="e">
        <f>VLOOKUP(D334,epiunits!A$1:C$4000,3,FALSE)</f>
        <v>#N/A</v>
      </c>
      <c r="C334" s="1" t="e">
        <f>VLOOKUP(E334,Inspector!A$1:B$50,2,FALSE)</f>
        <v>#N/A</v>
      </c>
      <c r="I334" s="1" t="e">
        <f>VLOOKUP(D334,epiunits!A$1:J$4000,6,FALSE)</f>
        <v>#N/A</v>
      </c>
      <c r="J334" s="1" t="e">
        <f>VLOOKUP(D334,epiunits!A$1:J$4000,7,FALSE)</f>
        <v>#N/A</v>
      </c>
      <c r="K334" s="1" t="e">
        <f>VLOOKUP(D334,epiunits!A$1:J$4000,8,FALSE)</f>
        <v>#N/A</v>
      </c>
      <c r="L334" s="1" t="e">
        <f>VLOOKUP(D334,epiunits!A$1:J$4000,9,FALSE)</f>
        <v>#N/A</v>
      </c>
      <c r="M334" s="1" t="e">
        <f>VLOOKUP(D334,epiunits!A$1:J$4000,10,FALSE)</f>
        <v>#N/A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</row>
    <row r="335" spans="1:51" x14ac:dyDescent="0.25">
      <c r="A335" s="1" t="e">
        <f>VLOOKUP(D335,epiunits!A$1:C$4000,2,FALSE)</f>
        <v>#N/A</v>
      </c>
      <c r="B335" s="1" t="e">
        <f>VLOOKUP(D335,epiunits!A$1:C$4000,3,FALSE)</f>
        <v>#N/A</v>
      </c>
      <c r="C335" s="1" t="e">
        <f>VLOOKUP(E335,Inspector!A$1:B$50,2,FALSE)</f>
        <v>#N/A</v>
      </c>
      <c r="I335" s="1" t="e">
        <f>VLOOKUP(D335,epiunits!A$1:J$4000,6,FALSE)</f>
        <v>#N/A</v>
      </c>
      <c r="J335" s="1" t="e">
        <f>VLOOKUP(D335,epiunits!A$1:J$4000,7,FALSE)</f>
        <v>#N/A</v>
      </c>
      <c r="K335" s="1" t="e">
        <f>VLOOKUP(D335,epiunits!A$1:J$4000,8,FALSE)</f>
        <v>#N/A</v>
      </c>
      <c r="L335" s="1" t="e">
        <f>VLOOKUP(D335,epiunits!A$1:J$4000,9,FALSE)</f>
        <v>#N/A</v>
      </c>
      <c r="M335" s="1" t="e">
        <f>VLOOKUP(D335,epiunits!A$1:J$4000,10,FALSE)</f>
        <v>#N/A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</row>
    <row r="336" spans="1:51" x14ac:dyDescent="0.25">
      <c r="A336" s="1" t="e">
        <f>VLOOKUP(D336,epiunits!A$1:C$4000,2,FALSE)</f>
        <v>#N/A</v>
      </c>
      <c r="B336" s="1" t="e">
        <f>VLOOKUP(D336,epiunits!A$1:C$4000,3,FALSE)</f>
        <v>#N/A</v>
      </c>
      <c r="C336" s="1" t="e">
        <f>VLOOKUP(E336,Inspector!A$1:B$50,2,FALSE)</f>
        <v>#N/A</v>
      </c>
      <c r="I336" s="1" t="e">
        <f>VLOOKUP(D336,epiunits!A$1:J$4000,6,FALSE)</f>
        <v>#N/A</v>
      </c>
      <c r="J336" s="1" t="e">
        <f>VLOOKUP(D336,epiunits!A$1:J$4000,7,FALSE)</f>
        <v>#N/A</v>
      </c>
      <c r="K336" s="1" t="e">
        <f>VLOOKUP(D336,epiunits!A$1:J$4000,8,FALSE)</f>
        <v>#N/A</v>
      </c>
      <c r="L336" s="1" t="e">
        <f>VLOOKUP(D336,epiunits!A$1:J$4000,9,FALSE)</f>
        <v>#N/A</v>
      </c>
      <c r="M336" s="1" t="e">
        <f>VLOOKUP(D336,epiunits!A$1:J$4000,10,FALSE)</f>
        <v>#N/A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</row>
    <row r="337" spans="1:51" x14ac:dyDescent="0.25">
      <c r="A337" s="1" t="e">
        <f>VLOOKUP(D337,epiunits!A$1:C$4000,2,FALSE)</f>
        <v>#N/A</v>
      </c>
      <c r="B337" s="1" t="e">
        <f>VLOOKUP(D337,epiunits!A$1:C$4000,3,FALSE)</f>
        <v>#N/A</v>
      </c>
      <c r="C337" s="1" t="e">
        <f>VLOOKUP(E337,Inspector!A$1:B$50,2,FALSE)</f>
        <v>#N/A</v>
      </c>
      <c r="I337" s="1" t="e">
        <f>VLOOKUP(D337,epiunits!A$1:J$4000,6,FALSE)</f>
        <v>#N/A</v>
      </c>
      <c r="J337" s="1" t="e">
        <f>VLOOKUP(D337,epiunits!A$1:J$4000,7,FALSE)</f>
        <v>#N/A</v>
      </c>
      <c r="K337" s="1" t="e">
        <f>VLOOKUP(D337,epiunits!A$1:J$4000,8,FALSE)</f>
        <v>#N/A</v>
      </c>
      <c r="L337" s="1" t="e">
        <f>VLOOKUP(D337,epiunits!A$1:J$4000,9,FALSE)</f>
        <v>#N/A</v>
      </c>
      <c r="M337" s="1" t="e">
        <f>VLOOKUP(D337,epiunits!A$1:J$4000,10,FALSE)</f>
        <v>#N/A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</row>
    <row r="338" spans="1:51" x14ac:dyDescent="0.25">
      <c r="A338" s="1" t="e">
        <f>VLOOKUP(D338,epiunits!A$1:C$4000,2,FALSE)</f>
        <v>#N/A</v>
      </c>
      <c r="B338" s="1" t="e">
        <f>VLOOKUP(D338,epiunits!A$1:C$4000,3,FALSE)</f>
        <v>#N/A</v>
      </c>
      <c r="C338" s="1" t="e">
        <f>VLOOKUP(E338,Inspector!A$1:B$50,2,FALSE)</f>
        <v>#N/A</v>
      </c>
      <c r="I338" s="1" t="e">
        <f>VLOOKUP(D338,epiunits!A$1:J$4000,6,FALSE)</f>
        <v>#N/A</v>
      </c>
      <c r="J338" s="1" t="e">
        <f>VLOOKUP(D338,epiunits!A$1:J$4000,7,FALSE)</f>
        <v>#N/A</v>
      </c>
      <c r="K338" s="1" t="e">
        <f>VLOOKUP(D338,epiunits!A$1:J$4000,8,FALSE)</f>
        <v>#N/A</v>
      </c>
      <c r="L338" s="1" t="e">
        <f>VLOOKUP(D338,epiunits!A$1:J$4000,9,FALSE)</f>
        <v>#N/A</v>
      </c>
      <c r="M338" s="1" t="e">
        <f>VLOOKUP(D338,epiunits!A$1:J$4000,10,FALSE)</f>
        <v>#N/A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</row>
    <row r="339" spans="1:51" x14ac:dyDescent="0.25">
      <c r="A339" s="1" t="e">
        <f>VLOOKUP(D339,epiunits!A$1:C$4000,2,FALSE)</f>
        <v>#N/A</v>
      </c>
      <c r="B339" s="1" t="e">
        <f>VLOOKUP(D339,epiunits!A$1:C$4000,3,FALSE)</f>
        <v>#N/A</v>
      </c>
      <c r="C339" s="1" t="e">
        <f>VLOOKUP(E339,Inspector!A$1:B$50,2,FALSE)</f>
        <v>#N/A</v>
      </c>
      <c r="I339" s="1" t="e">
        <f>VLOOKUP(D339,epiunits!A$1:J$4000,6,FALSE)</f>
        <v>#N/A</v>
      </c>
      <c r="J339" s="1" t="e">
        <f>VLOOKUP(D339,epiunits!A$1:J$4000,7,FALSE)</f>
        <v>#N/A</v>
      </c>
      <c r="K339" s="1" t="e">
        <f>VLOOKUP(D339,epiunits!A$1:J$4000,8,FALSE)</f>
        <v>#N/A</v>
      </c>
      <c r="L339" s="1" t="e">
        <f>VLOOKUP(D339,epiunits!A$1:J$4000,9,FALSE)</f>
        <v>#N/A</v>
      </c>
      <c r="M339" s="1" t="e">
        <f>VLOOKUP(D339,epiunits!A$1:J$4000,10,FALSE)</f>
        <v>#N/A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</row>
    <row r="340" spans="1:51" x14ac:dyDescent="0.25">
      <c r="A340" s="1" t="e">
        <f>VLOOKUP(D340,epiunits!A$1:C$4000,2,FALSE)</f>
        <v>#N/A</v>
      </c>
      <c r="B340" s="1" t="e">
        <f>VLOOKUP(D340,epiunits!A$1:C$4000,3,FALSE)</f>
        <v>#N/A</v>
      </c>
      <c r="C340" s="1" t="e">
        <f>VLOOKUP(E340,Inspector!A$1:B$50,2,FALSE)</f>
        <v>#N/A</v>
      </c>
      <c r="I340" s="1" t="e">
        <f>VLOOKUP(D340,epiunits!A$1:J$4000,6,FALSE)</f>
        <v>#N/A</v>
      </c>
      <c r="J340" s="1" t="e">
        <f>VLOOKUP(D340,epiunits!A$1:J$4000,7,FALSE)</f>
        <v>#N/A</v>
      </c>
      <c r="K340" s="1" t="e">
        <f>VLOOKUP(D340,epiunits!A$1:J$4000,8,FALSE)</f>
        <v>#N/A</v>
      </c>
      <c r="L340" s="1" t="e">
        <f>VLOOKUP(D340,epiunits!A$1:J$4000,9,FALSE)</f>
        <v>#N/A</v>
      </c>
      <c r="M340" s="1" t="e">
        <f>VLOOKUP(D340,epiunits!A$1:J$4000,10,FALSE)</f>
        <v>#N/A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</row>
    <row r="341" spans="1:51" x14ac:dyDescent="0.25">
      <c r="A341" s="1" t="e">
        <f>VLOOKUP(D341,epiunits!A$1:C$4000,2,FALSE)</f>
        <v>#N/A</v>
      </c>
      <c r="B341" s="1" t="e">
        <f>VLOOKUP(D341,epiunits!A$1:C$4000,3,FALSE)</f>
        <v>#N/A</v>
      </c>
      <c r="C341" s="1" t="e">
        <f>VLOOKUP(E341,Inspector!A$1:B$50,2,FALSE)</f>
        <v>#N/A</v>
      </c>
      <c r="I341" s="1" t="e">
        <f>VLOOKUP(D341,epiunits!A$1:J$4000,6,FALSE)</f>
        <v>#N/A</v>
      </c>
      <c r="J341" s="1" t="e">
        <f>VLOOKUP(D341,epiunits!A$1:J$4000,7,FALSE)</f>
        <v>#N/A</v>
      </c>
      <c r="K341" s="1" t="e">
        <f>VLOOKUP(D341,epiunits!A$1:J$4000,8,FALSE)</f>
        <v>#N/A</v>
      </c>
      <c r="L341" s="1" t="e">
        <f>VLOOKUP(D341,epiunits!A$1:J$4000,9,FALSE)</f>
        <v>#N/A</v>
      </c>
      <c r="M341" s="1" t="e">
        <f>VLOOKUP(D341,epiunits!A$1:J$4000,10,FALSE)</f>
        <v>#N/A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</row>
    <row r="342" spans="1:51" x14ac:dyDescent="0.25">
      <c r="A342" s="1" t="e">
        <f>VLOOKUP(D342,epiunits!A$1:C$4000,2,FALSE)</f>
        <v>#N/A</v>
      </c>
      <c r="B342" s="1" t="e">
        <f>VLOOKUP(D342,epiunits!A$1:C$4000,3,FALSE)</f>
        <v>#N/A</v>
      </c>
      <c r="C342" s="1" t="e">
        <f>VLOOKUP(E342,Inspector!A$1:B$50,2,FALSE)</f>
        <v>#N/A</v>
      </c>
      <c r="I342" s="1" t="e">
        <f>VLOOKUP(D342,epiunits!A$1:J$4000,6,FALSE)</f>
        <v>#N/A</v>
      </c>
      <c r="J342" s="1" t="e">
        <f>VLOOKUP(D342,epiunits!A$1:J$4000,7,FALSE)</f>
        <v>#N/A</v>
      </c>
      <c r="K342" s="1" t="e">
        <f>VLOOKUP(D342,epiunits!A$1:J$4000,8,FALSE)</f>
        <v>#N/A</v>
      </c>
      <c r="L342" s="1" t="e">
        <f>VLOOKUP(D342,epiunits!A$1:J$4000,9,FALSE)</f>
        <v>#N/A</v>
      </c>
      <c r="M342" s="1" t="e">
        <f>VLOOKUP(D342,epiunits!A$1:J$4000,10,FALSE)</f>
        <v>#N/A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</row>
    <row r="343" spans="1:51" x14ac:dyDescent="0.25">
      <c r="A343" s="1" t="e">
        <f>VLOOKUP(D343,epiunits!A$1:C$4000,2,FALSE)</f>
        <v>#N/A</v>
      </c>
      <c r="B343" s="1" t="e">
        <f>VLOOKUP(D343,epiunits!A$1:C$4000,3,FALSE)</f>
        <v>#N/A</v>
      </c>
      <c r="C343" s="1" t="e">
        <f>VLOOKUP(E343,Inspector!A$1:B$50,2,FALSE)</f>
        <v>#N/A</v>
      </c>
      <c r="I343" s="1" t="e">
        <f>VLOOKUP(D343,epiunits!A$1:J$4000,6,FALSE)</f>
        <v>#N/A</v>
      </c>
      <c r="J343" s="1" t="e">
        <f>VLOOKUP(D343,epiunits!A$1:J$4000,7,FALSE)</f>
        <v>#N/A</v>
      </c>
      <c r="K343" s="1" t="e">
        <f>VLOOKUP(D343,epiunits!A$1:J$4000,8,FALSE)</f>
        <v>#N/A</v>
      </c>
      <c r="L343" s="1" t="e">
        <f>VLOOKUP(D343,epiunits!A$1:J$4000,9,FALSE)</f>
        <v>#N/A</v>
      </c>
      <c r="M343" s="1" t="e">
        <f>VLOOKUP(D343,epiunits!A$1:J$4000,10,FALSE)</f>
        <v>#N/A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</row>
    <row r="344" spans="1:51" x14ac:dyDescent="0.25">
      <c r="A344" s="1" t="e">
        <f>VLOOKUP(D344,epiunits!A$1:C$4000,2,FALSE)</f>
        <v>#N/A</v>
      </c>
      <c r="B344" s="1" t="e">
        <f>VLOOKUP(D344,epiunits!A$1:C$4000,3,FALSE)</f>
        <v>#N/A</v>
      </c>
      <c r="C344" s="1" t="e">
        <f>VLOOKUP(E344,Inspector!A$1:B$50,2,FALSE)</f>
        <v>#N/A</v>
      </c>
      <c r="I344" s="1" t="e">
        <f>VLOOKUP(D344,epiunits!A$1:J$4000,6,FALSE)</f>
        <v>#N/A</v>
      </c>
      <c r="J344" s="1" t="e">
        <f>VLOOKUP(D344,epiunits!A$1:J$4000,7,FALSE)</f>
        <v>#N/A</v>
      </c>
      <c r="K344" s="1" t="e">
        <f>VLOOKUP(D344,epiunits!A$1:J$4000,8,FALSE)</f>
        <v>#N/A</v>
      </c>
      <c r="L344" s="1" t="e">
        <f>VLOOKUP(D344,epiunits!A$1:J$4000,9,FALSE)</f>
        <v>#N/A</v>
      </c>
      <c r="M344" s="1" t="e">
        <f>VLOOKUP(D344,epiunits!A$1:J$4000,10,FALSE)</f>
        <v>#N/A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</row>
    <row r="345" spans="1:51" x14ac:dyDescent="0.25">
      <c r="A345" s="1" t="e">
        <f>VLOOKUP(D345,epiunits!A$1:C$4000,2,FALSE)</f>
        <v>#N/A</v>
      </c>
      <c r="B345" s="1" t="e">
        <f>VLOOKUP(D345,epiunits!A$1:C$4000,3,FALSE)</f>
        <v>#N/A</v>
      </c>
      <c r="C345" s="1" t="e">
        <f>VLOOKUP(E345,Inspector!A$1:B$50,2,FALSE)</f>
        <v>#N/A</v>
      </c>
      <c r="I345" s="1" t="e">
        <f>VLOOKUP(D345,epiunits!A$1:J$4000,6,FALSE)</f>
        <v>#N/A</v>
      </c>
      <c r="J345" s="1" t="e">
        <f>VLOOKUP(D345,epiunits!A$1:J$4000,7,FALSE)</f>
        <v>#N/A</v>
      </c>
      <c r="K345" s="1" t="e">
        <f>VLOOKUP(D345,epiunits!A$1:J$4000,8,FALSE)</f>
        <v>#N/A</v>
      </c>
      <c r="L345" s="1" t="e">
        <f>VLOOKUP(D345,epiunits!A$1:J$4000,9,FALSE)</f>
        <v>#N/A</v>
      </c>
      <c r="M345" s="1" t="e">
        <f>VLOOKUP(D345,epiunits!A$1:J$4000,10,FALSE)</f>
        <v>#N/A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</row>
    <row r="346" spans="1:51" x14ac:dyDescent="0.25">
      <c r="A346" s="1" t="e">
        <f>VLOOKUP(D346,epiunits!A$1:C$4000,2,FALSE)</f>
        <v>#N/A</v>
      </c>
      <c r="B346" s="1" t="e">
        <f>VLOOKUP(D346,epiunits!A$1:C$4000,3,FALSE)</f>
        <v>#N/A</v>
      </c>
      <c r="C346" s="1" t="e">
        <f>VLOOKUP(E346,Inspector!A$1:B$50,2,FALSE)</f>
        <v>#N/A</v>
      </c>
      <c r="I346" s="1" t="e">
        <f>VLOOKUP(D346,epiunits!A$1:J$4000,6,FALSE)</f>
        <v>#N/A</v>
      </c>
      <c r="J346" s="1" t="e">
        <f>VLOOKUP(D346,epiunits!A$1:J$4000,7,FALSE)</f>
        <v>#N/A</v>
      </c>
      <c r="K346" s="1" t="e">
        <f>VLOOKUP(D346,epiunits!A$1:J$4000,8,FALSE)</f>
        <v>#N/A</v>
      </c>
      <c r="L346" s="1" t="e">
        <f>VLOOKUP(D346,epiunits!A$1:J$4000,9,FALSE)</f>
        <v>#N/A</v>
      </c>
      <c r="M346" s="1" t="e">
        <f>VLOOKUP(D346,epiunits!A$1:J$4000,10,FALSE)</f>
        <v>#N/A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</row>
    <row r="347" spans="1:51" x14ac:dyDescent="0.25">
      <c r="A347" s="1" t="e">
        <f>VLOOKUP(D347,epiunits!A$1:C$4000,2,FALSE)</f>
        <v>#N/A</v>
      </c>
      <c r="B347" s="1" t="e">
        <f>VLOOKUP(D347,epiunits!A$1:C$4000,3,FALSE)</f>
        <v>#N/A</v>
      </c>
      <c r="C347" s="1" t="e">
        <f>VLOOKUP(E347,Inspector!A$1:B$50,2,FALSE)</f>
        <v>#N/A</v>
      </c>
      <c r="I347" s="1" t="e">
        <f>VLOOKUP(D347,epiunits!A$1:J$4000,6,FALSE)</f>
        <v>#N/A</v>
      </c>
      <c r="J347" s="1" t="e">
        <f>VLOOKUP(D347,epiunits!A$1:J$4000,7,FALSE)</f>
        <v>#N/A</v>
      </c>
      <c r="K347" s="1" t="e">
        <f>VLOOKUP(D347,epiunits!A$1:J$4000,8,FALSE)</f>
        <v>#N/A</v>
      </c>
      <c r="L347" s="1" t="e">
        <f>VLOOKUP(D347,epiunits!A$1:J$4000,9,FALSE)</f>
        <v>#N/A</v>
      </c>
      <c r="M347" s="1" t="e">
        <f>VLOOKUP(D347,epiunits!A$1:J$4000,10,FALSE)</f>
        <v>#N/A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</row>
    <row r="348" spans="1:51" x14ac:dyDescent="0.25">
      <c r="A348" s="1" t="e">
        <f>VLOOKUP(D348,epiunits!A$1:C$4000,2,FALSE)</f>
        <v>#N/A</v>
      </c>
      <c r="B348" s="1" t="e">
        <f>VLOOKUP(D348,epiunits!A$1:C$4000,3,FALSE)</f>
        <v>#N/A</v>
      </c>
      <c r="C348" s="1" t="e">
        <f>VLOOKUP(E348,Inspector!A$1:B$50,2,FALSE)</f>
        <v>#N/A</v>
      </c>
      <c r="I348" s="1" t="e">
        <f>VLOOKUP(D348,epiunits!A$1:J$4000,6,FALSE)</f>
        <v>#N/A</v>
      </c>
      <c r="J348" s="1" t="e">
        <f>VLOOKUP(D348,epiunits!A$1:J$4000,7,FALSE)</f>
        <v>#N/A</v>
      </c>
      <c r="K348" s="1" t="e">
        <f>VLOOKUP(D348,epiunits!A$1:J$4000,8,FALSE)</f>
        <v>#N/A</v>
      </c>
      <c r="L348" s="1" t="e">
        <f>VLOOKUP(D348,epiunits!A$1:J$4000,9,FALSE)</f>
        <v>#N/A</v>
      </c>
      <c r="M348" s="1" t="e">
        <f>VLOOKUP(D348,epiunits!A$1:J$4000,10,FALSE)</f>
        <v>#N/A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</row>
    <row r="349" spans="1:51" x14ac:dyDescent="0.25">
      <c r="A349" s="1" t="e">
        <f>VLOOKUP(D349,epiunits!A$1:C$4000,2,FALSE)</f>
        <v>#N/A</v>
      </c>
      <c r="B349" s="1" t="e">
        <f>VLOOKUP(D349,epiunits!A$1:C$4000,3,FALSE)</f>
        <v>#N/A</v>
      </c>
      <c r="C349" s="1" t="e">
        <f>VLOOKUP(E349,Inspector!A$1:B$50,2,FALSE)</f>
        <v>#N/A</v>
      </c>
      <c r="I349" s="1" t="e">
        <f>VLOOKUP(D349,epiunits!A$1:J$4000,6,FALSE)</f>
        <v>#N/A</v>
      </c>
      <c r="J349" s="1" t="e">
        <f>VLOOKUP(D349,epiunits!A$1:J$4000,7,FALSE)</f>
        <v>#N/A</v>
      </c>
      <c r="K349" s="1" t="e">
        <f>VLOOKUP(D349,epiunits!A$1:J$4000,8,FALSE)</f>
        <v>#N/A</v>
      </c>
      <c r="L349" s="1" t="e">
        <f>VLOOKUP(D349,epiunits!A$1:J$4000,9,FALSE)</f>
        <v>#N/A</v>
      </c>
      <c r="M349" s="1" t="e">
        <f>VLOOKUP(D349,epiunits!A$1:J$4000,10,FALSE)</f>
        <v>#N/A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</row>
    <row r="350" spans="1:51" x14ac:dyDescent="0.25">
      <c r="A350" s="1" t="e">
        <f>VLOOKUP(D350,epiunits!A$1:C$4000,2,FALSE)</f>
        <v>#N/A</v>
      </c>
      <c r="B350" s="1" t="e">
        <f>VLOOKUP(D350,epiunits!A$1:C$4000,3,FALSE)</f>
        <v>#N/A</v>
      </c>
      <c r="C350" s="1" t="e">
        <f>VLOOKUP(E350,Inspector!A$1:B$50,2,FALSE)</f>
        <v>#N/A</v>
      </c>
      <c r="I350" s="1" t="e">
        <f>VLOOKUP(D350,epiunits!A$1:J$4000,6,FALSE)</f>
        <v>#N/A</v>
      </c>
      <c r="J350" s="1" t="e">
        <f>VLOOKUP(D350,epiunits!A$1:J$4000,7,FALSE)</f>
        <v>#N/A</v>
      </c>
      <c r="K350" s="1" t="e">
        <f>VLOOKUP(D350,epiunits!A$1:J$4000,8,FALSE)</f>
        <v>#N/A</v>
      </c>
      <c r="L350" s="1" t="e">
        <f>VLOOKUP(D350,epiunits!A$1:J$4000,9,FALSE)</f>
        <v>#N/A</v>
      </c>
      <c r="M350" s="1" t="e">
        <f>VLOOKUP(D350,epiunits!A$1:J$4000,10,FALSE)</f>
        <v>#N/A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</row>
    <row r="351" spans="1:51" x14ac:dyDescent="0.25">
      <c r="A351" s="1" t="e">
        <f>VLOOKUP(D351,epiunits!A$1:C$4000,2,FALSE)</f>
        <v>#N/A</v>
      </c>
      <c r="B351" s="1" t="e">
        <f>VLOOKUP(D351,epiunits!A$1:C$4000,3,FALSE)</f>
        <v>#N/A</v>
      </c>
      <c r="C351" s="1" t="e">
        <f>VLOOKUP(E351,Inspector!A$1:B$50,2,FALSE)</f>
        <v>#N/A</v>
      </c>
      <c r="I351" s="1" t="e">
        <f>VLOOKUP(D351,epiunits!A$1:J$4000,6,FALSE)</f>
        <v>#N/A</v>
      </c>
      <c r="J351" s="1" t="e">
        <f>VLOOKUP(D351,epiunits!A$1:J$4000,7,FALSE)</f>
        <v>#N/A</v>
      </c>
      <c r="K351" s="1" t="e">
        <f>VLOOKUP(D351,epiunits!A$1:J$4000,8,FALSE)</f>
        <v>#N/A</v>
      </c>
      <c r="L351" s="1" t="e">
        <f>VLOOKUP(D351,epiunits!A$1:J$4000,9,FALSE)</f>
        <v>#N/A</v>
      </c>
      <c r="M351" s="1" t="e">
        <f>VLOOKUP(D351,epiunits!A$1:J$4000,10,FALSE)</f>
        <v>#N/A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</row>
    <row r="352" spans="1:51" x14ac:dyDescent="0.25">
      <c r="A352" s="1" t="e">
        <f>VLOOKUP(D352,epiunits!A$1:C$4000,2,FALSE)</f>
        <v>#N/A</v>
      </c>
      <c r="B352" s="1" t="e">
        <f>VLOOKUP(D352,epiunits!A$1:C$4000,3,FALSE)</f>
        <v>#N/A</v>
      </c>
      <c r="C352" s="1" t="e">
        <f>VLOOKUP(E352,Inspector!A$1:B$50,2,FALSE)</f>
        <v>#N/A</v>
      </c>
      <c r="I352" s="1" t="e">
        <f>VLOOKUP(D352,epiunits!A$1:J$4000,6,FALSE)</f>
        <v>#N/A</v>
      </c>
      <c r="J352" s="1" t="e">
        <f>VLOOKUP(D352,epiunits!A$1:J$4000,7,FALSE)</f>
        <v>#N/A</v>
      </c>
      <c r="K352" s="1" t="e">
        <f>VLOOKUP(D352,epiunits!A$1:J$4000,8,FALSE)</f>
        <v>#N/A</v>
      </c>
      <c r="L352" s="1" t="e">
        <f>VLOOKUP(D352,epiunits!A$1:J$4000,9,FALSE)</f>
        <v>#N/A</v>
      </c>
      <c r="M352" s="1" t="e">
        <f>VLOOKUP(D352,epiunits!A$1:J$4000,10,FALSE)</f>
        <v>#N/A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</row>
    <row r="353" spans="1:51" x14ac:dyDescent="0.25">
      <c r="A353" s="1" t="e">
        <f>VLOOKUP(D353,epiunits!A$1:C$4000,2,FALSE)</f>
        <v>#N/A</v>
      </c>
      <c r="B353" s="1" t="e">
        <f>VLOOKUP(D353,epiunits!A$1:C$4000,3,FALSE)</f>
        <v>#N/A</v>
      </c>
      <c r="C353" s="1" t="e">
        <f>VLOOKUP(E353,Inspector!A$1:B$50,2,FALSE)</f>
        <v>#N/A</v>
      </c>
      <c r="I353" s="1" t="e">
        <f>VLOOKUP(D353,epiunits!A$1:J$4000,6,FALSE)</f>
        <v>#N/A</v>
      </c>
      <c r="J353" s="1" t="e">
        <f>VLOOKUP(D353,epiunits!A$1:J$4000,7,FALSE)</f>
        <v>#N/A</v>
      </c>
      <c r="K353" s="1" t="e">
        <f>VLOOKUP(D353,epiunits!A$1:J$4000,8,FALSE)</f>
        <v>#N/A</v>
      </c>
      <c r="L353" s="1" t="e">
        <f>VLOOKUP(D353,epiunits!A$1:J$4000,9,FALSE)</f>
        <v>#N/A</v>
      </c>
      <c r="M353" s="1" t="e">
        <f>VLOOKUP(D353,epiunits!A$1:J$4000,10,FALSE)</f>
        <v>#N/A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</row>
    <row r="354" spans="1:51" x14ac:dyDescent="0.25">
      <c r="A354" s="1" t="e">
        <f>VLOOKUP(D354,epiunits!A$1:C$4000,2,FALSE)</f>
        <v>#N/A</v>
      </c>
      <c r="B354" s="1" t="e">
        <f>VLOOKUP(D354,epiunits!A$1:C$4000,3,FALSE)</f>
        <v>#N/A</v>
      </c>
      <c r="C354" s="1" t="e">
        <f>VLOOKUP(E354,Inspector!A$1:B$50,2,FALSE)</f>
        <v>#N/A</v>
      </c>
      <c r="I354" s="1" t="e">
        <f>VLOOKUP(D354,epiunits!A$1:J$4000,6,FALSE)</f>
        <v>#N/A</v>
      </c>
      <c r="J354" s="1" t="e">
        <f>VLOOKUP(D354,epiunits!A$1:J$4000,7,FALSE)</f>
        <v>#N/A</v>
      </c>
      <c r="K354" s="1" t="e">
        <f>VLOOKUP(D354,epiunits!A$1:J$4000,8,FALSE)</f>
        <v>#N/A</v>
      </c>
      <c r="L354" s="1" t="e">
        <f>VLOOKUP(D354,epiunits!A$1:J$4000,9,FALSE)</f>
        <v>#N/A</v>
      </c>
      <c r="M354" s="1" t="e">
        <f>VLOOKUP(D354,epiunits!A$1:J$4000,10,FALSE)</f>
        <v>#N/A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</row>
    <row r="355" spans="1:51" x14ac:dyDescent="0.25">
      <c r="A355" s="1" t="e">
        <f>VLOOKUP(D355,epiunits!A$1:C$4000,2,FALSE)</f>
        <v>#N/A</v>
      </c>
      <c r="B355" s="1" t="e">
        <f>VLOOKUP(D355,epiunits!A$1:C$4000,3,FALSE)</f>
        <v>#N/A</v>
      </c>
      <c r="C355" s="1" t="e">
        <f>VLOOKUP(E355,Inspector!A$1:B$50,2,FALSE)</f>
        <v>#N/A</v>
      </c>
      <c r="I355" s="1" t="e">
        <f>VLOOKUP(D355,epiunits!A$1:J$4000,6,FALSE)</f>
        <v>#N/A</v>
      </c>
      <c r="J355" s="1" t="e">
        <f>VLOOKUP(D355,epiunits!A$1:J$4000,7,FALSE)</f>
        <v>#N/A</v>
      </c>
      <c r="K355" s="1" t="e">
        <f>VLOOKUP(D355,epiunits!A$1:J$4000,8,FALSE)</f>
        <v>#N/A</v>
      </c>
      <c r="L355" s="1" t="e">
        <f>VLOOKUP(D355,epiunits!A$1:J$4000,9,FALSE)</f>
        <v>#N/A</v>
      </c>
      <c r="M355" s="1" t="e">
        <f>VLOOKUP(D355,epiunits!A$1:J$4000,10,FALSE)</f>
        <v>#N/A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</row>
    <row r="356" spans="1:51" x14ac:dyDescent="0.25">
      <c r="A356" s="1" t="e">
        <f>VLOOKUP(D356,epiunits!A$1:C$4000,2,FALSE)</f>
        <v>#N/A</v>
      </c>
      <c r="B356" s="1" t="e">
        <f>VLOOKUP(D356,epiunits!A$1:C$4000,3,FALSE)</f>
        <v>#N/A</v>
      </c>
      <c r="C356" s="1" t="e">
        <f>VLOOKUP(E356,Inspector!A$1:B$50,2,FALSE)</f>
        <v>#N/A</v>
      </c>
      <c r="I356" s="1" t="e">
        <f>VLOOKUP(D356,epiunits!A$1:J$4000,6,FALSE)</f>
        <v>#N/A</v>
      </c>
      <c r="J356" s="1" t="e">
        <f>VLOOKUP(D356,epiunits!A$1:J$4000,7,FALSE)</f>
        <v>#N/A</v>
      </c>
      <c r="K356" s="1" t="e">
        <f>VLOOKUP(D356,epiunits!A$1:J$4000,8,FALSE)</f>
        <v>#N/A</v>
      </c>
      <c r="L356" s="1" t="e">
        <f>VLOOKUP(D356,epiunits!A$1:J$4000,9,FALSE)</f>
        <v>#N/A</v>
      </c>
      <c r="M356" s="1" t="e">
        <f>VLOOKUP(D356,epiunits!A$1:J$4000,10,FALSE)</f>
        <v>#N/A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</row>
    <row r="357" spans="1:51" x14ac:dyDescent="0.25">
      <c r="A357" s="1" t="e">
        <f>VLOOKUP(D357,epiunits!A$1:C$4000,2,FALSE)</f>
        <v>#N/A</v>
      </c>
      <c r="B357" s="1" t="e">
        <f>VLOOKUP(D357,epiunits!A$1:C$4000,3,FALSE)</f>
        <v>#N/A</v>
      </c>
      <c r="C357" s="1" t="e">
        <f>VLOOKUP(E357,Inspector!A$1:B$50,2,FALSE)</f>
        <v>#N/A</v>
      </c>
      <c r="I357" s="1" t="e">
        <f>VLOOKUP(D357,epiunits!A$1:J$4000,6,FALSE)</f>
        <v>#N/A</v>
      </c>
      <c r="J357" s="1" t="e">
        <f>VLOOKUP(D357,epiunits!A$1:J$4000,7,FALSE)</f>
        <v>#N/A</v>
      </c>
      <c r="K357" s="1" t="e">
        <f>VLOOKUP(D357,epiunits!A$1:J$4000,8,FALSE)</f>
        <v>#N/A</v>
      </c>
      <c r="L357" s="1" t="e">
        <f>VLOOKUP(D357,epiunits!A$1:J$4000,9,FALSE)</f>
        <v>#N/A</v>
      </c>
      <c r="M357" s="1" t="e">
        <f>VLOOKUP(D357,epiunits!A$1:J$4000,10,FALSE)</f>
        <v>#N/A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</row>
    <row r="358" spans="1:51" x14ac:dyDescent="0.25">
      <c r="A358" s="1" t="e">
        <f>VLOOKUP(D358,epiunits!A$1:C$4000,2,FALSE)</f>
        <v>#N/A</v>
      </c>
      <c r="B358" s="1" t="e">
        <f>VLOOKUP(D358,epiunits!A$1:C$4000,3,FALSE)</f>
        <v>#N/A</v>
      </c>
      <c r="C358" s="1" t="e">
        <f>VLOOKUP(E358,Inspector!A$1:B$50,2,FALSE)</f>
        <v>#N/A</v>
      </c>
      <c r="I358" s="1" t="e">
        <f>VLOOKUP(D358,epiunits!A$1:J$4000,6,FALSE)</f>
        <v>#N/A</v>
      </c>
      <c r="J358" s="1" t="e">
        <f>VLOOKUP(D358,epiunits!A$1:J$4000,7,FALSE)</f>
        <v>#N/A</v>
      </c>
      <c r="K358" s="1" t="e">
        <f>VLOOKUP(D358,epiunits!A$1:J$4000,8,FALSE)</f>
        <v>#N/A</v>
      </c>
      <c r="L358" s="1" t="e">
        <f>VLOOKUP(D358,epiunits!A$1:J$4000,9,FALSE)</f>
        <v>#N/A</v>
      </c>
      <c r="M358" s="1" t="e">
        <f>VLOOKUP(D358,epiunits!A$1:J$4000,10,FALSE)</f>
        <v>#N/A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</row>
    <row r="359" spans="1:51" x14ac:dyDescent="0.25">
      <c r="A359" s="1" t="e">
        <f>VLOOKUP(D359,epiunits!A$1:C$4000,2,FALSE)</f>
        <v>#N/A</v>
      </c>
      <c r="B359" s="1" t="e">
        <f>VLOOKUP(D359,epiunits!A$1:C$4000,3,FALSE)</f>
        <v>#N/A</v>
      </c>
      <c r="C359" s="1" t="e">
        <f>VLOOKUP(E359,Inspector!A$1:B$50,2,FALSE)</f>
        <v>#N/A</v>
      </c>
      <c r="I359" s="1" t="e">
        <f>VLOOKUP(D359,epiunits!A$1:J$4000,6,FALSE)</f>
        <v>#N/A</v>
      </c>
      <c r="J359" s="1" t="e">
        <f>VLOOKUP(D359,epiunits!A$1:J$4000,7,FALSE)</f>
        <v>#N/A</v>
      </c>
      <c r="K359" s="1" t="e">
        <f>VLOOKUP(D359,epiunits!A$1:J$4000,8,FALSE)</f>
        <v>#N/A</v>
      </c>
      <c r="L359" s="1" t="e">
        <f>VLOOKUP(D359,epiunits!A$1:J$4000,9,FALSE)</f>
        <v>#N/A</v>
      </c>
      <c r="M359" s="1" t="e">
        <f>VLOOKUP(D359,epiunits!A$1:J$4000,10,FALSE)</f>
        <v>#N/A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</row>
    <row r="360" spans="1:51" x14ac:dyDescent="0.25">
      <c r="A360" s="1" t="e">
        <f>VLOOKUP(D360,epiunits!A$1:C$4000,2,FALSE)</f>
        <v>#N/A</v>
      </c>
      <c r="B360" s="1" t="e">
        <f>VLOOKUP(D360,epiunits!A$1:C$4000,3,FALSE)</f>
        <v>#N/A</v>
      </c>
      <c r="C360" s="1" t="e">
        <f>VLOOKUP(E360,Inspector!A$1:B$50,2,FALSE)</f>
        <v>#N/A</v>
      </c>
      <c r="I360" s="1" t="e">
        <f>VLOOKUP(D360,epiunits!A$1:J$4000,6,FALSE)</f>
        <v>#N/A</v>
      </c>
      <c r="J360" s="1" t="e">
        <f>VLOOKUP(D360,epiunits!A$1:J$4000,7,FALSE)</f>
        <v>#N/A</v>
      </c>
      <c r="K360" s="1" t="e">
        <f>VLOOKUP(D360,epiunits!A$1:J$4000,8,FALSE)</f>
        <v>#N/A</v>
      </c>
      <c r="L360" s="1" t="e">
        <f>VLOOKUP(D360,epiunits!A$1:J$4000,9,FALSE)</f>
        <v>#N/A</v>
      </c>
      <c r="M360" s="1" t="e">
        <f>VLOOKUP(D360,epiunits!A$1:J$4000,10,FALSE)</f>
        <v>#N/A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</row>
    <row r="361" spans="1:51" x14ac:dyDescent="0.25">
      <c r="A361" s="1" t="e">
        <f>VLOOKUP(D361,epiunits!A$1:C$4000,2,FALSE)</f>
        <v>#N/A</v>
      </c>
      <c r="B361" s="1" t="e">
        <f>VLOOKUP(D361,epiunits!A$1:C$4000,3,FALSE)</f>
        <v>#N/A</v>
      </c>
      <c r="C361" s="1" t="e">
        <f>VLOOKUP(E361,Inspector!A$1:B$50,2,FALSE)</f>
        <v>#N/A</v>
      </c>
      <c r="I361" s="1" t="e">
        <f>VLOOKUP(D361,epiunits!A$1:J$4000,6,FALSE)</f>
        <v>#N/A</v>
      </c>
      <c r="J361" s="1" t="e">
        <f>VLOOKUP(D361,epiunits!A$1:J$4000,7,FALSE)</f>
        <v>#N/A</v>
      </c>
      <c r="K361" s="1" t="e">
        <f>VLOOKUP(D361,epiunits!A$1:J$4000,8,FALSE)</f>
        <v>#N/A</v>
      </c>
      <c r="L361" s="1" t="e">
        <f>VLOOKUP(D361,epiunits!A$1:J$4000,9,FALSE)</f>
        <v>#N/A</v>
      </c>
      <c r="M361" s="1" t="e">
        <f>VLOOKUP(D361,epiunits!A$1:J$4000,10,FALSE)</f>
        <v>#N/A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</row>
    <row r="362" spans="1:51" x14ac:dyDescent="0.25">
      <c r="A362" s="1" t="e">
        <f>VLOOKUP(D362,epiunits!A$1:C$4000,2,FALSE)</f>
        <v>#N/A</v>
      </c>
      <c r="B362" s="1" t="e">
        <f>VLOOKUP(D362,epiunits!A$1:C$4000,3,FALSE)</f>
        <v>#N/A</v>
      </c>
      <c r="C362" s="1" t="e">
        <f>VLOOKUP(E362,Inspector!A$1:B$50,2,FALSE)</f>
        <v>#N/A</v>
      </c>
      <c r="I362" s="1" t="e">
        <f>VLOOKUP(D362,epiunits!A$1:J$4000,6,FALSE)</f>
        <v>#N/A</v>
      </c>
      <c r="J362" s="1" t="e">
        <f>VLOOKUP(D362,epiunits!A$1:J$4000,7,FALSE)</f>
        <v>#N/A</v>
      </c>
      <c r="K362" s="1" t="e">
        <f>VLOOKUP(D362,epiunits!A$1:J$4000,8,FALSE)</f>
        <v>#N/A</v>
      </c>
      <c r="L362" s="1" t="e">
        <f>VLOOKUP(D362,epiunits!A$1:J$4000,9,FALSE)</f>
        <v>#N/A</v>
      </c>
      <c r="M362" s="1" t="e">
        <f>VLOOKUP(D362,epiunits!A$1:J$4000,10,FALSE)</f>
        <v>#N/A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</row>
    <row r="363" spans="1:51" x14ac:dyDescent="0.25">
      <c r="A363" s="1" t="e">
        <f>VLOOKUP(D363,epiunits!A$1:C$4000,2,FALSE)</f>
        <v>#N/A</v>
      </c>
      <c r="B363" s="1" t="e">
        <f>VLOOKUP(D363,epiunits!A$1:C$4000,3,FALSE)</f>
        <v>#N/A</v>
      </c>
      <c r="C363" s="1" t="e">
        <f>VLOOKUP(E363,Inspector!A$1:B$50,2,FALSE)</f>
        <v>#N/A</v>
      </c>
      <c r="I363" s="1" t="e">
        <f>VLOOKUP(D363,epiunits!A$1:J$4000,6,FALSE)</f>
        <v>#N/A</v>
      </c>
      <c r="J363" s="1" t="e">
        <f>VLOOKUP(D363,epiunits!A$1:J$4000,7,FALSE)</f>
        <v>#N/A</v>
      </c>
      <c r="K363" s="1" t="e">
        <f>VLOOKUP(D363,epiunits!A$1:J$4000,8,FALSE)</f>
        <v>#N/A</v>
      </c>
      <c r="L363" s="1" t="e">
        <f>VLOOKUP(D363,epiunits!A$1:J$4000,9,FALSE)</f>
        <v>#N/A</v>
      </c>
      <c r="M363" s="1" t="e">
        <f>VLOOKUP(D363,epiunits!A$1:J$4000,10,FALSE)</f>
        <v>#N/A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</row>
    <row r="364" spans="1:51" x14ac:dyDescent="0.25">
      <c r="A364" s="1" t="e">
        <f>VLOOKUP(D364,epiunits!A$1:C$4000,2,FALSE)</f>
        <v>#N/A</v>
      </c>
      <c r="B364" s="1" t="e">
        <f>VLOOKUP(D364,epiunits!A$1:C$4000,3,FALSE)</f>
        <v>#N/A</v>
      </c>
      <c r="C364" s="1" t="e">
        <f>VLOOKUP(E364,Inspector!A$1:B$50,2,FALSE)</f>
        <v>#N/A</v>
      </c>
      <c r="I364" s="1" t="e">
        <f>VLOOKUP(D364,epiunits!A$1:J$4000,6,FALSE)</f>
        <v>#N/A</v>
      </c>
      <c r="J364" s="1" t="e">
        <f>VLOOKUP(D364,epiunits!A$1:J$4000,7,FALSE)</f>
        <v>#N/A</v>
      </c>
      <c r="K364" s="1" t="e">
        <f>VLOOKUP(D364,epiunits!A$1:J$4000,8,FALSE)</f>
        <v>#N/A</v>
      </c>
      <c r="L364" s="1" t="e">
        <f>VLOOKUP(D364,epiunits!A$1:J$4000,9,FALSE)</f>
        <v>#N/A</v>
      </c>
      <c r="M364" s="1" t="e">
        <f>VLOOKUP(D364,epiunits!A$1:J$4000,10,FALSE)</f>
        <v>#N/A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</row>
    <row r="365" spans="1:51" x14ac:dyDescent="0.25">
      <c r="A365" s="1" t="e">
        <f>VLOOKUP(D365,epiunits!A$1:C$4000,2,FALSE)</f>
        <v>#N/A</v>
      </c>
      <c r="B365" s="1" t="e">
        <f>VLOOKUP(D365,epiunits!A$1:C$4000,3,FALSE)</f>
        <v>#N/A</v>
      </c>
      <c r="C365" s="1" t="e">
        <f>VLOOKUP(E365,Inspector!A$1:B$50,2,FALSE)</f>
        <v>#N/A</v>
      </c>
      <c r="I365" s="1" t="e">
        <f>VLOOKUP(D365,epiunits!A$1:J$4000,6,FALSE)</f>
        <v>#N/A</v>
      </c>
      <c r="J365" s="1" t="e">
        <f>VLOOKUP(D365,epiunits!A$1:J$4000,7,FALSE)</f>
        <v>#N/A</v>
      </c>
      <c r="K365" s="1" t="e">
        <f>VLOOKUP(D365,epiunits!A$1:J$4000,8,FALSE)</f>
        <v>#N/A</v>
      </c>
      <c r="L365" s="1" t="e">
        <f>VLOOKUP(D365,epiunits!A$1:J$4000,9,FALSE)</f>
        <v>#N/A</v>
      </c>
      <c r="M365" s="1" t="e">
        <f>VLOOKUP(D365,epiunits!A$1:J$4000,10,FALSE)</f>
        <v>#N/A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</row>
    <row r="366" spans="1:51" x14ac:dyDescent="0.25">
      <c r="A366" s="1" t="e">
        <f>VLOOKUP(D366,epiunits!A$1:C$4000,2,FALSE)</f>
        <v>#N/A</v>
      </c>
      <c r="B366" s="1" t="e">
        <f>VLOOKUP(D366,epiunits!A$1:C$4000,3,FALSE)</f>
        <v>#N/A</v>
      </c>
      <c r="C366" s="1" t="e">
        <f>VLOOKUP(E366,Inspector!A$1:B$50,2,FALSE)</f>
        <v>#N/A</v>
      </c>
      <c r="I366" s="1" t="e">
        <f>VLOOKUP(D366,epiunits!A$1:J$4000,6,FALSE)</f>
        <v>#N/A</v>
      </c>
      <c r="J366" s="1" t="e">
        <f>VLOOKUP(D366,epiunits!A$1:J$4000,7,FALSE)</f>
        <v>#N/A</v>
      </c>
      <c r="K366" s="1" t="e">
        <f>VLOOKUP(D366,epiunits!A$1:J$4000,8,FALSE)</f>
        <v>#N/A</v>
      </c>
      <c r="L366" s="1" t="e">
        <f>VLOOKUP(D366,epiunits!A$1:J$4000,9,FALSE)</f>
        <v>#N/A</v>
      </c>
      <c r="M366" s="1" t="e">
        <f>VLOOKUP(D366,epiunits!A$1:J$4000,10,FALSE)</f>
        <v>#N/A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</row>
    <row r="367" spans="1:51" x14ac:dyDescent="0.25">
      <c r="A367" s="1" t="e">
        <f>VLOOKUP(D367,epiunits!A$1:C$4000,2,FALSE)</f>
        <v>#N/A</v>
      </c>
      <c r="B367" s="1" t="e">
        <f>VLOOKUP(D367,epiunits!A$1:C$4000,3,FALSE)</f>
        <v>#N/A</v>
      </c>
      <c r="C367" s="1" t="e">
        <f>VLOOKUP(E367,Inspector!A$1:B$50,2,FALSE)</f>
        <v>#N/A</v>
      </c>
      <c r="I367" s="1" t="e">
        <f>VLOOKUP(D367,epiunits!A$1:J$4000,6,FALSE)</f>
        <v>#N/A</v>
      </c>
      <c r="J367" s="1" t="e">
        <f>VLOOKUP(D367,epiunits!A$1:J$4000,7,FALSE)</f>
        <v>#N/A</v>
      </c>
      <c r="K367" s="1" t="e">
        <f>VLOOKUP(D367,epiunits!A$1:J$4000,8,FALSE)</f>
        <v>#N/A</v>
      </c>
      <c r="L367" s="1" t="e">
        <f>VLOOKUP(D367,epiunits!A$1:J$4000,9,FALSE)</f>
        <v>#N/A</v>
      </c>
      <c r="M367" s="1" t="e">
        <f>VLOOKUP(D367,epiunits!A$1:J$4000,10,FALSE)</f>
        <v>#N/A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</row>
    <row r="368" spans="1:51" x14ac:dyDescent="0.25">
      <c r="A368" s="1" t="e">
        <f>VLOOKUP(D368,epiunits!A$1:C$4000,2,FALSE)</f>
        <v>#N/A</v>
      </c>
      <c r="B368" s="1" t="e">
        <f>VLOOKUP(D368,epiunits!A$1:C$4000,3,FALSE)</f>
        <v>#N/A</v>
      </c>
      <c r="C368" s="1" t="e">
        <f>VLOOKUP(E368,Inspector!A$1:B$50,2,FALSE)</f>
        <v>#N/A</v>
      </c>
      <c r="I368" s="1" t="e">
        <f>VLOOKUP(D368,epiunits!A$1:J$4000,6,FALSE)</f>
        <v>#N/A</v>
      </c>
      <c r="J368" s="1" t="e">
        <f>VLOOKUP(D368,epiunits!A$1:J$4000,7,FALSE)</f>
        <v>#N/A</v>
      </c>
      <c r="K368" s="1" t="e">
        <f>VLOOKUP(D368,epiunits!A$1:J$4000,8,FALSE)</f>
        <v>#N/A</v>
      </c>
      <c r="L368" s="1" t="e">
        <f>VLOOKUP(D368,epiunits!A$1:J$4000,9,FALSE)</f>
        <v>#N/A</v>
      </c>
      <c r="M368" s="1" t="e">
        <f>VLOOKUP(D368,epiunits!A$1:J$4000,10,FALSE)</f>
        <v>#N/A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</row>
    <row r="369" spans="1:51" x14ac:dyDescent="0.25">
      <c r="A369" s="1" t="e">
        <f>VLOOKUP(D369,epiunits!A$1:C$4000,2,FALSE)</f>
        <v>#N/A</v>
      </c>
      <c r="B369" s="1" t="e">
        <f>VLOOKUP(D369,epiunits!A$1:C$4000,3,FALSE)</f>
        <v>#N/A</v>
      </c>
      <c r="C369" s="1" t="e">
        <f>VLOOKUP(E369,Inspector!A$1:B$50,2,FALSE)</f>
        <v>#N/A</v>
      </c>
      <c r="I369" s="1" t="e">
        <f>VLOOKUP(D369,epiunits!A$1:J$4000,6,FALSE)</f>
        <v>#N/A</v>
      </c>
      <c r="J369" s="1" t="e">
        <f>VLOOKUP(D369,epiunits!A$1:J$4000,7,FALSE)</f>
        <v>#N/A</v>
      </c>
      <c r="K369" s="1" t="e">
        <f>VLOOKUP(D369,epiunits!A$1:J$4000,8,FALSE)</f>
        <v>#N/A</v>
      </c>
      <c r="L369" s="1" t="e">
        <f>VLOOKUP(D369,epiunits!A$1:J$4000,9,FALSE)</f>
        <v>#N/A</v>
      </c>
      <c r="M369" s="1" t="e">
        <f>VLOOKUP(D369,epiunits!A$1:J$4000,10,FALSE)</f>
        <v>#N/A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</row>
    <row r="370" spans="1:51" x14ac:dyDescent="0.25">
      <c r="A370" s="1" t="e">
        <f>VLOOKUP(D370,epiunits!A$1:C$4000,2,FALSE)</f>
        <v>#N/A</v>
      </c>
      <c r="B370" s="1" t="e">
        <f>VLOOKUP(D370,epiunits!A$1:C$4000,3,FALSE)</f>
        <v>#N/A</v>
      </c>
      <c r="C370" s="1" t="e">
        <f>VLOOKUP(E370,Inspector!A$1:B$50,2,FALSE)</f>
        <v>#N/A</v>
      </c>
      <c r="I370" s="1" t="e">
        <f>VLOOKUP(D370,epiunits!A$1:J$4000,6,FALSE)</f>
        <v>#N/A</v>
      </c>
      <c r="J370" s="1" t="e">
        <f>VLOOKUP(D370,epiunits!A$1:J$4000,7,FALSE)</f>
        <v>#N/A</v>
      </c>
      <c r="K370" s="1" t="e">
        <f>VLOOKUP(D370,epiunits!A$1:J$4000,8,FALSE)</f>
        <v>#N/A</v>
      </c>
      <c r="L370" s="1" t="e">
        <f>VLOOKUP(D370,epiunits!A$1:J$4000,9,FALSE)</f>
        <v>#N/A</v>
      </c>
      <c r="M370" s="1" t="e">
        <f>VLOOKUP(D370,epiunits!A$1:J$4000,10,FALSE)</f>
        <v>#N/A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</row>
    <row r="371" spans="1:51" x14ac:dyDescent="0.25">
      <c r="A371" s="1" t="e">
        <f>VLOOKUP(D371,epiunits!A$1:C$4000,2,FALSE)</f>
        <v>#N/A</v>
      </c>
      <c r="B371" s="1" t="e">
        <f>VLOOKUP(D371,epiunits!A$1:C$4000,3,FALSE)</f>
        <v>#N/A</v>
      </c>
      <c r="C371" s="1" t="e">
        <f>VLOOKUP(E371,Inspector!A$1:B$50,2,FALSE)</f>
        <v>#N/A</v>
      </c>
      <c r="I371" s="1" t="e">
        <f>VLOOKUP(D371,epiunits!A$1:J$4000,6,FALSE)</f>
        <v>#N/A</v>
      </c>
      <c r="J371" s="1" t="e">
        <f>VLOOKUP(D371,epiunits!A$1:J$4000,7,FALSE)</f>
        <v>#N/A</v>
      </c>
      <c r="K371" s="1" t="e">
        <f>VLOOKUP(D371,epiunits!A$1:J$4000,8,FALSE)</f>
        <v>#N/A</v>
      </c>
      <c r="L371" s="1" t="e">
        <f>VLOOKUP(D371,epiunits!A$1:J$4000,9,FALSE)</f>
        <v>#N/A</v>
      </c>
      <c r="M371" s="1" t="e">
        <f>VLOOKUP(D371,epiunits!A$1:J$4000,10,FALSE)</f>
        <v>#N/A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</row>
    <row r="372" spans="1:51" x14ac:dyDescent="0.25">
      <c r="A372" s="1" t="e">
        <f>VLOOKUP(D372,epiunits!A$1:C$4000,2,FALSE)</f>
        <v>#N/A</v>
      </c>
      <c r="B372" s="1" t="e">
        <f>VLOOKUP(D372,epiunits!A$1:C$4000,3,FALSE)</f>
        <v>#N/A</v>
      </c>
      <c r="C372" s="1" t="e">
        <f>VLOOKUP(E372,Inspector!A$1:B$50,2,FALSE)</f>
        <v>#N/A</v>
      </c>
      <c r="I372" s="1" t="e">
        <f>VLOOKUP(D372,epiunits!A$1:J$4000,6,FALSE)</f>
        <v>#N/A</v>
      </c>
      <c r="J372" s="1" t="e">
        <f>VLOOKUP(D372,epiunits!A$1:J$4000,7,FALSE)</f>
        <v>#N/A</v>
      </c>
      <c r="K372" s="1" t="e">
        <f>VLOOKUP(D372,epiunits!A$1:J$4000,8,FALSE)</f>
        <v>#N/A</v>
      </c>
      <c r="L372" s="1" t="e">
        <f>VLOOKUP(D372,epiunits!A$1:J$4000,9,FALSE)</f>
        <v>#N/A</v>
      </c>
      <c r="M372" s="1" t="e">
        <f>VLOOKUP(D372,epiunits!A$1:J$4000,10,FALSE)</f>
        <v>#N/A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</row>
    <row r="373" spans="1:51" x14ac:dyDescent="0.25">
      <c r="A373" s="1" t="e">
        <f>VLOOKUP(D373,epiunits!A$1:C$4000,2,FALSE)</f>
        <v>#N/A</v>
      </c>
      <c r="B373" s="1" t="e">
        <f>VLOOKUP(D373,epiunits!A$1:C$4000,3,FALSE)</f>
        <v>#N/A</v>
      </c>
      <c r="C373" s="1" t="e">
        <f>VLOOKUP(E373,Inspector!A$1:B$50,2,FALSE)</f>
        <v>#N/A</v>
      </c>
      <c r="I373" s="1" t="e">
        <f>VLOOKUP(D373,epiunits!A$1:J$4000,6,FALSE)</f>
        <v>#N/A</v>
      </c>
      <c r="J373" s="1" t="e">
        <f>VLOOKUP(D373,epiunits!A$1:J$4000,7,FALSE)</f>
        <v>#N/A</v>
      </c>
      <c r="K373" s="1" t="e">
        <f>VLOOKUP(D373,epiunits!A$1:J$4000,8,FALSE)</f>
        <v>#N/A</v>
      </c>
      <c r="L373" s="1" t="e">
        <f>VLOOKUP(D373,epiunits!A$1:J$4000,9,FALSE)</f>
        <v>#N/A</v>
      </c>
      <c r="M373" s="1" t="e">
        <f>VLOOKUP(D373,epiunits!A$1:J$4000,10,FALSE)</f>
        <v>#N/A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</row>
    <row r="374" spans="1:51" x14ac:dyDescent="0.25">
      <c r="A374" s="1" t="e">
        <f>VLOOKUP(D374,epiunits!A$1:C$4000,2,FALSE)</f>
        <v>#N/A</v>
      </c>
      <c r="B374" s="1" t="e">
        <f>VLOOKUP(D374,epiunits!A$1:C$4000,3,FALSE)</f>
        <v>#N/A</v>
      </c>
      <c r="C374" s="1" t="e">
        <f>VLOOKUP(E374,Inspector!A$1:B$50,2,FALSE)</f>
        <v>#N/A</v>
      </c>
      <c r="I374" s="1" t="e">
        <f>VLOOKUP(D374,epiunits!A$1:J$4000,6,FALSE)</f>
        <v>#N/A</v>
      </c>
      <c r="J374" s="1" t="e">
        <f>VLOOKUP(D374,epiunits!A$1:J$4000,7,FALSE)</f>
        <v>#N/A</v>
      </c>
      <c r="K374" s="1" t="e">
        <f>VLOOKUP(D374,epiunits!A$1:J$4000,8,FALSE)</f>
        <v>#N/A</v>
      </c>
      <c r="L374" s="1" t="e">
        <f>VLOOKUP(D374,epiunits!A$1:J$4000,9,FALSE)</f>
        <v>#N/A</v>
      </c>
      <c r="M374" s="1" t="e">
        <f>VLOOKUP(D374,epiunits!A$1:J$4000,10,FALSE)</f>
        <v>#N/A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</row>
    <row r="375" spans="1:51" x14ac:dyDescent="0.25">
      <c r="A375" s="1" t="e">
        <f>VLOOKUP(D375,epiunits!A$1:C$4000,2,FALSE)</f>
        <v>#N/A</v>
      </c>
      <c r="B375" s="1" t="e">
        <f>VLOOKUP(D375,epiunits!A$1:C$4000,3,FALSE)</f>
        <v>#N/A</v>
      </c>
      <c r="C375" s="1" t="e">
        <f>VLOOKUP(E375,Inspector!A$1:B$50,2,FALSE)</f>
        <v>#N/A</v>
      </c>
      <c r="I375" s="1" t="e">
        <f>VLOOKUP(D375,epiunits!A$1:J$4000,6,FALSE)</f>
        <v>#N/A</v>
      </c>
      <c r="J375" s="1" t="e">
        <f>VLOOKUP(D375,epiunits!A$1:J$4000,7,FALSE)</f>
        <v>#N/A</v>
      </c>
      <c r="K375" s="1" t="e">
        <f>VLOOKUP(D375,epiunits!A$1:J$4000,8,FALSE)</f>
        <v>#N/A</v>
      </c>
      <c r="L375" s="1" t="e">
        <f>VLOOKUP(D375,epiunits!A$1:J$4000,9,FALSE)</f>
        <v>#N/A</v>
      </c>
      <c r="M375" s="1" t="e">
        <f>VLOOKUP(D375,epiunits!A$1:J$4000,10,FALSE)</f>
        <v>#N/A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</row>
    <row r="376" spans="1:51" x14ac:dyDescent="0.25">
      <c r="A376" s="1" t="e">
        <f>VLOOKUP(D376,epiunits!A$1:C$4000,2,FALSE)</f>
        <v>#N/A</v>
      </c>
      <c r="B376" s="1" t="e">
        <f>VLOOKUP(D376,epiunits!A$1:C$4000,3,FALSE)</f>
        <v>#N/A</v>
      </c>
      <c r="C376" s="1" t="e">
        <f>VLOOKUP(E376,Inspector!A$1:B$50,2,FALSE)</f>
        <v>#N/A</v>
      </c>
      <c r="I376" s="1" t="e">
        <f>VLOOKUP(D376,epiunits!A$1:J$4000,6,FALSE)</f>
        <v>#N/A</v>
      </c>
      <c r="J376" s="1" t="e">
        <f>VLOOKUP(D376,epiunits!A$1:J$4000,7,FALSE)</f>
        <v>#N/A</v>
      </c>
      <c r="K376" s="1" t="e">
        <f>VLOOKUP(D376,epiunits!A$1:J$4000,8,FALSE)</f>
        <v>#N/A</v>
      </c>
      <c r="L376" s="1" t="e">
        <f>VLOOKUP(D376,epiunits!A$1:J$4000,9,FALSE)</f>
        <v>#N/A</v>
      </c>
      <c r="M376" s="1" t="e">
        <f>VLOOKUP(D376,epiunits!A$1:J$4000,10,FALSE)</f>
        <v>#N/A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</row>
    <row r="377" spans="1:51" x14ac:dyDescent="0.25">
      <c r="A377" s="1" t="e">
        <f>VLOOKUP(D377,epiunits!A$1:C$4000,2,FALSE)</f>
        <v>#N/A</v>
      </c>
      <c r="B377" s="1" t="e">
        <f>VLOOKUP(D377,epiunits!A$1:C$4000,3,FALSE)</f>
        <v>#N/A</v>
      </c>
      <c r="C377" s="1" t="e">
        <f>VLOOKUP(E377,Inspector!A$1:B$50,2,FALSE)</f>
        <v>#N/A</v>
      </c>
      <c r="I377" s="1" t="e">
        <f>VLOOKUP(D377,epiunits!A$1:J$4000,6,FALSE)</f>
        <v>#N/A</v>
      </c>
      <c r="J377" s="1" t="e">
        <f>VLOOKUP(D377,epiunits!A$1:J$4000,7,FALSE)</f>
        <v>#N/A</v>
      </c>
      <c r="K377" s="1" t="e">
        <f>VLOOKUP(D377,epiunits!A$1:J$4000,8,FALSE)</f>
        <v>#N/A</v>
      </c>
      <c r="L377" s="1" t="e">
        <f>VLOOKUP(D377,epiunits!A$1:J$4000,9,FALSE)</f>
        <v>#N/A</v>
      </c>
      <c r="M377" s="1" t="e">
        <f>VLOOKUP(D377,epiunits!A$1:J$4000,10,FALSE)</f>
        <v>#N/A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</row>
    <row r="378" spans="1:51" x14ac:dyDescent="0.25">
      <c r="A378" s="1" t="e">
        <f>VLOOKUP(D378,epiunits!A$1:C$4000,2,FALSE)</f>
        <v>#N/A</v>
      </c>
      <c r="B378" s="1" t="e">
        <f>VLOOKUP(D378,epiunits!A$1:C$4000,3,FALSE)</f>
        <v>#N/A</v>
      </c>
      <c r="C378" s="1" t="e">
        <f>VLOOKUP(E378,Inspector!A$1:B$50,2,FALSE)</f>
        <v>#N/A</v>
      </c>
      <c r="I378" s="1" t="e">
        <f>VLOOKUP(D378,epiunits!A$1:J$4000,6,FALSE)</f>
        <v>#N/A</v>
      </c>
      <c r="J378" s="1" t="e">
        <f>VLOOKUP(D378,epiunits!A$1:J$4000,7,FALSE)</f>
        <v>#N/A</v>
      </c>
      <c r="K378" s="1" t="e">
        <f>VLOOKUP(D378,epiunits!A$1:J$4000,8,FALSE)</f>
        <v>#N/A</v>
      </c>
      <c r="L378" s="1" t="e">
        <f>VLOOKUP(D378,epiunits!A$1:J$4000,9,FALSE)</f>
        <v>#N/A</v>
      </c>
      <c r="M378" s="1" t="e">
        <f>VLOOKUP(D378,epiunits!A$1:J$4000,10,FALSE)</f>
        <v>#N/A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</row>
    <row r="379" spans="1:51" x14ac:dyDescent="0.25">
      <c r="A379" s="1" t="e">
        <f>VLOOKUP(D379,epiunits!A$1:C$4000,2,FALSE)</f>
        <v>#N/A</v>
      </c>
      <c r="B379" s="1" t="e">
        <f>VLOOKUP(D379,epiunits!A$1:C$4000,3,FALSE)</f>
        <v>#N/A</v>
      </c>
      <c r="C379" s="1" t="e">
        <f>VLOOKUP(E379,Inspector!A$1:B$50,2,FALSE)</f>
        <v>#N/A</v>
      </c>
      <c r="I379" s="1" t="e">
        <f>VLOOKUP(D379,epiunits!A$1:J$4000,6,FALSE)</f>
        <v>#N/A</v>
      </c>
      <c r="J379" s="1" t="e">
        <f>VLOOKUP(D379,epiunits!A$1:J$4000,7,FALSE)</f>
        <v>#N/A</v>
      </c>
      <c r="K379" s="1" t="e">
        <f>VLOOKUP(D379,epiunits!A$1:J$4000,8,FALSE)</f>
        <v>#N/A</v>
      </c>
      <c r="L379" s="1" t="e">
        <f>VLOOKUP(D379,epiunits!A$1:J$4000,9,FALSE)</f>
        <v>#N/A</v>
      </c>
      <c r="M379" s="1" t="e">
        <f>VLOOKUP(D379,epiunits!A$1:J$4000,10,FALSE)</f>
        <v>#N/A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</row>
    <row r="380" spans="1:51" x14ac:dyDescent="0.25">
      <c r="A380" s="1" t="e">
        <f>VLOOKUP(D380,epiunits!A$1:C$4000,2,FALSE)</f>
        <v>#N/A</v>
      </c>
      <c r="B380" s="1" t="e">
        <f>VLOOKUP(D380,epiunits!A$1:C$4000,3,FALSE)</f>
        <v>#N/A</v>
      </c>
      <c r="C380" s="1" t="e">
        <f>VLOOKUP(E380,Inspector!A$1:B$50,2,FALSE)</f>
        <v>#N/A</v>
      </c>
      <c r="I380" s="1" t="e">
        <f>VLOOKUP(D380,epiunits!A$1:J$4000,6,FALSE)</f>
        <v>#N/A</v>
      </c>
      <c r="J380" s="1" t="e">
        <f>VLOOKUP(D380,epiunits!A$1:J$4000,7,FALSE)</f>
        <v>#N/A</v>
      </c>
      <c r="K380" s="1" t="e">
        <f>VLOOKUP(D380,epiunits!A$1:J$4000,8,FALSE)</f>
        <v>#N/A</v>
      </c>
      <c r="L380" s="1" t="e">
        <f>VLOOKUP(D380,epiunits!A$1:J$4000,9,FALSE)</f>
        <v>#N/A</v>
      </c>
      <c r="M380" s="1" t="e">
        <f>VLOOKUP(D380,epiunits!A$1:J$4000,10,FALSE)</f>
        <v>#N/A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</row>
    <row r="381" spans="1:51" x14ac:dyDescent="0.25">
      <c r="A381" s="1" t="e">
        <f>VLOOKUP(D381,epiunits!A$1:C$4000,2,FALSE)</f>
        <v>#N/A</v>
      </c>
      <c r="B381" s="1" t="e">
        <f>VLOOKUP(D381,epiunits!A$1:C$4000,3,FALSE)</f>
        <v>#N/A</v>
      </c>
      <c r="C381" s="1" t="e">
        <f>VLOOKUP(E381,Inspector!A$1:B$50,2,FALSE)</f>
        <v>#N/A</v>
      </c>
      <c r="I381" s="1" t="e">
        <f>VLOOKUP(D381,epiunits!A$1:J$4000,6,FALSE)</f>
        <v>#N/A</v>
      </c>
      <c r="J381" s="1" t="e">
        <f>VLOOKUP(D381,epiunits!A$1:J$4000,7,FALSE)</f>
        <v>#N/A</v>
      </c>
      <c r="K381" s="1" t="e">
        <f>VLOOKUP(D381,epiunits!A$1:J$4000,8,FALSE)</f>
        <v>#N/A</v>
      </c>
      <c r="L381" s="1" t="e">
        <f>VLOOKUP(D381,epiunits!A$1:J$4000,9,FALSE)</f>
        <v>#N/A</v>
      </c>
      <c r="M381" s="1" t="e">
        <f>VLOOKUP(D381,epiunits!A$1:J$4000,10,FALSE)</f>
        <v>#N/A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</row>
    <row r="382" spans="1:51" x14ac:dyDescent="0.25">
      <c r="A382" s="1" t="e">
        <f>VLOOKUP(D382,epiunits!A$1:C$4000,2,FALSE)</f>
        <v>#N/A</v>
      </c>
      <c r="B382" s="1" t="e">
        <f>VLOOKUP(D382,epiunits!A$1:C$4000,3,FALSE)</f>
        <v>#N/A</v>
      </c>
      <c r="C382" s="1" t="e">
        <f>VLOOKUP(E382,Inspector!A$1:B$50,2,FALSE)</f>
        <v>#N/A</v>
      </c>
      <c r="I382" s="1" t="e">
        <f>VLOOKUP(D382,epiunits!A$1:J$4000,6,FALSE)</f>
        <v>#N/A</v>
      </c>
      <c r="J382" s="1" t="e">
        <f>VLOOKUP(D382,epiunits!A$1:J$4000,7,FALSE)</f>
        <v>#N/A</v>
      </c>
      <c r="K382" s="1" t="e">
        <f>VLOOKUP(D382,epiunits!A$1:J$4000,8,FALSE)</f>
        <v>#N/A</v>
      </c>
      <c r="L382" s="1" t="e">
        <f>VLOOKUP(D382,epiunits!A$1:J$4000,9,FALSE)</f>
        <v>#N/A</v>
      </c>
      <c r="M382" s="1" t="e">
        <f>VLOOKUP(D382,epiunits!A$1:J$4000,10,FALSE)</f>
        <v>#N/A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</row>
    <row r="383" spans="1:51" x14ac:dyDescent="0.25">
      <c r="A383" s="1" t="e">
        <f>VLOOKUP(D383,epiunits!A$1:C$4000,2,FALSE)</f>
        <v>#N/A</v>
      </c>
      <c r="B383" s="1" t="e">
        <f>VLOOKUP(D383,epiunits!A$1:C$4000,3,FALSE)</f>
        <v>#N/A</v>
      </c>
      <c r="C383" s="1" t="e">
        <f>VLOOKUP(E383,Inspector!A$1:B$50,2,FALSE)</f>
        <v>#N/A</v>
      </c>
      <c r="I383" s="1" t="e">
        <f>VLOOKUP(D383,epiunits!A$1:J$4000,6,FALSE)</f>
        <v>#N/A</v>
      </c>
      <c r="J383" s="1" t="e">
        <f>VLOOKUP(D383,epiunits!A$1:J$4000,7,FALSE)</f>
        <v>#N/A</v>
      </c>
      <c r="K383" s="1" t="e">
        <f>VLOOKUP(D383,epiunits!A$1:J$4000,8,FALSE)</f>
        <v>#N/A</v>
      </c>
      <c r="L383" s="1" t="e">
        <f>VLOOKUP(D383,epiunits!A$1:J$4000,9,FALSE)</f>
        <v>#N/A</v>
      </c>
      <c r="M383" s="1" t="e">
        <f>VLOOKUP(D383,epiunits!A$1:J$4000,10,FALSE)</f>
        <v>#N/A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</row>
    <row r="384" spans="1:51" x14ac:dyDescent="0.25">
      <c r="A384" s="1" t="e">
        <f>VLOOKUP(D384,epiunits!A$1:C$4000,2,FALSE)</f>
        <v>#N/A</v>
      </c>
      <c r="B384" s="1" t="e">
        <f>VLOOKUP(D384,epiunits!A$1:C$4000,3,FALSE)</f>
        <v>#N/A</v>
      </c>
      <c r="C384" s="1" t="e">
        <f>VLOOKUP(E384,Inspector!A$1:B$50,2,FALSE)</f>
        <v>#N/A</v>
      </c>
      <c r="I384" s="1" t="e">
        <f>VLOOKUP(D384,epiunits!A$1:J$4000,6,FALSE)</f>
        <v>#N/A</v>
      </c>
      <c r="J384" s="1" t="e">
        <f>VLOOKUP(D384,epiunits!A$1:J$4000,7,FALSE)</f>
        <v>#N/A</v>
      </c>
      <c r="K384" s="1" t="e">
        <f>VLOOKUP(D384,epiunits!A$1:J$4000,8,FALSE)</f>
        <v>#N/A</v>
      </c>
      <c r="L384" s="1" t="e">
        <f>VLOOKUP(D384,epiunits!A$1:J$4000,9,FALSE)</f>
        <v>#N/A</v>
      </c>
      <c r="M384" s="1" t="e">
        <f>VLOOKUP(D384,epiunits!A$1:J$4000,10,FALSE)</f>
        <v>#N/A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</row>
    <row r="385" spans="1:51" x14ac:dyDescent="0.25">
      <c r="A385" s="1" t="e">
        <f>VLOOKUP(D385,epiunits!A$1:C$4000,2,FALSE)</f>
        <v>#N/A</v>
      </c>
      <c r="B385" s="1" t="e">
        <f>VLOOKUP(D385,epiunits!A$1:C$4000,3,FALSE)</f>
        <v>#N/A</v>
      </c>
      <c r="C385" s="1" t="e">
        <f>VLOOKUP(E385,Inspector!A$1:B$50,2,FALSE)</f>
        <v>#N/A</v>
      </c>
      <c r="I385" s="1" t="e">
        <f>VLOOKUP(D385,epiunits!A$1:J$4000,6,FALSE)</f>
        <v>#N/A</v>
      </c>
      <c r="J385" s="1" t="e">
        <f>VLOOKUP(D385,epiunits!A$1:J$4000,7,FALSE)</f>
        <v>#N/A</v>
      </c>
      <c r="K385" s="1" t="e">
        <f>VLOOKUP(D385,epiunits!A$1:J$4000,8,FALSE)</f>
        <v>#N/A</v>
      </c>
      <c r="L385" s="1" t="e">
        <f>VLOOKUP(D385,epiunits!A$1:J$4000,9,FALSE)</f>
        <v>#N/A</v>
      </c>
      <c r="M385" s="1" t="e">
        <f>VLOOKUP(D385,epiunits!A$1:J$4000,10,FALSE)</f>
        <v>#N/A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</row>
    <row r="386" spans="1:51" x14ac:dyDescent="0.25">
      <c r="A386" s="1" t="e">
        <f>VLOOKUP(D386,epiunits!A$1:C$4000,2,FALSE)</f>
        <v>#N/A</v>
      </c>
      <c r="B386" s="1" t="e">
        <f>VLOOKUP(D386,epiunits!A$1:C$4000,3,FALSE)</f>
        <v>#N/A</v>
      </c>
      <c r="C386" s="1" t="e">
        <f>VLOOKUP(E386,Inspector!A$1:B$50,2,FALSE)</f>
        <v>#N/A</v>
      </c>
      <c r="I386" s="1" t="e">
        <f>VLOOKUP(D386,epiunits!A$1:J$4000,6,FALSE)</f>
        <v>#N/A</v>
      </c>
      <c r="J386" s="1" t="e">
        <f>VLOOKUP(D386,epiunits!A$1:J$4000,7,FALSE)</f>
        <v>#N/A</v>
      </c>
      <c r="K386" s="1" t="e">
        <f>VLOOKUP(D386,epiunits!A$1:J$4000,8,FALSE)</f>
        <v>#N/A</v>
      </c>
      <c r="L386" s="1" t="e">
        <f>VLOOKUP(D386,epiunits!A$1:J$4000,9,FALSE)</f>
        <v>#N/A</v>
      </c>
      <c r="M386" s="1" t="e">
        <f>VLOOKUP(D386,epiunits!A$1:J$4000,10,FALSE)</f>
        <v>#N/A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</row>
    <row r="387" spans="1:51" x14ac:dyDescent="0.25">
      <c r="A387" s="1" t="e">
        <f>VLOOKUP(D387,epiunits!A$1:C$4000,2,FALSE)</f>
        <v>#N/A</v>
      </c>
      <c r="B387" s="1" t="e">
        <f>VLOOKUP(D387,epiunits!A$1:C$4000,3,FALSE)</f>
        <v>#N/A</v>
      </c>
      <c r="C387" s="1" t="e">
        <f>VLOOKUP(E387,Inspector!A$1:B$50,2,FALSE)</f>
        <v>#N/A</v>
      </c>
      <c r="I387" s="1" t="e">
        <f>VLOOKUP(D387,epiunits!A$1:J$4000,6,FALSE)</f>
        <v>#N/A</v>
      </c>
      <c r="J387" s="1" t="e">
        <f>VLOOKUP(D387,epiunits!A$1:J$4000,7,FALSE)</f>
        <v>#N/A</v>
      </c>
      <c r="K387" s="1" t="e">
        <f>VLOOKUP(D387,epiunits!A$1:J$4000,8,FALSE)</f>
        <v>#N/A</v>
      </c>
      <c r="L387" s="1" t="e">
        <f>VLOOKUP(D387,epiunits!A$1:J$4000,9,FALSE)</f>
        <v>#N/A</v>
      </c>
      <c r="M387" s="1" t="e">
        <f>VLOOKUP(D387,epiunits!A$1:J$4000,10,FALSE)</f>
        <v>#N/A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</row>
    <row r="388" spans="1:51" x14ac:dyDescent="0.25">
      <c r="A388" s="1" t="e">
        <f>VLOOKUP(D388,epiunits!A$1:C$4000,2,FALSE)</f>
        <v>#N/A</v>
      </c>
      <c r="B388" s="1" t="e">
        <f>VLOOKUP(D388,epiunits!A$1:C$4000,3,FALSE)</f>
        <v>#N/A</v>
      </c>
      <c r="C388" s="1" t="e">
        <f>VLOOKUP(E388,Inspector!A$1:B$50,2,FALSE)</f>
        <v>#N/A</v>
      </c>
      <c r="I388" s="1" t="e">
        <f>VLOOKUP(D388,epiunits!A$1:J$4000,6,FALSE)</f>
        <v>#N/A</v>
      </c>
      <c r="J388" s="1" t="e">
        <f>VLOOKUP(D388,epiunits!A$1:J$4000,7,FALSE)</f>
        <v>#N/A</v>
      </c>
      <c r="K388" s="1" t="e">
        <f>VLOOKUP(D388,epiunits!A$1:J$4000,8,FALSE)</f>
        <v>#N/A</v>
      </c>
      <c r="L388" s="1" t="e">
        <f>VLOOKUP(D388,epiunits!A$1:J$4000,9,FALSE)</f>
        <v>#N/A</v>
      </c>
      <c r="M388" s="1" t="e">
        <f>VLOOKUP(D388,epiunits!A$1:J$4000,10,FALSE)</f>
        <v>#N/A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</row>
    <row r="389" spans="1:51" x14ac:dyDescent="0.25">
      <c r="A389" s="1" t="e">
        <f>VLOOKUP(D389,epiunits!A$1:C$4000,2,FALSE)</f>
        <v>#N/A</v>
      </c>
      <c r="B389" s="1" t="e">
        <f>VLOOKUP(D389,epiunits!A$1:C$4000,3,FALSE)</f>
        <v>#N/A</v>
      </c>
      <c r="C389" s="1" t="e">
        <f>VLOOKUP(E389,Inspector!A$1:B$50,2,FALSE)</f>
        <v>#N/A</v>
      </c>
      <c r="I389" s="1" t="e">
        <f>VLOOKUP(D389,epiunits!A$1:J$4000,6,FALSE)</f>
        <v>#N/A</v>
      </c>
      <c r="J389" s="1" t="e">
        <f>VLOOKUP(D389,epiunits!A$1:J$4000,7,FALSE)</f>
        <v>#N/A</v>
      </c>
      <c r="K389" s="1" t="e">
        <f>VLOOKUP(D389,epiunits!A$1:J$4000,8,FALSE)</f>
        <v>#N/A</v>
      </c>
      <c r="L389" s="1" t="e">
        <f>VLOOKUP(D389,epiunits!A$1:J$4000,9,FALSE)</f>
        <v>#N/A</v>
      </c>
      <c r="M389" s="1" t="e">
        <f>VLOOKUP(D389,epiunits!A$1:J$4000,10,FALSE)</f>
        <v>#N/A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</row>
    <row r="390" spans="1:51" x14ac:dyDescent="0.25">
      <c r="A390" s="1" t="e">
        <f>VLOOKUP(D390,epiunits!A$1:C$4000,2,FALSE)</f>
        <v>#N/A</v>
      </c>
      <c r="B390" s="1" t="e">
        <f>VLOOKUP(D390,epiunits!A$1:C$4000,3,FALSE)</f>
        <v>#N/A</v>
      </c>
      <c r="C390" s="1" t="e">
        <f>VLOOKUP(E390,Inspector!A$1:B$50,2,FALSE)</f>
        <v>#N/A</v>
      </c>
      <c r="I390" s="1" t="e">
        <f>VLOOKUP(D390,epiunits!A$1:J$4000,6,FALSE)</f>
        <v>#N/A</v>
      </c>
      <c r="J390" s="1" t="e">
        <f>VLOOKUP(D390,epiunits!A$1:J$4000,7,FALSE)</f>
        <v>#N/A</v>
      </c>
      <c r="K390" s="1" t="e">
        <f>VLOOKUP(D390,epiunits!A$1:J$4000,8,FALSE)</f>
        <v>#N/A</v>
      </c>
      <c r="L390" s="1" t="e">
        <f>VLOOKUP(D390,epiunits!A$1:J$4000,9,FALSE)</f>
        <v>#N/A</v>
      </c>
      <c r="M390" s="1" t="e">
        <f>VLOOKUP(D390,epiunits!A$1:J$4000,10,FALSE)</f>
        <v>#N/A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</row>
    <row r="391" spans="1:51" x14ac:dyDescent="0.25">
      <c r="A391" s="1" t="e">
        <f>VLOOKUP(D391,epiunits!A$1:C$4000,2,FALSE)</f>
        <v>#N/A</v>
      </c>
      <c r="B391" s="1" t="e">
        <f>VLOOKUP(D391,epiunits!A$1:C$4000,3,FALSE)</f>
        <v>#N/A</v>
      </c>
      <c r="C391" s="1" t="e">
        <f>VLOOKUP(E391,Inspector!A$1:B$50,2,FALSE)</f>
        <v>#N/A</v>
      </c>
      <c r="I391" s="1" t="e">
        <f>VLOOKUP(D391,epiunits!A$1:J$4000,6,FALSE)</f>
        <v>#N/A</v>
      </c>
      <c r="J391" s="1" t="e">
        <f>VLOOKUP(D391,epiunits!A$1:J$4000,7,FALSE)</f>
        <v>#N/A</v>
      </c>
      <c r="K391" s="1" t="e">
        <f>VLOOKUP(D391,epiunits!A$1:J$4000,8,FALSE)</f>
        <v>#N/A</v>
      </c>
      <c r="L391" s="1" t="e">
        <f>VLOOKUP(D391,epiunits!A$1:J$4000,9,FALSE)</f>
        <v>#N/A</v>
      </c>
      <c r="M391" s="1" t="e">
        <f>VLOOKUP(D391,epiunits!A$1:J$4000,10,FALSE)</f>
        <v>#N/A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</row>
    <row r="392" spans="1:51" x14ac:dyDescent="0.25">
      <c r="A392" s="1" t="e">
        <f>VLOOKUP(D392,epiunits!A$1:C$4000,2,FALSE)</f>
        <v>#N/A</v>
      </c>
      <c r="B392" s="1" t="e">
        <f>VLOOKUP(D392,epiunits!A$1:C$4000,3,FALSE)</f>
        <v>#N/A</v>
      </c>
      <c r="C392" s="1" t="e">
        <f>VLOOKUP(E392,Inspector!A$1:B$50,2,FALSE)</f>
        <v>#N/A</v>
      </c>
      <c r="I392" s="1" t="e">
        <f>VLOOKUP(D392,epiunits!A$1:J$4000,6,FALSE)</f>
        <v>#N/A</v>
      </c>
      <c r="J392" s="1" t="e">
        <f>VLOOKUP(D392,epiunits!A$1:J$4000,7,FALSE)</f>
        <v>#N/A</v>
      </c>
      <c r="K392" s="1" t="e">
        <f>VLOOKUP(D392,epiunits!A$1:J$4000,8,FALSE)</f>
        <v>#N/A</v>
      </c>
      <c r="L392" s="1" t="e">
        <f>VLOOKUP(D392,epiunits!A$1:J$4000,9,FALSE)</f>
        <v>#N/A</v>
      </c>
      <c r="M392" s="1" t="e">
        <f>VLOOKUP(D392,epiunits!A$1:J$4000,10,FALSE)</f>
        <v>#N/A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</row>
    <row r="393" spans="1:51" x14ac:dyDescent="0.25">
      <c r="A393" s="1" t="e">
        <f>VLOOKUP(D393,epiunits!A$1:C$4000,2,FALSE)</f>
        <v>#N/A</v>
      </c>
      <c r="B393" s="1" t="e">
        <f>VLOOKUP(D393,epiunits!A$1:C$4000,3,FALSE)</f>
        <v>#N/A</v>
      </c>
      <c r="C393" s="1" t="e">
        <f>VLOOKUP(E393,Inspector!A$1:B$50,2,FALSE)</f>
        <v>#N/A</v>
      </c>
      <c r="I393" s="1" t="e">
        <f>VLOOKUP(D393,epiunits!A$1:J$4000,6,FALSE)</f>
        <v>#N/A</v>
      </c>
      <c r="J393" s="1" t="e">
        <f>VLOOKUP(D393,epiunits!A$1:J$4000,7,FALSE)</f>
        <v>#N/A</v>
      </c>
      <c r="K393" s="1" t="e">
        <f>VLOOKUP(D393,epiunits!A$1:J$4000,8,FALSE)</f>
        <v>#N/A</v>
      </c>
      <c r="L393" s="1" t="e">
        <f>VLOOKUP(D393,epiunits!A$1:J$4000,9,FALSE)</f>
        <v>#N/A</v>
      </c>
      <c r="M393" s="1" t="e">
        <f>VLOOKUP(D393,epiunits!A$1:J$4000,10,FALSE)</f>
        <v>#N/A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</row>
    <row r="394" spans="1:51" x14ac:dyDescent="0.25">
      <c r="A394" s="1" t="e">
        <f>VLOOKUP(D394,epiunits!A$1:C$4000,2,FALSE)</f>
        <v>#N/A</v>
      </c>
      <c r="B394" s="1" t="e">
        <f>VLOOKUP(D394,epiunits!A$1:C$4000,3,FALSE)</f>
        <v>#N/A</v>
      </c>
      <c r="C394" s="1" t="e">
        <f>VLOOKUP(E394,Inspector!A$1:B$50,2,FALSE)</f>
        <v>#N/A</v>
      </c>
      <c r="I394" s="1" t="e">
        <f>VLOOKUP(D394,epiunits!A$1:J$4000,6,FALSE)</f>
        <v>#N/A</v>
      </c>
      <c r="J394" s="1" t="e">
        <f>VLOOKUP(D394,epiunits!A$1:J$4000,7,FALSE)</f>
        <v>#N/A</v>
      </c>
      <c r="K394" s="1" t="e">
        <f>VLOOKUP(D394,epiunits!A$1:J$4000,8,FALSE)</f>
        <v>#N/A</v>
      </c>
      <c r="L394" s="1" t="e">
        <f>VLOOKUP(D394,epiunits!A$1:J$4000,9,FALSE)</f>
        <v>#N/A</v>
      </c>
      <c r="M394" s="1" t="e">
        <f>VLOOKUP(D394,epiunits!A$1:J$4000,10,FALSE)</f>
        <v>#N/A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</row>
    <row r="395" spans="1:51" x14ac:dyDescent="0.25">
      <c r="A395" s="1" t="e">
        <f>VLOOKUP(D395,epiunits!A$1:C$4000,2,FALSE)</f>
        <v>#N/A</v>
      </c>
      <c r="B395" s="1" t="e">
        <f>VLOOKUP(D395,epiunits!A$1:C$4000,3,FALSE)</f>
        <v>#N/A</v>
      </c>
      <c r="C395" s="1" t="e">
        <f>VLOOKUP(E395,Inspector!A$1:B$50,2,FALSE)</f>
        <v>#N/A</v>
      </c>
      <c r="I395" s="1" t="e">
        <f>VLOOKUP(D395,epiunits!A$1:J$4000,6,FALSE)</f>
        <v>#N/A</v>
      </c>
      <c r="J395" s="1" t="e">
        <f>VLOOKUP(D395,epiunits!A$1:J$4000,7,FALSE)</f>
        <v>#N/A</v>
      </c>
      <c r="K395" s="1" t="e">
        <f>VLOOKUP(D395,epiunits!A$1:J$4000,8,FALSE)</f>
        <v>#N/A</v>
      </c>
      <c r="L395" s="1" t="e">
        <f>VLOOKUP(D395,epiunits!A$1:J$4000,9,FALSE)</f>
        <v>#N/A</v>
      </c>
      <c r="M395" s="1" t="e">
        <f>VLOOKUP(D395,epiunits!A$1:J$4000,10,FALSE)</f>
        <v>#N/A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</row>
    <row r="396" spans="1:51" x14ac:dyDescent="0.25">
      <c r="A396" s="1" t="e">
        <f>VLOOKUP(D396,epiunits!A$1:C$4000,2,FALSE)</f>
        <v>#N/A</v>
      </c>
      <c r="B396" s="1" t="e">
        <f>VLOOKUP(D396,epiunits!A$1:C$4000,3,FALSE)</f>
        <v>#N/A</v>
      </c>
      <c r="C396" s="1" t="e">
        <f>VLOOKUP(E396,Inspector!A$1:B$50,2,FALSE)</f>
        <v>#N/A</v>
      </c>
      <c r="I396" s="1" t="e">
        <f>VLOOKUP(D396,epiunits!A$1:J$4000,6,FALSE)</f>
        <v>#N/A</v>
      </c>
      <c r="J396" s="1" t="e">
        <f>VLOOKUP(D396,epiunits!A$1:J$4000,7,FALSE)</f>
        <v>#N/A</v>
      </c>
      <c r="K396" s="1" t="e">
        <f>VLOOKUP(D396,epiunits!A$1:J$4000,8,FALSE)</f>
        <v>#N/A</v>
      </c>
      <c r="L396" s="1" t="e">
        <f>VLOOKUP(D396,epiunits!A$1:J$4000,9,FALSE)</f>
        <v>#N/A</v>
      </c>
      <c r="M396" s="1" t="e">
        <f>VLOOKUP(D396,epiunits!A$1:J$4000,10,FALSE)</f>
        <v>#N/A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</row>
    <row r="397" spans="1:51" x14ac:dyDescent="0.25">
      <c r="A397" s="1" t="e">
        <f>VLOOKUP(D397,epiunits!A$1:C$4000,2,FALSE)</f>
        <v>#N/A</v>
      </c>
      <c r="B397" s="1" t="e">
        <f>VLOOKUP(D397,epiunits!A$1:C$4000,3,FALSE)</f>
        <v>#N/A</v>
      </c>
      <c r="C397" s="1" t="e">
        <f>VLOOKUP(E397,Inspector!A$1:B$50,2,FALSE)</f>
        <v>#N/A</v>
      </c>
      <c r="I397" s="1" t="e">
        <f>VLOOKUP(D397,epiunits!A$1:J$4000,6,FALSE)</f>
        <v>#N/A</v>
      </c>
      <c r="J397" s="1" t="e">
        <f>VLOOKUP(D397,epiunits!A$1:J$4000,7,FALSE)</f>
        <v>#N/A</v>
      </c>
      <c r="K397" s="1" t="e">
        <f>VLOOKUP(D397,epiunits!A$1:J$4000,8,FALSE)</f>
        <v>#N/A</v>
      </c>
      <c r="L397" s="1" t="e">
        <f>VLOOKUP(D397,epiunits!A$1:J$4000,9,FALSE)</f>
        <v>#N/A</v>
      </c>
      <c r="M397" s="1" t="e">
        <f>VLOOKUP(D397,epiunits!A$1:J$4000,10,FALSE)</f>
        <v>#N/A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</row>
    <row r="398" spans="1:51" x14ac:dyDescent="0.25">
      <c r="A398" s="1" t="e">
        <f>VLOOKUP(D398,epiunits!A$1:C$4000,2,FALSE)</f>
        <v>#N/A</v>
      </c>
      <c r="B398" s="1" t="e">
        <f>VLOOKUP(D398,epiunits!A$1:C$4000,3,FALSE)</f>
        <v>#N/A</v>
      </c>
      <c r="C398" s="1" t="e">
        <f>VLOOKUP(E398,Inspector!A$1:B$50,2,FALSE)</f>
        <v>#N/A</v>
      </c>
      <c r="I398" s="1" t="e">
        <f>VLOOKUP(D398,epiunits!A$1:J$4000,6,FALSE)</f>
        <v>#N/A</v>
      </c>
      <c r="J398" s="1" t="e">
        <f>VLOOKUP(D398,epiunits!A$1:J$4000,7,FALSE)</f>
        <v>#N/A</v>
      </c>
      <c r="K398" s="1" t="e">
        <f>VLOOKUP(D398,epiunits!A$1:J$4000,8,FALSE)</f>
        <v>#N/A</v>
      </c>
      <c r="L398" s="1" t="e">
        <f>VLOOKUP(D398,epiunits!A$1:J$4000,9,FALSE)</f>
        <v>#N/A</v>
      </c>
      <c r="M398" s="1" t="e">
        <f>VLOOKUP(D398,epiunits!A$1:J$4000,10,FALSE)</f>
        <v>#N/A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</row>
    <row r="399" spans="1:51" x14ac:dyDescent="0.25">
      <c r="A399" s="1" t="e">
        <f>VLOOKUP(D399,epiunits!A$1:C$4000,2,FALSE)</f>
        <v>#N/A</v>
      </c>
      <c r="B399" s="1" t="e">
        <f>VLOOKUP(D399,epiunits!A$1:C$4000,3,FALSE)</f>
        <v>#N/A</v>
      </c>
      <c r="C399" s="1" t="e">
        <f>VLOOKUP(E399,Inspector!A$1:B$50,2,FALSE)</f>
        <v>#N/A</v>
      </c>
      <c r="I399" s="1" t="e">
        <f>VLOOKUP(D399,epiunits!A$1:J$4000,6,FALSE)</f>
        <v>#N/A</v>
      </c>
      <c r="J399" s="1" t="e">
        <f>VLOOKUP(D399,epiunits!A$1:J$4000,7,FALSE)</f>
        <v>#N/A</v>
      </c>
      <c r="K399" s="1" t="e">
        <f>VLOOKUP(D399,epiunits!A$1:J$4000,8,FALSE)</f>
        <v>#N/A</v>
      </c>
      <c r="L399" s="1" t="e">
        <f>VLOOKUP(D399,epiunits!A$1:J$4000,9,FALSE)</f>
        <v>#N/A</v>
      </c>
      <c r="M399" s="1" t="e">
        <f>VLOOKUP(D399,epiunits!A$1:J$4000,10,FALSE)</f>
        <v>#N/A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</row>
    <row r="400" spans="1:51" x14ac:dyDescent="0.25">
      <c r="A400" s="1" t="e">
        <f>VLOOKUP(D400,epiunits!A$1:C$4000,2,FALSE)</f>
        <v>#N/A</v>
      </c>
      <c r="B400" s="1" t="e">
        <f>VLOOKUP(D400,epiunits!A$1:C$4000,3,FALSE)</f>
        <v>#N/A</v>
      </c>
      <c r="C400" s="1" t="e">
        <f>VLOOKUP(E400,Inspector!A$1:B$50,2,FALSE)</f>
        <v>#N/A</v>
      </c>
      <c r="I400" s="1" t="e">
        <f>VLOOKUP(D400,epiunits!A$1:J$4000,6,FALSE)</f>
        <v>#N/A</v>
      </c>
      <c r="J400" s="1" t="e">
        <f>VLOOKUP(D400,epiunits!A$1:J$4000,7,FALSE)</f>
        <v>#N/A</v>
      </c>
      <c r="K400" s="1" t="e">
        <f>VLOOKUP(D400,epiunits!A$1:J$4000,8,FALSE)</f>
        <v>#N/A</v>
      </c>
      <c r="L400" s="1" t="e">
        <f>VLOOKUP(D400,epiunits!A$1:J$4000,9,FALSE)</f>
        <v>#N/A</v>
      </c>
      <c r="M400" s="1" t="e">
        <f>VLOOKUP(D400,epiunits!A$1:J$4000,10,FALSE)</f>
        <v>#N/A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/>
  </sheetViews>
  <sheetFormatPr defaultRowHeight="15" x14ac:dyDescent="0.25"/>
  <sheetData>
    <row r="1" spans="1:10" x14ac:dyDescent="0.25">
      <c r="A1" t="s">
        <v>45</v>
      </c>
      <c r="B1">
        <v>2145</v>
      </c>
      <c r="C1" t="s">
        <v>45</v>
      </c>
      <c r="D1">
        <v>100</v>
      </c>
      <c r="E1">
        <v>1</v>
      </c>
      <c r="F1">
        <v>90</v>
      </c>
      <c r="G1">
        <v>0</v>
      </c>
      <c r="H1">
        <v>0</v>
      </c>
      <c r="I1">
        <v>0</v>
      </c>
      <c r="J1">
        <v>0</v>
      </c>
    </row>
    <row r="2" spans="1:10" x14ac:dyDescent="0.25">
      <c r="A2" t="s">
        <v>46</v>
      </c>
      <c r="B2">
        <v>2153</v>
      </c>
      <c r="C2" t="s">
        <v>46</v>
      </c>
      <c r="D2">
        <v>100</v>
      </c>
      <c r="E2">
        <v>1</v>
      </c>
      <c r="F2">
        <v>107</v>
      </c>
      <c r="G2">
        <v>45</v>
      </c>
      <c r="H2">
        <v>0</v>
      </c>
      <c r="I2">
        <v>0</v>
      </c>
      <c r="J2">
        <v>0</v>
      </c>
    </row>
    <row r="3" spans="1:10" x14ac:dyDescent="0.25">
      <c r="A3" t="s">
        <v>47</v>
      </c>
      <c r="B3">
        <v>2150</v>
      </c>
      <c r="C3" t="s">
        <v>47</v>
      </c>
      <c r="D3">
        <v>100</v>
      </c>
      <c r="E3">
        <v>1</v>
      </c>
      <c r="F3">
        <v>0</v>
      </c>
      <c r="G3">
        <v>316</v>
      </c>
      <c r="H3">
        <v>120</v>
      </c>
      <c r="I3">
        <v>0</v>
      </c>
      <c r="J3">
        <v>0</v>
      </c>
    </row>
    <row r="4" spans="1:10" x14ac:dyDescent="0.25">
      <c r="A4" t="s">
        <v>48</v>
      </c>
      <c r="B4">
        <v>2159</v>
      </c>
      <c r="C4" t="s">
        <v>48</v>
      </c>
      <c r="D4">
        <v>100</v>
      </c>
      <c r="E4">
        <v>1</v>
      </c>
      <c r="F4">
        <v>184</v>
      </c>
      <c r="G4">
        <v>98</v>
      </c>
      <c r="H4">
        <v>0</v>
      </c>
      <c r="I4">
        <v>0</v>
      </c>
      <c r="J4">
        <v>0</v>
      </c>
    </row>
    <row r="5" spans="1:10" x14ac:dyDescent="0.25">
      <c r="A5" t="s">
        <v>49</v>
      </c>
      <c r="B5">
        <v>2162</v>
      </c>
      <c r="C5" t="s">
        <v>49</v>
      </c>
      <c r="D5">
        <v>100</v>
      </c>
      <c r="E5">
        <v>1</v>
      </c>
      <c r="F5">
        <v>0</v>
      </c>
      <c r="G5">
        <v>113</v>
      </c>
      <c r="H5">
        <v>120</v>
      </c>
      <c r="I5">
        <v>0</v>
      </c>
      <c r="J5">
        <v>0</v>
      </c>
    </row>
    <row r="6" spans="1:10" x14ac:dyDescent="0.25">
      <c r="A6" t="s">
        <v>50</v>
      </c>
      <c r="B6">
        <v>2147</v>
      </c>
      <c r="C6" t="s">
        <v>50</v>
      </c>
      <c r="D6">
        <v>100</v>
      </c>
      <c r="E6">
        <v>1</v>
      </c>
      <c r="F6">
        <v>127</v>
      </c>
      <c r="G6">
        <v>105</v>
      </c>
      <c r="H6">
        <v>13</v>
      </c>
      <c r="I6">
        <v>0</v>
      </c>
      <c r="J6">
        <v>0</v>
      </c>
    </row>
    <row r="7" spans="1:10" x14ac:dyDescent="0.25">
      <c r="A7" t="s">
        <v>51</v>
      </c>
      <c r="B7">
        <v>2156</v>
      </c>
      <c r="C7" t="s">
        <v>51</v>
      </c>
      <c r="D7">
        <v>100</v>
      </c>
      <c r="E7">
        <v>1</v>
      </c>
      <c r="F7">
        <v>41</v>
      </c>
      <c r="G7">
        <v>200</v>
      </c>
      <c r="H7">
        <v>0</v>
      </c>
      <c r="I7">
        <v>0</v>
      </c>
      <c r="J7">
        <v>0</v>
      </c>
    </row>
    <row r="8" spans="1:10" x14ac:dyDescent="0.25">
      <c r="A8" t="s">
        <v>52</v>
      </c>
      <c r="B8">
        <v>2149</v>
      </c>
      <c r="C8" t="s">
        <v>52</v>
      </c>
      <c r="D8">
        <v>100</v>
      </c>
      <c r="E8">
        <v>1</v>
      </c>
      <c r="F8">
        <v>0</v>
      </c>
      <c r="G8">
        <v>447</v>
      </c>
      <c r="H8">
        <v>53</v>
      </c>
      <c r="I8">
        <v>0</v>
      </c>
      <c r="J8">
        <v>0</v>
      </c>
    </row>
    <row r="9" spans="1:10" x14ac:dyDescent="0.25">
      <c r="A9" t="s">
        <v>53</v>
      </c>
      <c r="B9">
        <v>2164</v>
      </c>
      <c r="C9" t="s">
        <v>53</v>
      </c>
      <c r="D9">
        <v>100</v>
      </c>
      <c r="E9">
        <v>1</v>
      </c>
      <c r="F9">
        <v>153</v>
      </c>
      <c r="G9">
        <v>13</v>
      </c>
      <c r="H9">
        <v>0</v>
      </c>
      <c r="I9">
        <v>0</v>
      </c>
      <c r="J9">
        <v>0</v>
      </c>
    </row>
    <row r="10" spans="1:10" x14ac:dyDescent="0.25">
      <c r="A10" t="s">
        <v>54</v>
      </c>
      <c r="B10">
        <v>2160</v>
      </c>
      <c r="C10" t="s">
        <v>54</v>
      </c>
      <c r="D10">
        <v>100</v>
      </c>
      <c r="E10">
        <v>1</v>
      </c>
      <c r="F10">
        <v>427</v>
      </c>
      <c r="G10">
        <v>570</v>
      </c>
      <c r="H10">
        <v>101</v>
      </c>
      <c r="I10">
        <v>0</v>
      </c>
      <c r="J10">
        <v>0</v>
      </c>
    </row>
    <row r="11" spans="1:10" x14ac:dyDescent="0.25">
      <c r="A11" t="s">
        <v>55</v>
      </c>
      <c r="B11">
        <v>2152</v>
      </c>
      <c r="C11" t="s">
        <v>55</v>
      </c>
      <c r="D11">
        <v>100</v>
      </c>
      <c r="E11">
        <v>1</v>
      </c>
      <c r="F11">
        <v>94</v>
      </c>
      <c r="G11">
        <v>92</v>
      </c>
      <c r="H11">
        <v>17</v>
      </c>
      <c r="I11">
        <v>0</v>
      </c>
      <c r="J11">
        <v>0</v>
      </c>
    </row>
    <row r="12" spans="1:10" x14ac:dyDescent="0.25">
      <c r="A12" t="s">
        <v>56</v>
      </c>
      <c r="B12">
        <v>2155</v>
      </c>
      <c r="C12" t="s">
        <v>56</v>
      </c>
      <c r="D12">
        <v>100</v>
      </c>
      <c r="E12">
        <v>1</v>
      </c>
      <c r="F12">
        <v>281</v>
      </c>
      <c r="G12">
        <v>29</v>
      </c>
      <c r="H12">
        <v>0</v>
      </c>
      <c r="I12">
        <v>0</v>
      </c>
      <c r="J12">
        <v>0</v>
      </c>
    </row>
    <row r="13" spans="1:10" x14ac:dyDescent="0.25">
      <c r="A13" t="s">
        <v>57</v>
      </c>
      <c r="B13">
        <v>2158</v>
      </c>
      <c r="C13" t="s">
        <v>57</v>
      </c>
      <c r="D13">
        <v>100</v>
      </c>
      <c r="E13">
        <v>1</v>
      </c>
      <c r="F13">
        <v>257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58</v>
      </c>
      <c r="B14">
        <v>2157</v>
      </c>
      <c r="C14" t="s">
        <v>58</v>
      </c>
      <c r="D14">
        <v>100</v>
      </c>
      <c r="E14">
        <v>1</v>
      </c>
      <c r="F14">
        <v>205</v>
      </c>
      <c r="G14">
        <v>321</v>
      </c>
      <c r="H14">
        <v>224</v>
      </c>
      <c r="I14">
        <v>0</v>
      </c>
      <c r="J14">
        <v>0</v>
      </c>
    </row>
    <row r="15" spans="1:10" x14ac:dyDescent="0.25">
      <c r="A15" t="s">
        <v>59</v>
      </c>
      <c r="B15">
        <v>2154</v>
      </c>
      <c r="C15" t="s">
        <v>59</v>
      </c>
      <c r="D15">
        <v>100</v>
      </c>
      <c r="E15">
        <v>1</v>
      </c>
      <c r="F15">
        <v>70</v>
      </c>
      <c r="G15">
        <v>267</v>
      </c>
      <c r="H15">
        <v>107</v>
      </c>
      <c r="I15">
        <v>0</v>
      </c>
      <c r="J15">
        <v>0</v>
      </c>
    </row>
    <row r="16" spans="1:10" x14ac:dyDescent="0.25">
      <c r="A16" t="s">
        <v>60</v>
      </c>
      <c r="B16">
        <v>2148</v>
      </c>
      <c r="C16" t="s">
        <v>60</v>
      </c>
      <c r="D16">
        <v>100</v>
      </c>
      <c r="E16">
        <v>1</v>
      </c>
      <c r="F16">
        <v>0</v>
      </c>
      <c r="G16">
        <v>306</v>
      </c>
      <c r="H16">
        <v>10</v>
      </c>
      <c r="I16">
        <v>0</v>
      </c>
      <c r="J16">
        <v>0</v>
      </c>
    </row>
    <row r="17" spans="1:10" x14ac:dyDescent="0.25">
      <c r="A17" t="s">
        <v>61</v>
      </c>
      <c r="B17">
        <v>2151</v>
      </c>
      <c r="C17" t="s">
        <v>61</v>
      </c>
      <c r="D17">
        <v>100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62</v>
      </c>
      <c r="B18">
        <v>2163</v>
      </c>
      <c r="C18" t="s">
        <v>62</v>
      </c>
      <c r="D18">
        <v>100</v>
      </c>
      <c r="E18">
        <v>1</v>
      </c>
      <c r="F18">
        <v>262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63</v>
      </c>
      <c r="B19">
        <v>2146</v>
      </c>
      <c r="C19" t="s">
        <v>63</v>
      </c>
      <c r="D19">
        <v>100</v>
      </c>
      <c r="E19">
        <v>1</v>
      </c>
      <c r="F19">
        <v>6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64</v>
      </c>
      <c r="B20">
        <v>2161</v>
      </c>
      <c r="C20" t="s">
        <v>64</v>
      </c>
      <c r="D20">
        <v>100</v>
      </c>
      <c r="E20">
        <v>1</v>
      </c>
      <c r="F20">
        <v>232</v>
      </c>
      <c r="G20">
        <v>37</v>
      </c>
      <c r="H20">
        <v>8</v>
      </c>
      <c r="I20">
        <v>0</v>
      </c>
      <c r="J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t="s">
        <v>65</v>
      </c>
      <c r="B1">
        <v>7</v>
      </c>
    </row>
    <row r="2" spans="1:2" x14ac:dyDescent="0.25">
      <c r="A2" t="s">
        <v>66</v>
      </c>
      <c r="B2">
        <v>12</v>
      </c>
    </row>
    <row r="3" spans="1:2" x14ac:dyDescent="0.25">
      <c r="A3" t="s">
        <v>67</v>
      </c>
      <c r="B3">
        <v>5</v>
      </c>
    </row>
    <row r="4" spans="1:2" x14ac:dyDescent="0.25">
      <c r="A4" t="s">
        <v>68</v>
      </c>
      <c r="B4">
        <v>10</v>
      </c>
    </row>
    <row r="5" spans="1:2" x14ac:dyDescent="0.25">
      <c r="A5" t="s">
        <v>69</v>
      </c>
      <c r="B5">
        <v>8</v>
      </c>
    </row>
    <row r="6" spans="1:2" x14ac:dyDescent="0.25">
      <c r="A6" t="s">
        <v>70</v>
      </c>
      <c r="B6">
        <v>6</v>
      </c>
    </row>
    <row r="7" spans="1:2" x14ac:dyDescent="0.25">
      <c r="A7" t="s">
        <v>71</v>
      </c>
      <c r="B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epiunits</vt:lpstr>
      <vt:lpstr>Inspector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ThraceActivities</dc:title>
  <dc:subject>Export</dc:subject>
  <dc:creator>Thrace Export</dc:creator>
  <cp:keywords/>
  <dc:description>Export da PhpSpreadsheet: Data intatto con formule, riferimenti interni corretti.</dc:description>
  <cp:lastModifiedBy>RiusMunoz, Pilar (NSAH)</cp:lastModifiedBy>
  <dcterms:created xsi:type="dcterms:W3CDTF">2026-01-26T08:11:16Z</dcterms:created>
  <dcterms:modified xsi:type="dcterms:W3CDTF">2026-03-05T13:27:46Z</dcterms:modified>
  <cp:category/>
</cp:coreProperties>
</file>