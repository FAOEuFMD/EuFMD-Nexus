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Data" sheetId="1" r:id="rId4"/>
    <sheet name="epiunits" sheetId="2" r:id="rId5"/>
    <sheet name="Inspector" sheetId="3" r:id="rId6"/>
  </sheets>
  <definedNames/>
  <calcPr calcId="999999" calcMode="auto" calcCompleted="0" fullCalcOnLoad="1" forceFullCalc="0"/>
</workbook>
</file>

<file path=xl/sharedStrings.xml><?xml version="1.0" encoding="utf-8"?>
<sst xmlns="http://schemas.openxmlformats.org/spreadsheetml/2006/main" uniqueCount="72">
  <si>
    <t>Farm ID</t>
  </si>
  <si>
    <t>InspectorID</t>
  </si>
  <si>
    <t>Village/Epiunit code</t>
  </si>
  <si>
    <t>Entered by</t>
  </si>
  <si>
    <t>Year</t>
  </si>
  <si>
    <t>Month</t>
  </si>
  <si>
    <t>Day</t>
  </si>
  <si>
    <t>Cattle</t>
  </si>
  <si>
    <t>Sheep</t>
  </si>
  <si>
    <t>Goats</t>
  </si>
  <si>
    <t>Pigs</t>
  </si>
  <si>
    <t>W Buffalo</t>
  </si>
  <si>
    <t>Cattle clin exam</t>
  </si>
  <si>
    <t>Cattle clin pos FMD</t>
  </si>
  <si>
    <t>Cattle clin pos LSD</t>
  </si>
  <si>
    <t>Sheep clin exam</t>
  </si>
  <si>
    <t>Sheep clin pos FMD</t>
  </si>
  <si>
    <t>Sheep clin pos SGP</t>
  </si>
  <si>
    <t>Sheep clin pos PPR</t>
  </si>
  <si>
    <t>Goats clin exam</t>
  </si>
  <si>
    <t>Goats clin pos FMD</t>
  </si>
  <si>
    <t>Goats clin pos SGP</t>
  </si>
  <si>
    <t>Goats clin pos PPR</t>
  </si>
  <si>
    <t>Buffalo clin exam</t>
  </si>
  <si>
    <t>Buffalo clin pos FMD</t>
  </si>
  <si>
    <t>Buffalo clin pos LSD</t>
  </si>
  <si>
    <t>Cattle smpl</t>
  </si>
  <si>
    <t>Cattle sero pos FMD</t>
  </si>
  <si>
    <t>Cattle pos LSD</t>
  </si>
  <si>
    <t>Sheep smpl</t>
  </si>
  <si>
    <t>Sheep sero pos FMD</t>
  </si>
  <si>
    <t>Sheep test pos SGP</t>
  </si>
  <si>
    <t>Sheep sero pos PPR</t>
  </si>
  <si>
    <t>Goats smpl</t>
  </si>
  <si>
    <t>Goats sero pos FMD</t>
  </si>
  <si>
    <t>Goats test pos SGP</t>
  </si>
  <si>
    <t>Goat sero pos PPR</t>
  </si>
  <si>
    <t>Pigs smpl</t>
  </si>
  <si>
    <t>Pigs sero pos FMD</t>
  </si>
  <si>
    <t>Buffalo smpl</t>
  </si>
  <si>
    <t>Buffalo sero pos FMD</t>
  </si>
  <si>
    <t>Buffalo test pos LSD</t>
  </si>
  <si>
    <t>Wild smpl</t>
  </si>
  <si>
    <t>Wild sero pos FMD</t>
  </si>
  <si>
    <t>aa</t>
  </si>
  <si>
    <t>BELEVREN</t>
  </si>
  <si>
    <t>BLIZNAK</t>
  </si>
  <si>
    <t>BRODILOVO</t>
  </si>
  <si>
    <t>FILIPOVO</t>
  </si>
  <si>
    <t>GOLYAM DERVENT</t>
  </si>
  <si>
    <t>GORNO YABALKOVO</t>
  </si>
  <si>
    <t>KAPITAN ANDREEVO</t>
  </si>
  <si>
    <t>KOSTI</t>
  </si>
  <si>
    <t>KRAYNOVO</t>
  </si>
  <si>
    <t>LESOVO</t>
  </si>
  <si>
    <t>MALKO TARNOVO</t>
  </si>
  <si>
    <t>MATOCHINA</t>
  </si>
  <si>
    <t>PRISADETS</t>
  </si>
  <si>
    <t>RADOVETS</t>
  </si>
  <si>
    <t>SHTIT</t>
  </si>
  <si>
    <t>SINEMORETS</t>
  </si>
  <si>
    <t>SLIVAROVO</t>
  </si>
  <si>
    <t>STRANDZHA</t>
  </si>
  <si>
    <t>TRAKIITSI</t>
  </si>
  <si>
    <t>VALCHA POLYANA</t>
  </si>
  <si>
    <t>ALEKSANDRA MITEVA</t>
  </si>
  <si>
    <t>DIMITAR NIKOLOV</t>
  </si>
  <si>
    <t>GEORGI GERGIEV</t>
  </si>
  <si>
    <t>GEORGI PISKYULIEV</t>
  </si>
  <si>
    <t>NIKOLA SPIROV</t>
  </si>
  <si>
    <t>STOJAN MOLDOVANOV</t>
  </si>
  <si>
    <t>YORDAN PANAYOTOV</t>
  </si>
</sst>
</file>

<file path=xl/styles.xml><?xml version="1.0" encoding="utf-8"?>
<styleSheet xmlns="http://schemas.openxmlformats.org/spreadsheetml/2006/main">
  <numFmts count="0"/>
  <fonts count="2">
    <font>
      <b val="0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AS400"/>
  <sheetViews>
    <sheetView tabSelected="1" workbookViewId="0" showGridLines="true" showRowColHeaders="1">
      <selection activeCell="A1" sqref="A1:XFD1048576"/>
    </sheetView>
  </sheetViews>
  <sheetFormatPr defaultRowHeight="14.4" outlineLevelRow="0" outlineLevelCol="0"/>
  <sheetData>
    <row r="1" spans="1:45">
      <c r="A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</row>
    <row r="2" spans="1:45">
      <c r="A2" s="1" t="str">
        <f>VLOOKUP(D2,epiunits!A$1:C$4000,2,FALSE)</f>
      </c>
      <c r="B2" s="1" t="str">
        <f>VLOOKUP(D2,epiunits!A$1:C$4000,3,FALSE)</f>
      </c>
      <c r="C2" s="1" t="str">
        <f>VLOOKUP(E2,Inspector!A$1:B$50,2,FALSE)</f>
      </c>
      <c r="D2" s="1" t="s">
        <v>44</v>
      </c>
      <c r="E2" s="1" t="s">
        <v>44</v>
      </c>
      <c r="I2" s="1" t="str">
        <f>VLOOKUP(D2,epiunits!A$1:J$4000,6,FALSE)</f>
      </c>
      <c r="J2" s="1" t="str">
        <f>VLOOKUP(D2,epiunits!A$1:J$4000,7,FALSE)</f>
      </c>
      <c r="K2" s="1" t="str">
        <f>VLOOKUP(D2,epiunits!A$1:J$4000,8,FALSE)</f>
      </c>
      <c r="L2" s="1" t="str">
        <f>VLOOKUP(D2,epiunits!A$1:J$4000,9,FALSE)</f>
      </c>
      <c r="M2" s="1" t="str">
        <f>VLOOKUP(D2,epiunits!A$1:J$4000,10,FALSE)</f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</row>
    <row r="3" spans="1:45">
      <c r="A3" s="1" t="str">
        <f>VLOOKUP(D3,epiunits!A$1:C$4000,2,FALSE)</f>
      </c>
      <c r="B3" s="1" t="str">
        <f>VLOOKUP(D3,epiunits!A$1:C$4000,3,FALSE)</f>
      </c>
      <c r="C3" s="1" t="str">
        <f>VLOOKUP(E3,Inspector!A$1:B$50,2,FALSE)</f>
      </c>
      <c r="I3" s="1" t="str">
        <f>VLOOKUP(D3,epiunits!A$1:J$4000,6,FALSE)</f>
      </c>
      <c r="J3" s="1" t="str">
        <f>VLOOKUP(D3,epiunits!A$1:J$4000,7,FALSE)</f>
      </c>
      <c r="K3" s="1" t="str">
        <f>VLOOKUP(D3,epiunits!A$1:J$4000,8,FALSE)</f>
      </c>
      <c r="L3" s="1" t="str">
        <f>VLOOKUP(D3,epiunits!A$1:J$4000,9,FALSE)</f>
      </c>
      <c r="M3" s="1" t="str">
        <f>VLOOKUP(D3,epiunits!A$1:J$4000,10,FALSE)</f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</row>
    <row r="4" spans="1:45">
      <c r="A4" s="1" t="str">
        <f>VLOOKUP(D4,epiunits!A$1:C$4000,2,FALSE)</f>
      </c>
      <c r="B4" s="1" t="str">
        <f>VLOOKUP(D4,epiunits!A$1:C$4000,3,FALSE)</f>
      </c>
      <c r="C4" s="1" t="str">
        <f>VLOOKUP(E4,Inspector!A$1:B$50,2,FALSE)</f>
      </c>
      <c r="I4" s="1" t="str">
        <f>VLOOKUP(D4,epiunits!A$1:J$4000,6,FALSE)</f>
      </c>
      <c r="J4" s="1" t="str">
        <f>VLOOKUP(D4,epiunits!A$1:J$4000,7,FALSE)</f>
      </c>
      <c r="K4" s="1" t="str">
        <f>VLOOKUP(D4,epiunits!A$1:J$4000,8,FALSE)</f>
      </c>
      <c r="L4" s="1" t="str">
        <f>VLOOKUP(D4,epiunits!A$1:J$4000,9,FALSE)</f>
      </c>
      <c r="M4" s="1" t="str">
        <f>VLOOKUP(D4,epiunits!A$1:J$4000,10,FALSE)</f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</row>
    <row r="5" spans="1:45">
      <c r="A5" s="1" t="str">
        <f>VLOOKUP(D5,epiunits!A$1:C$4000,2,FALSE)</f>
      </c>
      <c r="B5" s="1" t="str">
        <f>VLOOKUP(D5,epiunits!A$1:C$4000,3,FALSE)</f>
      </c>
      <c r="C5" s="1" t="str">
        <f>VLOOKUP(E5,Inspector!A$1:B$50,2,FALSE)</f>
      </c>
      <c r="I5" s="1" t="str">
        <f>VLOOKUP(D5,epiunits!A$1:J$4000,6,FALSE)</f>
      </c>
      <c r="J5" s="1" t="str">
        <f>VLOOKUP(D5,epiunits!A$1:J$4000,7,FALSE)</f>
      </c>
      <c r="K5" s="1" t="str">
        <f>VLOOKUP(D5,epiunits!A$1:J$4000,8,FALSE)</f>
      </c>
      <c r="L5" s="1" t="str">
        <f>VLOOKUP(D5,epiunits!A$1:J$4000,9,FALSE)</f>
      </c>
      <c r="M5" s="1" t="str">
        <f>VLOOKUP(D5,epiunits!A$1:J$4000,10,FALSE)</f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</row>
    <row r="6" spans="1:45">
      <c r="A6" s="1" t="str">
        <f>VLOOKUP(D6,epiunits!A$1:C$4000,2,FALSE)</f>
      </c>
      <c r="B6" s="1" t="str">
        <f>VLOOKUP(D6,epiunits!A$1:C$4000,3,FALSE)</f>
      </c>
      <c r="C6" s="1" t="str">
        <f>VLOOKUP(E6,Inspector!A$1:B$50,2,FALSE)</f>
      </c>
      <c r="I6" s="1" t="str">
        <f>VLOOKUP(D6,epiunits!A$1:J$4000,6,FALSE)</f>
      </c>
      <c r="J6" s="1" t="str">
        <f>VLOOKUP(D6,epiunits!A$1:J$4000,7,FALSE)</f>
      </c>
      <c r="K6" s="1" t="str">
        <f>VLOOKUP(D6,epiunits!A$1:J$4000,8,FALSE)</f>
      </c>
      <c r="L6" s="1" t="str">
        <f>VLOOKUP(D6,epiunits!A$1:J$4000,9,FALSE)</f>
      </c>
      <c r="M6" s="1" t="str">
        <f>VLOOKUP(D6,epiunits!A$1:J$4000,10,FALSE)</f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</row>
    <row r="7" spans="1:45">
      <c r="A7" s="1" t="str">
        <f>VLOOKUP(D7,epiunits!A$1:C$4000,2,FALSE)</f>
      </c>
      <c r="B7" s="1" t="str">
        <f>VLOOKUP(D7,epiunits!A$1:C$4000,3,FALSE)</f>
      </c>
      <c r="C7" s="1" t="str">
        <f>VLOOKUP(E7,Inspector!A$1:B$50,2,FALSE)</f>
      </c>
      <c r="I7" s="1" t="str">
        <f>VLOOKUP(D7,epiunits!A$1:J$4000,6,FALSE)</f>
      </c>
      <c r="J7" s="1" t="str">
        <f>VLOOKUP(D7,epiunits!A$1:J$4000,7,FALSE)</f>
      </c>
      <c r="K7" s="1" t="str">
        <f>VLOOKUP(D7,epiunits!A$1:J$4000,8,FALSE)</f>
      </c>
      <c r="L7" s="1" t="str">
        <f>VLOOKUP(D7,epiunits!A$1:J$4000,9,FALSE)</f>
      </c>
      <c r="M7" s="1" t="str">
        <f>VLOOKUP(D7,epiunits!A$1:J$4000,10,FALSE)</f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</row>
    <row r="8" spans="1:45">
      <c r="A8" s="1" t="str">
        <f>VLOOKUP(D8,epiunits!A$1:C$4000,2,FALSE)</f>
      </c>
      <c r="B8" s="1" t="str">
        <f>VLOOKUP(D8,epiunits!A$1:C$4000,3,FALSE)</f>
      </c>
      <c r="C8" s="1" t="str">
        <f>VLOOKUP(E8,Inspector!A$1:B$50,2,FALSE)</f>
      </c>
      <c r="I8" s="1" t="str">
        <f>VLOOKUP(D8,epiunits!A$1:J$4000,6,FALSE)</f>
      </c>
      <c r="J8" s="1" t="str">
        <f>VLOOKUP(D8,epiunits!A$1:J$4000,7,FALSE)</f>
      </c>
      <c r="K8" s="1" t="str">
        <f>VLOOKUP(D8,epiunits!A$1:J$4000,8,FALSE)</f>
      </c>
      <c r="L8" s="1" t="str">
        <f>VLOOKUP(D8,epiunits!A$1:J$4000,9,FALSE)</f>
      </c>
      <c r="M8" s="1" t="str">
        <f>VLOOKUP(D8,epiunits!A$1:J$4000,10,FALSE)</f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</row>
    <row r="9" spans="1:45">
      <c r="A9" s="1" t="str">
        <f>VLOOKUP(D9,epiunits!A$1:C$4000,2,FALSE)</f>
      </c>
      <c r="B9" s="1" t="str">
        <f>VLOOKUP(D9,epiunits!A$1:C$4000,3,FALSE)</f>
      </c>
      <c r="C9" s="1" t="str">
        <f>VLOOKUP(E9,Inspector!A$1:B$50,2,FALSE)</f>
      </c>
      <c r="I9" s="1" t="str">
        <f>VLOOKUP(D9,epiunits!A$1:J$4000,6,FALSE)</f>
      </c>
      <c r="J9" s="1" t="str">
        <f>VLOOKUP(D9,epiunits!A$1:J$4000,7,FALSE)</f>
      </c>
      <c r="K9" s="1" t="str">
        <f>VLOOKUP(D9,epiunits!A$1:J$4000,8,FALSE)</f>
      </c>
      <c r="L9" s="1" t="str">
        <f>VLOOKUP(D9,epiunits!A$1:J$4000,9,FALSE)</f>
      </c>
      <c r="M9" s="1" t="str">
        <f>VLOOKUP(D9,epiunits!A$1:J$4000,10,FALSE)</f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</row>
    <row r="10" spans="1:45">
      <c r="A10" s="1" t="str">
        <f>VLOOKUP(D10,epiunits!A$1:C$4000,2,FALSE)</f>
      </c>
      <c r="B10" s="1" t="str">
        <f>VLOOKUP(D10,epiunits!A$1:C$4000,3,FALSE)</f>
      </c>
      <c r="C10" s="1" t="str">
        <f>VLOOKUP(E10,Inspector!A$1:B$50,2,FALSE)</f>
      </c>
      <c r="I10" s="1" t="str">
        <f>VLOOKUP(D10,epiunits!A$1:J$4000,6,FALSE)</f>
      </c>
      <c r="J10" s="1" t="str">
        <f>VLOOKUP(D10,epiunits!A$1:J$4000,7,FALSE)</f>
      </c>
      <c r="K10" s="1" t="str">
        <f>VLOOKUP(D10,epiunits!A$1:J$4000,8,FALSE)</f>
      </c>
      <c r="L10" s="1" t="str">
        <f>VLOOKUP(D10,epiunits!A$1:J$4000,9,FALSE)</f>
      </c>
      <c r="M10" s="1" t="str">
        <f>VLOOKUP(D10,epiunits!A$1:J$4000,10,FALSE)</f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</row>
    <row r="11" spans="1:45">
      <c r="A11" s="1" t="str">
        <f>VLOOKUP(D11,epiunits!A$1:C$4000,2,FALSE)</f>
      </c>
      <c r="B11" s="1" t="str">
        <f>VLOOKUP(D11,epiunits!A$1:C$4000,3,FALSE)</f>
      </c>
      <c r="C11" s="1" t="str">
        <f>VLOOKUP(E11,Inspector!A$1:B$50,2,FALSE)</f>
      </c>
      <c r="I11" s="1" t="str">
        <f>VLOOKUP(D11,epiunits!A$1:J$4000,6,FALSE)</f>
      </c>
      <c r="J11" s="1" t="str">
        <f>VLOOKUP(D11,epiunits!A$1:J$4000,7,FALSE)</f>
      </c>
      <c r="K11" s="1" t="str">
        <f>VLOOKUP(D11,epiunits!A$1:J$4000,8,FALSE)</f>
      </c>
      <c r="L11" s="1" t="str">
        <f>VLOOKUP(D11,epiunits!A$1:J$4000,9,FALSE)</f>
      </c>
      <c r="M11" s="1" t="str">
        <f>VLOOKUP(D11,epiunits!A$1:J$4000,10,FALSE)</f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</row>
    <row r="12" spans="1:45">
      <c r="A12" s="1" t="str">
        <f>VLOOKUP(D12,epiunits!A$1:C$4000,2,FALSE)</f>
      </c>
      <c r="B12" s="1" t="str">
        <f>VLOOKUP(D12,epiunits!A$1:C$4000,3,FALSE)</f>
      </c>
      <c r="C12" s="1" t="str">
        <f>VLOOKUP(E12,Inspector!A$1:B$50,2,FALSE)</f>
      </c>
      <c r="I12" s="1" t="str">
        <f>VLOOKUP(D12,epiunits!A$1:J$4000,6,FALSE)</f>
      </c>
      <c r="J12" s="1" t="str">
        <f>VLOOKUP(D12,epiunits!A$1:J$4000,7,FALSE)</f>
      </c>
      <c r="K12" s="1" t="str">
        <f>VLOOKUP(D12,epiunits!A$1:J$4000,8,FALSE)</f>
      </c>
      <c r="L12" s="1" t="str">
        <f>VLOOKUP(D12,epiunits!A$1:J$4000,9,FALSE)</f>
      </c>
      <c r="M12" s="1" t="str">
        <f>VLOOKUP(D12,epiunits!A$1:J$4000,10,FALSE)</f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</row>
    <row r="13" spans="1:45">
      <c r="A13" s="1" t="str">
        <f>VLOOKUP(D13,epiunits!A$1:C$4000,2,FALSE)</f>
      </c>
      <c r="B13" s="1" t="str">
        <f>VLOOKUP(D13,epiunits!A$1:C$4000,3,FALSE)</f>
      </c>
      <c r="C13" s="1" t="str">
        <f>VLOOKUP(E13,Inspector!A$1:B$50,2,FALSE)</f>
      </c>
      <c r="I13" s="1" t="str">
        <f>VLOOKUP(D13,epiunits!A$1:J$4000,6,FALSE)</f>
      </c>
      <c r="J13" s="1" t="str">
        <f>VLOOKUP(D13,epiunits!A$1:J$4000,7,FALSE)</f>
      </c>
      <c r="K13" s="1" t="str">
        <f>VLOOKUP(D13,epiunits!A$1:J$4000,8,FALSE)</f>
      </c>
      <c r="L13" s="1" t="str">
        <f>VLOOKUP(D13,epiunits!A$1:J$4000,9,FALSE)</f>
      </c>
      <c r="M13" s="1" t="str">
        <f>VLOOKUP(D13,epiunits!A$1:J$4000,10,FALSE)</f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</row>
    <row r="14" spans="1:45">
      <c r="A14" s="1" t="str">
        <f>VLOOKUP(D14,epiunits!A$1:C$4000,2,FALSE)</f>
      </c>
      <c r="B14" s="1" t="str">
        <f>VLOOKUP(D14,epiunits!A$1:C$4000,3,FALSE)</f>
      </c>
      <c r="C14" s="1" t="str">
        <f>VLOOKUP(E14,Inspector!A$1:B$50,2,FALSE)</f>
      </c>
      <c r="I14" s="1" t="str">
        <f>VLOOKUP(D14,epiunits!A$1:J$4000,6,FALSE)</f>
      </c>
      <c r="J14" s="1" t="str">
        <f>VLOOKUP(D14,epiunits!A$1:J$4000,7,FALSE)</f>
      </c>
      <c r="K14" s="1" t="str">
        <f>VLOOKUP(D14,epiunits!A$1:J$4000,8,FALSE)</f>
      </c>
      <c r="L14" s="1" t="str">
        <f>VLOOKUP(D14,epiunits!A$1:J$4000,9,FALSE)</f>
      </c>
      <c r="M14" s="1" t="str">
        <f>VLOOKUP(D14,epiunits!A$1:J$4000,10,FALSE)</f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</row>
    <row r="15" spans="1:45">
      <c r="A15" s="1" t="str">
        <f>VLOOKUP(D15,epiunits!A$1:C$4000,2,FALSE)</f>
      </c>
      <c r="B15" s="1" t="str">
        <f>VLOOKUP(D15,epiunits!A$1:C$4000,3,FALSE)</f>
      </c>
      <c r="C15" s="1" t="str">
        <f>VLOOKUP(E15,Inspector!A$1:B$50,2,FALSE)</f>
      </c>
      <c r="I15" s="1" t="str">
        <f>VLOOKUP(D15,epiunits!A$1:J$4000,6,FALSE)</f>
      </c>
      <c r="J15" s="1" t="str">
        <f>VLOOKUP(D15,epiunits!A$1:J$4000,7,FALSE)</f>
      </c>
      <c r="K15" s="1" t="str">
        <f>VLOOKUP(D15,epiunits!A$1:J$4000,8,FALSE)</f>
      </c>
      <c r="L15" s="1" t="str">
        <f>VLOOKUP(D15,epiunits!A$1:J$4000,9,FALSE)</f>
      </c>
      <c r="M15" s="1" t="str">
        <f>VLOOKUP(D15,epiunits!A$1:J$4000,10,FALSE)</f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</row>
    <row r="16" spans="1:45">
      <c r="A16" s="1" t="str">
        <f>VLOOKUP(D16,epiunits!A$1:C$4000,2,FALSE)</f>
      </c>
      <c r="B16" s="1" t="str">
        <f>VLOOKUP(D16,epiunits!A$1:C$4000,3,FALSE)</f>
      </c>
      <c r="C16" s="1" t="str">
        <f>VLOOKUP(E16,Inspector!A$1:B$50,2,FALSE)</f>
      </c>
      <c r="I16" s="1" t="str">
        <f>VLOOKUP(D16,epiunits!A$1:J$4000,6,FALSE)</f>
      </c>
      <c r="J16" s="1" t="str">
        <f>VLOOKUP(D16,epiunits!A$1:J$4000,7,FALSE)</f>
      </c>
      <c r="K16" s="1" t="str">
        <f>VLOOKUP(D16,epiunits!A$1:J$4000,8,FALSE)</f>
      </c>
      <c r="L16" s="1" t="str">
        <f>VLOOKUP(D16,epiunits!A$1:J$4000,9,FALSE)</f>
      </c>
      <c r="M16" s="1" t="str">
        <f>VLOOKUP(D16,epiunits!A$1:J$4000,10,FALSE)</f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</row>
    <row r="17" spans="1:45">
      <c r="A17" s="1" t="str">
        <f>VLOOKUP(D17,epiunits!A$1:C$4000,2,FALSE)</f>
      </c>
      <c r="B17" s="1" t="str">
        <f>VLOOKUP(D17,epiunits!A$1:C$4000,3,FALSE)</f>
      </c>
      <c r="C17" s="1" t="str">
        <f>VLOOKUP(E17,Inspector!A$1:B$50,2,FALSE)</f>
      </c>
      <c r="I17" s="1" t="str">
        <f>VLOOKUP(D17,epiunits!A$1:J$4000,6,FALSE)</f>
      </c>
      <c r="J17" s="1" t="str">
        <f>VLOOKUP(D17,epiunits!A$1:J$4000,7,FALSE)</f>
      </c>
      <c r="K17" s="1" t="str">
        <f>VLOOKUP(D17,epiunits!A$1:J$4000,8,FALSE)</f>
      </c>
      <c r="L17" s="1" t="str">
        <f>VLOOKUP(D17,epiunits!A$1:J$4000,9,FALSE)</f>
      </c>
      <c r="M17" s="1" t="str">
        <f>VLOOKUP(D17,epiunits!A$1:J$4000,10,FALSE)</f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</row>
    <row r="18" spans="1:45">
      <c r="A18" s="1" t="str">
        <f>VLOOKUP(D18,epiunits!A$1:C$4000,2,FALSE)</f>
      </c>
      <c r="B18" s="1" t="str">
        <f>VLOOKUP(D18,epiunits!A$1:C$4000,3,FALSE)</f>
      </c>
      <c r="C18" s="1" t="str">
        <f>VLOOKUP(E18,Inspector!A$1:B$50,2,FALSE)</f>
      </c>
      <c r="I18" s="1" t="str">
        <f>VLOOKUP(D18,epiunits!A$1:J$4000,6,FALSE)</f>
      </c>
      <c r="J18" s="1" t="str">
        <f>VLOOKUP(D18,epiunits!A$1:J$4000,7,FALSE)</f>
      </c>
      <c r="K18" s="1" t="str">
        <f>VLOOKUP(D18,epiunits!A$1:J$4000,8,FALSE)</f>
      </c>
      <c r="L18" s="1" t="str">
        <f>VLOOKUP(D18,epiunits!A$1:J$4000,9,FALSE)</f>
      </c>
      <c r="M18" s="1" t="str">
        <f>VLOOKUP(D18,epiunits!A$1:J$4000,10,FALSE)</f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</row>
    <row r="19" spans="1:45">
      <c r="A19" s="1" t="str">
        <f>VLOOKUP(D19,epiunits!A$1:C$4000,2,FALSE)</f>
      </c>
      <c r="B19" s="1" t="str">
        <f>VLOOKUP(D19,epiunits!A$1:C$4000,3,FALSE)</f>
      </c>
      <c r="C19" s="1" t="str">
        <f>VLOOKUP(E19,Inspector!A$1:B$50,2,FALSE)</f>
      </c>
      <c r="I19" s="1" t="str">
        <f>VLOOKUP(D19,epiunits!A$1:J$4000,6,FALSE)</f>
      </c>
      <c r="J19" s="1" t="str">
        <f>VLOOKUP(D19,epiunits!A$1:J$4000,7,FALSE)</f>
      </c>
      <c r="K19" s="1" t="str">
        <f>VLOOKUP(D19,epiunits!A$1:J$4000,8,FALSE)</f>
      </c>
      <c r="L19" s="1" t="str">
        <f>VLOOKUP(D19,epiunits!A$1:J$4000,9,FALSE)</f>
      </c>
      <c r="M19" s="1" t="str">
        <f>VLOOKUP(D19,epiunits!A$1:J$4000,10,FALSE)</f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</row>
    <row r="20" spans="1:45">
      <c r="A20" s="1" t="str">
        <f>VLOOKUP(D20,epiunits!A$1:C$4000,2,FALSE)</f>
      </c>
      <c r="B20" s="1" t="str">
        <f>VLOOKUP(D20,epiunits!A$1:C$4000,3,FALSE)</f>
      </c>
      <c r="C20" s="1" t="str">
        <f>VLOOKUP(E20,Inspector!A$1:B$50,2,FALSE)</f>
      </c>
      <c r="I20" s="1" t="str">
        <f>VLOOKUP(D20,epiunits!A$1:J$4000,6,FALSE)</f>
      </c>
      <c r="J20" s="1" t="str">
        <f>VLOOKUP(D20,epiunits!A$1:J$4000,7,FALSE)</f>
      </c>
      <c r="K20" s="1" t="str">
        <f>VLOOKUP(D20,epiunits!A$1:J$4000,8,FALSE)</f>
      </c>
      <c r="L20" s="1" t="str">
        <f>VLOOKUP(D20,epiunits!A$1:J$4000,9,FALSE)</f>
      </c>
      <c r="M20" s="1" t="str">
        <f>VLOOKUP(D20,epiunits!A$1:J$4000,10,FALSE)</f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</row>
    <row r="21" spans="1:45">
      <c r="A21" s="1" t="str">
        <f>VLOOKUP(D21,epiunits!A$1:C$4000,2,FALSE)</f>
      </c>
      <c r="B21" s="1" t="str">
        <f>VLOOKUP(D21,epiunits!A$1:C$4000,3,FALSE)</f>
      </c>
      <c r="C21" s="1" t="str">
        <f>VLOOKUP(E21,Inspector!A$1:B$50,2,FALSE)</f>
      </c>
      <c r="I21" s="1" t="str">
        <f>VLOOKUP(D21,epiunits!A$1:J$4000,6,FALSE)</f>
      </c>
      <c r="J21" s="1" t="str">
        <f>VLOOKUP(D21,epiunits!A$1:J$4000,7,FALSE)</f>
      </c>
      <c r="K21" s="1" t="str">
        <f>VLOOKUP(D21,epiunits!A$1:J$4000,8,FALSE)</f>
      </c>
      <c r="L21" s="1" t="str">
        <f>VLOOKUP(D21,epiunits!A$1:J$4000,9,FALSE)</f>
      </c>
      <c r="M21" s="1" t="str">
        <f>VLOOKUP(D21,epiunits!A$1:J$4000,10,FALSE)</f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</row>
    <row r="22" spans="1:45">
      <c r="A22" s="1" t="str">
        <f>VLOOKUP(D22,epiunits!A$1:C$4000,2,FALSE)</f>
      </c>
      <c r="B22" s="1" t="str">
        <f>VLOOKUP(D22,epiunits!A$1:C$4000,3,FALSE)</f>
      </c>
      <c r="C22" s="1" t="str">
        <f>VLOOKUP(E22,Inspector!A$1:B$50,2,FALSE)</f>
      </c>
      <c r="I22" s="1" t="str">
        <f>VLOOKUP(D22,epiunits!A$1:J$4000,6,FALSE)</f>
      </c>
      <c r="J22" s="1" t="str">
        <f>VLOOKUP(D22,epiunits!A$1:J$4000,7,FALSE)</f>
      </c>
      <c r="K22" s="1" t="str">
        <f>VLOOKUP(D22,epiunits!A$1:J$4000,8,FALSE)</f>
      </c>
      <c r="L22" s="1" t="str">
        <f>VLOOKUP(D22,epiunits!A$1:J$4000,9,FALSE)</f>
      </c>
      <c r="M22" s="1" t="str">
        <f>VLOOKUP(D22,epiunits!A$1:J$4000,10,FALSE)</f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</row>
    <row r="23" spans="1:45">
      <c r="A23" s="1" t="str">
        <f>VLOOKUP(D23,epiunits!A$1:C$4000,2,FALSE)</f>
      </c>
      <c r="B23" s="1" t="str">
        <f>VLOOKUP(D23,epiunits!A$1:C$4000,3,FALSE)</f>
      </c>
      <c r="C23" s="1" t="str">
        <f>VLOOKUP(E23,Inspector!A$1:B$50,2,FALSE)</f>
      </c>
      <c r="I23" s="1" t="str">
        <f>VLOOKUP(D23,epiunits!A$1:J$4000,6,FALSE)</f>
      </c>
      <c r="J23" s="1" t="str">
        <f>VLOOKUP(D23,epiunits!A$1:J$4000,7,FALSE)</f>
      </c>
      <c r="K23" s="1" t="str">
        <f>VLOOKUP(D23,epiunits!A$1:J$4000,8,FALSE)</f>
      </c>
      <c r="L23" s="1" t="str">
        <f>VLOOKUP(D23,epiunits!A$1:J$4000,9,FALSE)</f>
      </c>
      <c r="M23" s="1" t="str">
        <f>VLOOKUP(D23,epiunits!A$1:J$4000,10,FALSE)</f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</row>
    <row r="24" spans="1:45">
      <c r="A24" s="1" t="str">
        <f>VLOOKUP(D24,epiunits!A$1:C$4000,2,FALSE)</f>
      </c>
      <c r="B24" s="1" t="str">
        <f>VLOOKUP(D24,epiunits!A$1:C$4000,3,FALSE)</f>
      </c>
      <c r="C24" s="1" t="str">
        <f>VLOOKUP(E24,Inspector!A$1:B$50,2,FALSE)</f>
      </c>
      <c r="I24" s="1" t="str">
        <f>VLOOKUP(D24,epiunits!A$1:J$4000,6,FALSE)</f>
      </c>
      <c r="J24" s="1" t="str">
        <f>VLOOKUP(D24,epiunits!A$1:J$4000,7,FALSE)</f>
      </c>
      <c r="K24" s="1" t="str">
        <f>VLOOKUP(D24,epiunits!A$1:J$4000,8,FALSE)</f>
      </c>
      <c r="L24" s="1" t="str">
        <f>VLOOKUP(D24,epiunits!A$1:J$4000,9,FALSE)</f>
      </c>
      <c r="M24" s="1" t="str">
        <f>VLOOKUP(D24,epiunits!A$1:J$4000,10,FALSE)</f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</row>
    <row r="25" spans="1:45">
      <c r="A25" s="1" t="str">
        <f>VLOOKUP(D25,epiunits!A$1:C$4000,2,FALSE)</f>
      </c>
      <c r="B25" s="1" t="str">
        <f>VLOOKUP(D25,epiunits!A$1:C$4000,3,FALSE)</f>
      </c>
      <c r="C25" s="1" t="str">
        <f>VLOOKUP(E25,Inspector!A$1:B$50,2,FALSE)</f>
      </c>
      <c r="I25" s="1" t="str">
        <f>VLOOKUP(D25,epiunits!A$1:J$4000,6,FALSE)</f>
      </c>
      <c r="J25" s="1" t="str">
        <f>VLOOKUP(D25,epiunits!A$1:J$4000,7,FALSE)</f>
      </c>
      <c r="K25" s="1" t="str">
        <f>VLOOKUP(D25,epiunits!A$1:J$4000,8,FALSE)</f>
      </c>
      <c r="L25" s="1" t="str">
        <f>VLOOKUP(D25,epiunits!A$1:J$4000,9,FALSE)</f>
      </c>
      <c r="M25" s="1" t="str">
        <f>VLOOKUP(D25,epiunits!A$1:J$4000,10,FALSE)</f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</row>
    <row r="26" spans="1:45">
      <c r="A26" s="1" t="str">
        <f>VLOOKUP(D26,epiunits!A$1:C$4000,2,FALSE)</f>
      </c>
      <c r="B26" s="1" t="str">
        <f>VLOOKUP(D26,epiunits!A$1:C$4000,3,FALSE)</f>
      </c>
      <c r="C26" s="1" t="str">
        <f>VLOOKUP(E26,Inspector!A$1:B$50,2,FALSE)</f>
      </c>
      <c r="I26" s="1" t="str">
        <f>VLOOKUP(D26,epiunits!A$1:J$4000,6,FALSE)</f>
      </c>
      <c r="J26" s="1" t="str">
        <f>VLOOKUP(D26,epiunits!A$1:J$4000,7,FALSE)</f>
      </c>
      <c r="K26" s="1" t="str">
        <f>VLOOKUP(D26,epiunits!A$1:J$4000,8,FALSE)</f>
      </c>
      <c r="L26" s="1" t="str">
        <f>VLOOKUP(D26,epiunits!A$1:J$4000,9,FALSE)</f>
      </c>
      <c r="M26" s="1" t="str">
        <f>VLOOKUP(D26,epiunits!A$1:J$4000,10,FALSE)</f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</row>
    <row r="27" spans="1:45">
      <c r="A27" s="1" t="str">
        <f>VLOOKUP(D27,epiunits!A$1:C$4000,2,FALSE)</f>
      </c>
      <c r="B27" s="1" t="str">
        <f>VLOOKUP(D27,epiunits!A$1:C$4000,3,FALSE)</f>
      </c>
      <c r="C27" s="1" t="str">
        <f>VLOOKUP(E27,Inspector!A$1:B$50,2,FALSE)</f>
      </c>
      <c r="I27" s="1" t="str">
        <f>VLOOKUP(D27,epiunits!A$1:J$4000,6,FALSE)</f>
      </c>
      <c r="J27" s="1" t="str">
        <f>VLOOKUP(D27,epiunits!A$1:J$4000,7,FALSE)</f>
      </c>
      <c r="K27" s="1" t="str">
        <f>VLOOKUP(D27,epiunits!A$1:J$4000,8,FALSE)</f>
      </c>
      <c r="L27" s="1" t="str">
        <f>VLOOKUP(D27,epiunits!A$1:J$4000,9,FALSE)</f>
      </c>
      <c r="M27" s="1" t="str">
        <f>VLOOKUP(D27,epiunits!A$1:J$4000,10,FALSE)</f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</row>
    <row r="28" spans="1:45">
      <c r="A28" s="1" t="str">
        <f>VLOOKUP(D28,epiunits!A$1:C$4000,2,FALSE)</f>
      </c>
      <c r="B28" s="1" t="str">
        <f>VLOOKUP(D28,epiunits!A$1:C$4000,3,FALSE)</f>
      </c>
      <c r="C28" s="1" t="str">
        <f>VLOOKUP(E28,Inspector!A$1:B$50,2,FALSE)</f>
      </c>
      <c r="I28" s="1" t="str">
        <f>VLOOKUP(D28,epiunits!A$1:J$4000,6,FALSE)</f>
      </c>
      <c r="J28" s="1" t="str">
        <f>VLOOKUP(D28,epiunits!A$1:J$4000,7,FALSE)</f>
      </c>
      <c r="K28" s="1" t="str">
        <f>VLOOKUP(D28,epiunits!A$1:J$4000,8,FALSE)</f>
      </c>
      <c r="L28" s="1" t="str">
        <f>VLOOKUP(D28,epiunits!A$1:J$4000,9,FALSE)</f>
      </c>
      <c r="M28" s="1" t="str">
        <f>VLOOKUP(D28,epiunits!A$1:J$4000,10,FALSE)</f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</row>
    <row r="29" spans="1:45">
      <c r="A29" s="1" t="str">
        <f>VLOOKUP(D29,epiunits!A$1:C$4000,2,FALSE)</f>
      </c>
      <c r="B29" s="1" t="str">
        <f>VLOOKUP(D29,epiunits!A$1:C$4000,3,FALSE)</f>
      </c>
      <c r="C29" s="1" t="str">
        <f>VLOOKUP(E29,Inspector!A$1:B$50,2,FALSE)</f>
      </c>
      <c r="I29" s="1" t="str">
        <f>VLOOKUP(D29,epiunits!A$1:J$4000,6,FALSE)</f>
      </c>
      <c r="J29" s="1" t="str">
        <f>VLOOKUP(D29,epiunits!A$1:J$4000,7,FALSE)</f>
      </c>
      <c r="K29" s="1" t="str">
        <f>VLOOKUP(D29,epiunits!A$1:J$4000,8,FALSE)</f>
      </c>
      <c r="L29" s="1" t="str">
        <f>VLOOKUP(D29,epiunits!A$1:J$4000,9,FALSE)</f>
      </c>
      <c r="M29" s="1" t="str">
        <f>VLOOKUP(D29,epiunits!A$1:J$4000,10,FALSE)</f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</row>
    <row r="30" spans="1:45">
      <c r="A30" s="1" t="str">
        <f>VLOOKUP(D30,epiunits!A$1:C$4000,2,FALSE)</f>
      </c>
      <c r="B30" s="1" t="str">
        <f>VLOOKUP(D30,epiunits!A$1:C$4000,3,FALSE)</f>
      </c>
      <c r="C30" s="1" t="str">
        <f>VLOOKUP(E30,Inspector!A$1:B$50,2,FALSE)</f>
      </c>
      <c r="I30" s="1" t="str">
        <f>VLOOKUP(D30,epiunits!A$1:J$4000,6,FALSE)</f>
      </c>
      <c r="J30" s="1" t="str">
        <f>VLOOKUP(D30,epiunits!A$1:J$4000,7,FALSE)</f>
      </c>
      <c r="K30" s="1" t="str">
        <f>VLOOKUP(D30,epiunits!A$1:J$4000,8,FALSE)</f>
      </c>
      <c r="L30" s="1" t="str">
        <f>VLOOKUP(D30,epiunits!A$1:J$4000,9,FALSE)</f>
      </c>
      <c r="M30" s="1" t="str">
        <f>VLOOKUP(D30,epiunits!A$1:J$4000,10,FALSE)</f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</row>
    <row r="31" spans="1:45">
      <c r="A31" s="1" t="str">
        <f>VLOOKUP(D31,epiunits!A$1:C$4000,2,FALSE)</f>
      </c>
      <c r="B31" s="1" t="str">
        <f>VLOOKUP(D31,epiunits!A$1:C$4000,3,FALSE)</f>
      </c>
      <c r="C31" s="1" t="str">
        <f>VLOOKUP(E31,Inspector!A$1:B$50,2,FALSE)</f>
      </c>
      <c r="I31" s="1" t="str">
        <f>VLOOKUP(D31,epiunits!A$1:J$4000,6,FALSE)</f>
      </c>
      <c r="J31" s="1" t="str">
        <f>VLOOKUP(D31,epiunits!A$1:J$4000,7,FALSE)</f>
      </c>
      <c r="K31" s="1" t="str">
        <f>VLOOKUP(D31,epiunits!A$1:J$4000,8,FALSE)</f>
      </c>
      <c r="L31" s="1" t="str">
        <f>VLOOKUP(D31,epiunits!A$1:J$4000,9,FALSE)</f>
      </c>
      <c r="M31" s="1" t="str">
        <f>VLOOKUP(D31,epiunits!A$1:J$4000,10,FALSE)</f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</row>
    <row r="32" spans="1:45">
      <c r="A32" s="1" t="str">
        <f>VLOOKUP(D32,epiunits!A$1:C$4000,2,FALSE)</f>
      </c>
      <c r="B32" s="1" t="str">
        <f>VLOOKUP(D32,epiunits!A$1:C$4000,3,FALSE)</f>
      </c>
      <c r="C32" s="1" t="str">
        <f>VLOOKUP(E32,Inspector!A$1:B$50,2,FALSE)</f>
      </c>
      <c r="I32" s="1" t="str">
        <f>VLOOKUP(D32,epiunits!A$1:J$4000,6,FALSE)</f>
      </c>
      <c r="J32" s="1" t="str">
        <f>VLOOKUP(D32,epiunits!A$1:J$4000,7,FALSE)</f>
      </c>
      <c r="K32" s="1" t="str">
        <f>VLOOKUP(D32,epiunits!A$1:J$4000,8,FALSE)</f>
      </c>
      <c r="L32" s="1" t="str">
        <f>VLOOKUP(D32,epiunits!A$1:J$4000,9,FALSE)</f>
      </c>
      <c r="M32" s="1" t="str">
        <f>VLOOKUP(D32,epiunits!A$1:J$4000,10,FALSE)</f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</row>
    <row r="33" spans="1:45">
      <c r="A33" s="1" t="str">
        <f>VLOOKUP(D33,epiunits!A$1:C$4000,2,FALSE)</f>
      </c>
      <c r="B33" s="1" t="str">
        <f>VLOOKUP(D33,epiunits!A$1:C$4000,3,FALSE)</f>
      </c>
      <c r="C33" s="1" t="str">
        <f>VLOOKUP(E33,Inspector!A$1:B$50,2,FALSE)</f>
      </c>
      <c r="I33" s="1" t="str">
        <f>VLOOKUP(D33,epiunits!A$1:J$4000,6,FALSE)</f>
      </c>
      <c r="J33" s="1" t="str">
        <f>VLOOKUP(D33,epiunits!A$1:J$4000,7,FALSE)</f>
      </c>
      <c r="K33" s="1" t="str">
        <f>VLOOKUP(D33,epiunits!A$1:J$4000,8,FALSE)</f>
      </c>
      <c r="L33" s="1" t="str">
        <f>VLOOKUP(D33,epiunits!A$1:J$4000,9,FALSE)</f>
      </c>
      <c r="M33" s="1" t="str">
        <f>VLOOKUP(D33,epiunits!A$1:J$4000,10,FALSE)</f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</row>
    <row r="34" spans="1:45">
      <c r="A34" s="1" t="str">
        <f>VLOOKUP(D34,epiunits!A$1:C$4000,2,FALSE)</f>
      </c>
      <c r="B34" s="1" t="str">
        <f>VLOOKUP(D34,epiunits!A$1:C$4000,3,FALSE)</f>
      </c>
      <c r="C34" s="1" t="str">
        <f>VLOOKUP(E34,Inspector!A$1:B$50,2,FALSE)</f>
      </c>
      <c r="I34" s="1" t="str">
        <f>VLOOKUP(D34,epiunits!A$1:J$4000,6,FALSE)</f>
      </c>
      <c r="J34" s="1" t="str">
        <f>VLOOKUP(D34,epiunits!A$1:J$4000,7,FALSE)</f>
      </c>
      <c r="K34" s="1" t="str">
        <f>VLOOKUP(D34,epiunits!A$1:J$4000,8,FALSE)</f>
      </c>
      <c r="L34" s="1" t="str">
        <f>VLOOKUP(D34,epiunits!A$1:J$4000,9,FALSE)</f>
      </c>
      <c r="M34" s="1" t="str">
        <f>VLOOKUP(D34,epiunits!A$1:J$4000,10,FALSE)</f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</row>
    <row r="35" spans="1:45">
      <c r="A35" s="1" t="str">
        <f>VLOOKUP(D35,epiunits!A$1:C$4000,2,FALSE)</f>
      </c>
      <c r="B35" s="1" t="str">
        <f>VLOOKUP(D35,epiunits!A$1:C$4000,3,FALSE)</f>
      </c>
      <c r="C35" s="1" t="str">
        <f>VLOOKUP(E35,Inspector!A$1:B$50,2,FALSE)</f>
      </c>
      <c r="I35" s="1" t="str">
        <f>VLOOKUP(D35,epiunits!A$1:J$4000,6,FALSE)</f>
      </c>
      <c r="J35" s="1" t="str">
        <f>VLOOKUP(D35,epiunits!A$1:J$4000,7,FALSE)</f>
      </c>
      <c r="K35" s="1" t="str">
        <f>VLOOKUP(D35,epiunits!A$1:J$4000,8,FALSE)</f>
      </c>
      <c r="L35" s="1" t="str">
        <f>VLOOKUP(D35,epiunits!A$1:J$4000,9,FALSE)</f>
      </c>
      <c r="M35" s="1" t="str">
        <f>VLOOKUP(D35,epiunits!A$1:J$4000,10,FALSE)</f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</row>
    <row r="36" spans="1:45">
      <c r="A36" s="1" t="str">
        <f>VLOOKUP(D36,epiunits!A$1:C$4000,2,FALSE)</f>
      </c>
      <c r="B36" s="1" t="str">
        <f>VLOOKUP(D36,epiunits!A$1:C$4000,3,FALSE)</f>
      </c>
      <c r="C36" s="1" t="str">
        <f>VLOOKUP(E36,Inspector!A$1:B$50,2,FALSE)</f>
      </c>
      <c r="I36" s="1" t="str">
        <f>VLOOKUP(D36,epiunits!A$1:J$4000,6,FALSE)</f>
      </c>
      <c r="J36" s="1" t="str">
        <f>VLOOKUP(D36,epiunits!A$1:J$4000,7,FALSE)</f>
      </c>
      <c r="K36" s="1" t="str">
        <f>VLOOKUP(D36,epiunits!A$1:J$4000,8,FALSE)</f>
      </c>
      <c r="L36" s="1" t="str">
        <f>VLOOKUP(D36,epiunits!A$1:J$4000,9,FALSE)</f>
      </c>
      <c r="M36" s="1" t="str">
        <f>VLOOKUP(D36,epiunits!A$1:J$4000,10,FALSE)</f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</row>
    <row r="37" spans="1:45">
      <c r="A37" s="1" t="str">
        <f>VLOOKUP(D37,epiunits!A$1:C$4000,2,FALSE)</f>
      </c>
      <c r="B37" s="1" t="str">
        <f>VLOOKUP(D37,epiunits!A$1:C$4000,3,FALSE)</f>
      </c>
      <c r="C37" s="1" t="str">
        <f>VLOOKUP(E37,Inspector!A$1:B$50,2,FALSE)</f>
      </c>
      <c r="I37" s="1" t="str">
        <f>VLOOKUP(D37,epiunits!A$1:J$4000,6,FALSE)</f>
      </c>
      <c r="J37" s="1" t="str">
        <f>VLOOKUP(D37,epiunits!A$1:J$4000,7,FALSE)</f>
      </c>
      <c r="K37" s="1" t="str">
        <f>VLOOKUP(D37,epiunits!A$1:J$4000,8,FALSE)</f>
      </c>
      <c r="L37" s="1" t="str">
        <f>VLOOKUP(D37,epiunits!A$1:J$4000,9,FALSE)</f>
      </c>
      <c r="M37" s="1" t="str">
        <f>VLOOKUP(D37,epiunits!A$1:J$4000,10,FALSE)</f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</row>
    <row r="38" spans="1:45">
      <c r="A38" s="1" t="str">
        <f>VLOOKUP(D38,epiunits!A$1:C$4000,2,FALSE)</f>
      </c>
      <c r="B38" s="1" t="str">
        <f>VLOOKUP(D38,epiunits!A$1:C$4000,3,FALSE)</f>
      </c>
      <c r="C38" s="1" t="str">
        <f>VLOOKUP(E38,Inspector!A$1:B$50,2,FALSE)</f>
      </c>
      <c r="I38" s="1" t="str">
        <f>VLOOKUP(D38,epiunits!A$1:J$4000,6,FALSE)</f>
      </c>
      <c r="J38" s="1" t="str">
        <f>VLOOKUP(D38,epiunits!A$1:J$4000,7,FALSE)</f>
      </c>
      <c r="K38" s="1" t="str">
        <f>VLOOKUP(D38,epiunits!A$1:J$4000,8,FALSE)</f>
      </c>
      <c r="L38" s="1" t="str">
        <f>VLOOKUP(D38,epiunits!A$1:J$4000,9,FALSE)</f>
      </c>
      <c r="M38" s="1" t="str">
        <f>VLOOKUP(D38,epiunits!A$1:J$4000,10,FALSE)</f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</row>
    <row r="39" spans="1:45">
      <c r="A39" s="1" t="str">
        <f>VLOOKUP(D39,epiunits!A$1:C$4000,2,FALSE)</f>
      </c>
      <c r="B39" s="1" t="str">
        <f>VLOOKUP(D39,epiunits!A$1:C$4000,3,FALSE)</f>
      </c>
      <c r="C39" s="1" t="str">
        <f>VLOOKUP(E39,Inspector!A$1:B$50,2,FALSE)</f>
      </c>
      <c r="I39" s="1" t="str">
        <f>VLOOKUP(D39,epiunits!A$1:J$4000,6,FALSE)</f>
      </c>
      <c r="J39" s="1" t="str">
        <f>VLOOKUP(D39,epiunits!A$1:J$4000,7,FALSE)</f>
      </c>
      <c r="K39" s="1" t="str">
        <f>VLOOKUP(D39,epiunits!A$1:J$4000,8,FALSE)</f>
      </c>
      <c r="L39" s="1" t="str">
        <f>VLOOKUP(D39,epiunits!A$1:J$4000,9,FALSE)</f>
      </c>
      <c r="M39" s="1" t="str">
        <f>VLOOKUP(D39,epiunits!A$1:J$4000,10,FALSE)</f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</row>
    <row r="40" spans="1:45">
      <c r="A40" s="1" t="str">
        <f>VLOOKUP(D40,epiunits!A$1:C$4000,2,FALSE)</f>
      </c>
      <c r="B40" s="1" t="str">
        <f>VLOOKUP(D40,epiunits!A$1:C$4000,3,FALSE)</f>
      </c>
      <c r="C40" s="1" t="str">
        <f>VLOOKUP(E40,Inspector!A$1:B$50,2,FALSE)</f>
      </c>
      <c r="I40" s="1" t="str">
        <f>VLOOKUP(D40,epiunits!A$1:J$4000,6,FALSE)</f>
      </c>
      <c r="J40" s="1" t="str">
        <f>VLOOKUP(D40,epiunits!A$1:J$4000,7,FALSE)</f>
      </c>
      <c r="K40" s="1" t="str">
        <f>VLOOKUP(D40,epiunits!A$1:J$4000,8,FALSE)</f>
      </c>
      <c r="L40" s="1" t="str">
        <f>VLOOKUP(D40,epiunits!A$1:J$4000,9,FALSE)</f>
      </c>
      <c r="M40" s="1" t="str">
        <f>VLOOKUP(D40,epiunits!A$1:J$4000,10,FALSE)</f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</row>
    <row r="41" spans="1:45">
      <c r="A41" s="1" t="str">
        <f>VLOOKUP(D41,epiunits!A$1:C$4000,2,FALSE)</f>
      </c>
      <c r="B41" s="1" t="str">
        <f>VLOOKUP(D41,epiunits!A$1:C$4000,3,FALSE)</f>
      </c>
      <c r="C41" s="1" t="str">
        <f>VLOOKUP(E41,Inspector!A$1:B$50,2,FALSE)</f>
      </c>
      <c r="I41" s="1" t="str">
        <f>VLOOKUP(D41,epiunits!A$1:J$4000,6,FALSE)</f>
      </c>
      <c r="J41" s="1" t="str">
        <f>VLOOKUP(D41,epiunits!A$1:J$4000,7,FALSE)</f>
      </c>
      <c r="K41" s="1" t="str">
        <f>VLOOKUP(D41,epiunits!A$1:J$4000,8,FALSE)</f>
      </c>
      <c r="L41" s="1" t="str">
        <f>VLOOKUP(D41,epiunits!A$1:J$4000,9,FALSE)</f>
      </c>
      <c r="M41" s="1" t="str">
        <f>VLOOKUP(D41,epiunits!A$1:J$4000,10,FALSE)</f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</row>
    <row r="42" spans="1:45">
      <c r="A42" s="1" t="str">
        <f>VLOOKUP(D42,epiunits!A$1:C$4000,2,FALSE)</f>
      </c>
      <c r="B42" s="1" t="str">
        <f>VLOOKUP(D42,epiunits!A$1:C$4000,3,FALSE)</f>
      </c>
      <c r="C42" s="1" t="str">
        <f>VLOOKUP(E42,Inspector!A$1:B$50,2,FALSE)</f>
      </c>
      <c r="I42" s="1" t="str">
        <f>VLOOKUP(D42,epiunits!A$1:J$4000,6,FALSE)</f>
      </c>
      <c r="J42" s="1" t="str">
        <f>VLOOKUP(D42,epiunits!A$1:J$4000,7,FALSE)</f>
      </c>
      <c r="K42" s="1" t="str">
        <f>VLOOKUP(D42,epiunits!A$1:J$4000,8,FALSE)</f>
      </c>
      <c r="L42" s="1" t="str">
        <f>VLOOKUP(D42,epiunits!A$1:J$4000,9,FALSE)</f>
      </c>
      <c r="M42" s="1" t="str">
        <f>VLOOKUP(D42,epiunits!A$1:J$4000,10,FALSE)</f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</row>
    <row r="43" spans="1:45">
      <c r="A43" s="1" t="str">
        <f>VLOOKUP(D43,epiunits!A$1:C$4000,2,FALSE)</f>
      </c>
      <c r="B43" s="1" t="str">
        <f>VLOOKUP(D43,epiunits!A$1:C$4000,3,FALSE)</f>
      </c>
      <c r="C43" s="1" t="str">
        <f>VLOOKUP(E43,Inspector!A$1:B$50,2,FALSE)</f>
      </c>
      <c r="I43" s="1" t="str">
        <f>VLOOKUP(D43,epiunits!A$1:J$4000,6,FALSE)</f>
      </c>
      <c r="J43" s="1" t="str">
        <f>VLOOKUP(D43,epiunits!A$1:J$4000,7,FALSE)</f>
      </c>
      <c r="K43" s="1" t="str">
        <f>VLOOKUP(D43,epiunits!A$1:J$4000,8,FALSE)</f>
      </c>
      <c r="L43" s="1" t="str">
        <f>VLOOKUP(D43,epiunits!A$1:J$4000,9,FALSE)</f>
      </c>
      <c r="M43" s="1" t="str">
        <f>VLOOKUP(D43,epiunits!A$1:J$4000,10,FALSE)</f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</row>
    <row r="44" spans="1:45">
      <c r="A44" s="1" t="str">
        <f>VLOOKUP(D44,epiunits!A$1:C$4000,2,FALSE)</f>
      </c>
      <c r="B44" s="1" t="str">
        <f>VLOOKUP(D44,epiunits!A$1:C$4000,3,FALSE)</f>
      </c>
      <c r="C44" s="1" t="str">
        <f>VLOOKUP(E44,Inspector!A$1:B$50,2,FALSE)</f>
      </c>
      <c r="I44" s="1" t="str">
        <f>VLOOKUP(D44,epiunits!A$1:J$4000,6,FALSE)</f>
      </c>
      <c r="J44" s="1" t="str">
        <f>VLOOKUP(D44,epiunits!A$1:J$4000,7,FALSE)</f>
      </c>
      <c r="K44" s="1" t="str">
        <f>VLOOKUP(D44,epiunits!A$1:J$4000,8,FALSE)</f>
      </c>
      <c r="L44" s="1" t="str">
        <f>VLOOKUP(D44,epiunits!A$1:J$4000,9,FALSE)</f>
      </c>
      <c r="M44" s="1" t="str">
        <f>VLOOKUP(D44,epiunits!A$1:J$4000,10,FALSE)</f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</row>
    <row r="45" spans="1:45">
      <c r="A45" s="1" t="str">
        <f>VLOOKUP(D45,epiunits!A$1:C$4000,2,FALSE)</f>
      </c>
      <c r="B45" s="1" t="str">
        <f>VLOOKUP(D45,epiunits!A$1:C$4000,3,FALSE)</f>
      </c>
      <c r="C45" s="1" t="str">
        <f>VLOOKUP(E45,Inspector!A$1:B$50,2,FALSE)</f>
      </c>
      <c r="I45" s="1" t="str">
        <f>VLOOKUP(D45,epiunits!A$1:J$4000,6,FALSE)</f>
      </c>
      <c r="J45" s="1" t="str">
        <f>VLOOKUP(D45,epiunits!A$1:J$4000,7,FALSE)</f>
      </c>
      <c r="K45" s="1" t="str">
        <f>VLOOKUP(D45,epiunits!A$1:J$4000,8,FALSE)</f>
      </c>
      <c r="L45" s="1" t="str">
        <f>VLOOKUP(D45,epiunits!A$1:J$4000,9,FALSE)</f>
      </c>
      <c r="M45" s="1" t="str">
        <f>VLOOKUP(D45,epiunits!A$1:J$4000,10,FALSE)</f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</row>
    <row r="46" spans="1:45">
      <c r="A46" s="1" t="str">
        <f>VLOOKUP(D46,epiunits!A$1:C$4000,2,FALSE)</f>
      </c>
      <c r="B46" s="1" t="str">
        <f>VLOOKUP(D46,epiunits!A$1:C$4000,3,FALSE)</f>
      </c>
      <c r="C46" s="1" t="str">
        <f>VLOOKUP(E46,Inspector!A$1:B$50,2,FALSE)</f>
      </c>
      <c r="I46" s="1" t="str">
        <f>VLOOKUP(D46,epiunits!A$1:J$4000,6,FALSE)</f>
      </c>
      <c r="J46" s="1" t="str">
        <f>VLOOKUP(D46,epiunits!A$1:J$4000,7,FALSE)</f>
      </c>
      <c r="K46" s="1" t="str">
        <f>VLOOKUP(D46,epiunits!A$1:J$4000,8,FALSE)</f>
      </c>
      <c r="L46" s="1" t="str">
        <f>VLOOKUP(D46,epiunits!A$1:J$4000,9,FALSE)</f>
      </c>
      <c r="M46" s="1" t="str">
        <f>VLOOKUP(D46,epiunits!A$1:J$4000,10,FALSE)</f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</row>
    <row r="47" spans="1:45">
      <c r="A47" s="1" t="str">
        <f>VLOOKUP(D47,epiunits!A$1:C$4000,2,FALSE)</f>
      </c>
      <c r="B47" s="1" t="str">
        <f>VLOOKUP(D47,epiunits!A$1:C$4000,3,FALSE)</f>
      </c>
      <c r="C47" s="1" t="str">
        <f>VLOOKUP(E47,Inspector!A$1:B$50,2,FALSE)</f>
      </c>
      <c r="I47" s="1" t="str">
        <f>VLOOKUP(D47,epiunits!A$1:J$4000,6,FALSE)</f>
      </c>
      <c r="J47" s="1" t="str">
        <f>VLOOKUP(D47,epiunits!A$1:J$4000,7,FALSE)</f>
      </c>
      <c r="K47" s="1" t="str">
        <f>VLOOKUP(D47,epiunits!A$1:J$4000,8,FALSE)</f>
      </c>
      <c r="L47" s="1" t="str">
        <f>VLOOKUP(D47,epiunits!A$1:J$4000,9,FALSE)</f>
      </c>
      <c r="M47" s="1" t="str">
        <f>VLOOKUP(D47,epiunits!A$1:J$4000,10,FALSE)</f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</row>
    <row r="48" spans="1:45">
      <c r="A48" s="1" t="str">
        <f>VLOOKUP(D48,epiunits!A$1:C$4000,2,FALSE)</f>
      </c>
      <c r="B48" s="1" t="str">
        <f>VLOOKUP(D48,epiunits!A$1:C$4000,3,FALSE)</f>
      </c>
      <c r="C48" s="1" t="str">
        <f>VLOOKUP(E48,Inspector!A$1:B$50,2,FALSE)</f>
      </c>
      <c r="I48" s="1" t="str">
        <f>VLOOKUP(D48,epiunits!A$1:J$4000,6,FALSE)</f>
      </c>
      <c r="J48" s="1" t="str">
        <f>VLOOKUP(D48,epiunits!A$1:J$4000,7,FALSE)</f>
      </c>
      <c r="K48" s="1" t="str">
        <f>VLOOKUP(D48,epiunits!A$1:J$4000,8,FALSE)</f>
      </c>
      <c r="L48" s="1" t="str">
        <f>VLOOKUP(D48,epiunits!A$1:J$4000,9,FALSE)</f>
      </c>
      <c r="M48" s="1" t="str">
        <f>VLOOKUP(D48,epiunits!A$1:J$4000,10,FALSE)</f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</row>
    <row r="49" spans="1:45">
      <c r="A49" s="1" t="str">
        <f>VLOOKUP(D49,epiunits!A$1:C$4000,2,FALSE)</f>
      </c>
      <c r="B49" s="1" t="str">
        <f>VLOOKUP(D49,epiunits!A$1:C$4000,3,FALSE)</f>
      </c>
      <c r="C49" s="1" t="str">
        <f>VLOOKUP(E49,Inspector!A$1:B$50,2,FALSE)</f>
      </c>
      <c r="I49" s="1" t="str">
        <f>VLOOKUP(D49,epiunits!A$1:J$4000,6,FALSE)</f>
      </c>
      <c r="J49" s="1" t="str">
        <f>VLOOKUP(D49,epiunits!A$1:J$4000,7,FALSE)</f>
      </c>
      <c r="K49" s="1" t="str">
        <f>VLOOKUP(D49,epiunits!A$1:J$4000,8,FALSE)</f>
      </c>
      <c r="L49" s="1" t="str">
        <f>VLOOKUP(D49,epiunits!A$1:J$4000,9,FALSE)</f>
      </c>
      <c r="M49" s="1" t="str">
        <f>VLOOKUP(D49,epiunits!A$1:J$4000,10,FALSE)</f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</row>
    <row r="50" spans="1:45">
      <c r="A50" s="1" t="str">
        <f>VLOOKUP(D50,epiunits!A$1:C$4000,2,FALSE)</f>
      </c>
      <c r="B50" s="1" t="str">
        <f>VLOOKUP(D50,epiunits!A$1:C$4000,3,FALSE)</f>
      </c>
      <c r="C50" s="1" t="str">
        <f>VLOOKUP(E50,Inspector!A$1:B$50,2,FALSE)</f>
      </c>
      <c r="I50" s="1" t="str">
        <f>VLOOKUP(D50,epiunits!A$1:J$4000,6,FALSE)</f>
      </c>
      <c r="J50" s="1" t="str">
        <f>VLOOKUP(D50,epiunits!A$1:J$4000,7,FALSE)</f>
      </c>
      <c r="K50" s="1" t="str">
        <f>VLOOKUP(D50,epiunits!A$1:J$4000,8,FALSE)</f>
      </c>
      <c r="L50" s="1" t="str">
        <f>VLOOKUP(D50,epiunits!A$1:J$4000,9,FALSE)</f>
      </c>
      <c r="M50" s="1" t="str">
        <f>VLOOKUP(D50,epiunits!A$1:J$4000,10,FALSE)</f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</row>
    <row r="51" spans="1:45">
      <c r="A51" s="1" t="str">
        <f>VLOOKUP(D51,epiunits!A$1:C$4000,2,FALSE)</f>
      </c>
      <c r="B51" s="1" t="str">
        <f>VLOOKUP(D51,epiunits!A$1:C$4000,3,FALSE)</f>
      </c>
      <c r="C51" s="1" t="str">
        <f>VLOOKUP(E51,Inspector!A$1:B$50,2,FALSE)</f>
      </c>
      <c r="I51" s="1" t="str">
        <f>VLOOKUP(D51,epiunits!A$1:J$4000,6,FALSE)</f>
      </c>
      <c r="J51" s="1" t="str">
        <f>VLOOKUP(D51,epiunits!A$1:J$4000,7,FALSE)</f>
      </c>
      <c r="K51" s="1" t="str">
        <f>VLOOKUP(D51,epiunits!A$1:J$4000,8,FALSE)</f>
      </c>
      <c r="L51" s="1" t="str">
        <f>VLOOKUP(D51,epiunits!A$1:J$4000,9,FALSE)</f>
      </c>
      <c r="M51" s="1" t="str">
        <f>VLOOKUP(D51,epiunits!A$1:J$4000,10,FALSE)</f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</row>
    <row r="52" spans="1:45">
      <c r="A52" s="1" t="str">
        <f>VLOOKUP(D52,epiunits!A$1:C$4000,2,FALSE)</f>
      </c>
      <c r="B52" s="1" t="str">
        <f>VLOOKUP(D52,epiunits!A$1:C$4000,3,FALSE)</f>
      </c>
      <c r="C52" s="1" t="str">
        <f>VLOOKUP(E52,Inspector!A$1:B$50,2,FALSE)</f>
      </c>
      <c r="I52" s="1" t="str">
        <f>VLOOKUP(D52,epiunits!A$1:J$4000,6,FALSE)</f>
      </c>
      <c r="J52" s="1" t="str">
        <f>VLOOKUP(D52,epiunits!A$1:J$4000,7,FALSE)</f>
      </c>
      <c r="K52" s="1" t="str">
        <f>VLOOKUP(D52,epiunits!A$1:J$4000,8,FALSE)</f>
      </c>
      <c r="L52" s="1" t="str">
        <f>VLOOKUP(D52,epiunits!A$1:J$4000,9,FALSE)</f>
      </c>
      <c r="M52" s="1" t="str">
        <f>VLOOKUP(D52,epiunits!A$1:J$4000,10,FALSE)</f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</row>
    <row r="53" spans="1:45">
      <c r="A53" s="1" t="str">
        <f>VLOOKUP(D53,epiunits!A$1:C$4000,2,FALSE)</f>
      </c>
      <c r="B53" s="1" t="str">
        <f>VLOOKUP(D53,epiunits!A$1:C$4000,3,FALSE)</f>
      </c>
      <c r="C53" s="1" t="str">
        <f>VLOOKUP(E53,Inspector!A$1:B$50,2,FALSE)</f>
      </c>
      <c r="I53" s="1" t="str">
        <f>VLOOKUP(D53,epiunits!A$1:J$4000,6,FALSE)</f>
      </c>
      <c r="J53" s="1" t="str">
        <f>VLOOKUP(D53,epiunits!A$1:J$4000,7,FALSE)</f>
      </c>
      <c r="K53" s="1" t="str">
        <f>VLOOKUP(D53,epiunits!A$1:J$4000,8,FALSE)</f>
      </c>
      <c r="L53" s="1" t="str">
        <f>VLOOKUP(D53,epiunits!A$1:J$4000,9,FALSE)</f>
      </c>
      <c r="M53" s="1" t="str">
        <f>VLOOKUP(D53,epiunits!A$1:J$4000,10,FALSE)</f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</row>
    <row r="54" spans="1:45">
      <c r="A54" s="1" t="str">
        <f>VLOOKUP(D54,epiunits!A$1:C$4000,2,FALSE)</f>
      </c>
      <c r="B54" s="1" t="str">
        <f>VLOOKUP(D54,epiunits!A$1:C$4000,3,FALSE)</f>
      </c>
      <c r="C54" s="1" t="str">
        <f>VLOOKUP(E54,Inspector!A$1:B$50,2,FALSE)</f>
      </c>
      <c r="I54" s="1" t="str">
        <f>VLOOKUP(D54,epiunits!A$1:J$4000,6,FALSE)</f>
      </c>
      <c r="J54" s="1" t="str">
        <f>VLOOKUP(D54,epiunits!A$1:J$4000,7,FALSE)</f>
      </c>
      <c r="K54" s="1" t="str">
        <f>VLOOKUP(D54,epiunits!A$1:J$4000,8,FALSE)</f>
      </c>
      <c r="L54" s="1" t="str">
        <f>VLOOKUP(D54,epiunits!A$1:J$4000,9,FALSE)</f>
      </c>
      <c r="M54" s="1" t="str">
        <f>VLOOKUP(D54,epiunits!A$1:J$4000,10,FALSE)</f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</row>
    <row r="55" spans="1:45">
      <c r="A55" s="1" t="str">
        <f>VLOOKUP(D55,epiunits!A$1:C$4000,2,FALSE)</f>
      </c>
      <c r="B55" s="1" t="str">
        <f>VLOOKUP(D55,epiunits!A$1:C$4000,3,FALSE)</f>
      </c>
      <c r="C55" s="1" t="str">
        <f>VLOOKUP(E55,Inspector!A$1:B$50,2,FALSE)</f>
      </c>
      <c r="I55" s="1" t="str">
        <f>VLOOKUP(D55,epiunits!A$1:J$4000,6,FALSE)</f>
      </c>
      <c r="J55" s="1" t="str">
        <f>VLOOKUP(D55,epiunits!A$1:J$4000,7,FALSE)</f>
      </c>
      <c r="K55" s="1" t="str">
        <f>VLOOKUP(D55,epiunits!A$1:J$4000,8,FALSE)</f>
      </c>
      <c r="L55" s="1" t="str">
        <f>VLOOKUP(D55,epiunits!A$1:J$4000,9,FALSE)</f>
      </c>
      <c r="M55" s="1" t="str">
        <f>VLOOKUP(D55,epiunits!A$1:J$4000,10,FALSE)</f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</row>
    <row r="56" spans="1:45">
      <c r="A56" s="1" t="str">
        <f>VLOOKUP(D56,epiunits!A$1:C$4000,2,FALSE)</f>
      </c>
      <c r="B56" s="1" t="str">
        <f>VLOOKUP(D56,epiunits!A$1:C$4000,3,FALSE)</f>
      </c>
      <c r="C56" s="1" t="str">
        <f>VLOOKUP(E56,Inspector!A$1:B$50,2,FALSE)</f>
      </c>
      <c r="I56" s="1" t="str">
        <f>VLOOKUP(D56,epiunits!A$1:J$4000,6,FALSE)</f>
      </c>
      <c r="J56" s="1" t="str">
        <f>VLOOKUP(D56,epiunits!A$1:J$4000,7,FALSE)</f>
      </c>
      <c r="K56" s="1" t="str">
        <f>VLOOKUP(D56,epiunits!A$1:J$4000,8,FALSE)</f>
      </c>
      <c r="L56" s="1" t="str">
        <f>VLOOKUP(D56,epiunits!A$1:J$4000,9,FALSE)</f>
      </c>
      <c r="M56" s="1" t="str">
        <f>VLOOKUP(D56,epiunits!A$1:J$4000,10,FALSE)</f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</row>
    <row r="57" spans="1:45">
      <c r="A57" s="1" t="str">
        <f>VLOOKUP(D57,epiunits!A$1:C$4000,2,FALSE)</f>
      </c>
      <c r="B57" s="1" t="str">
        <f>VLOOKUP(D57,epiunits!A$1:C$4000,3,FALSE)</f>
      </c>
      <c r="C57" s="1" t="str">
        <f>VLOOKUP(E57,Inspector!A$1:B$50,2,FALSE)</f>
      </c>
      <c r="I57" s="1" t="str">
        <f>VLOOKUP(D57,epiunits!A$1:J$4000,6,FALSE)</f>
      </c>
      <c r="J57" s="1" t="str">
        <f>VLOOKUP(D57,epiunits!A$1:J$4000,7,FALSE)</f>
      </c>
      <c r="K57" s="1" t="str">
        <f>VLOOKUP(D57,epiunits!A$1:J$4000,8,FALSE)</f>
      </c>
      <c r="L57" s="1" t="str">
        <f>VLOOKUP(D57,epiunits!A$1:J$4000,9,FALSE)</f>
      </c>
      <c r="M57" s="1" t="str">
        <f>VLOOKUP(D57,epiunits!A$1:J$4000,10,FALSE)</f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</row>
    <row r="58" spans="1:45">
      <c r="A58" s="1" t="str">
        <f>VLOOKUP(D58,epiunits!A$1:C$4000,2,FALSE)</f>
      </c>
      <c r="B58" s="1" t="str">
        <f>VLOOKUP(D58,epiunits!A$1:C$4000,3,FALSE)</f>
      </c>
      <c r="C58" s="1" t="str">
        <f>VLOOKUP(E58,Inspector!A$1:B$50,2,FALSE)</f>
      </c>
      <c r="I58" s="1" t="str">
        <f>VLOOKUP(D58,epiunits!A$1:J$4000,6,FALSE)</f>
      </c>
      <c r="J58" s="1" t="str">
        <f>VLOOKUP(D58,epiunits!A$1:J$4000,7,FALSE)</f>
      </c>
      <c r="K58" s="1" t="str">
        <f>VLOOKUP(D58,epiunits!A$1:J$4000,8,FALSE)</f>
      </c>
      <c r="L58" s="1" t="str">
        <f>VLOOKUP(D58,epiunits!A$1:J$4000,9,FALSE)</f>
      </c>
      <c r="M58" s="1" t="str">
        <f>VLOOKUP(D58,epiunits!A$1:J$4000,10,FALSE)</f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</row>
    <row r="59" spans="1:45">
      <c r="A59" s="1" t="str">
        <f>VLOOKUP(D59,epiunits!A$1:C$4000,2,FALSE)</f>
      </c>
      <c r="B59" s="1" t="str">
        <f>VLOOKUP(D59,epiunits!A$1:C$4000,3,FALSE)</f>
      </c>
      <c r="C59" s="1" t="str">
        <f>VLOOKUP(E59,Inspector!A$1:B$50,2,FALSE)</f>
      </c>
      <c r="I59" s="1" t="str">
        <f>VLOOKUP(D59,epiunits!A$1:J$4000,6,FALSE)</f>
      </c>
      <c r="J59" s="1" t="str">
        <f>VLOOKUP(D59,epiunits!A$1:J$4000,7,FALSE)</f>
      </c>
      <c r="K59" s="1" t="str">
        <f>VLOOKUP(D59,epiunits!A$1:J$4000,8,FALSE)</f>
      </c>
      <c r="L59" s="1" t="str">
        <f>VLOOKUP(D59,epiunits!A$1:J$4000,9,FALSE)</f>
      </c>
      <c r="M59" s="1" t="str">
        <f>VLOOKUP(D59,epiunits!A$1:J$4000,10,FALSE)</f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</row>
    <row r="60" spans="1:45">
      <c r="A60" s="1" t="str">
        <f>VLOOKUP(D60,epiunits!A$1:C$4000,2,FALSE)</f>
      </c>
      <c r="B60" s="1" t="str">
        <f>VLOOKUP(D60,epiunits!A$1:C$4000,3,FALSE)</f>
      </c>
      <c r="C60" s="1" t="str">
        <f>VLOOKUP(E60,Inspector!A$1:B$50,2,FALSE)</f>
      </c>
      <c r="I60" s="1" t="str">
        <f>VLOOKUP(D60,epiunits!A$1:J$4000,6,FALSE)</f>
      </c>
      <c r="J60" s="1" t="str">
        <f>VLOOKUP(D60,epiunits!A$1:J$4000,7,FALSE)</f>
      </c>
      <c r="K60" s="1" t="str">
        <f>VLOOKUP(D60,epiunits!A$1:J$4000,8,FALSE)</f>
      </c>
      <c r="L60" s="1" t="str">
        <f>VLOOKUP(D60,epiunits!A$1:J$4000,9,FALSE)</f>
      </c>
      <c r="M60" s="1" t="str">
        <f>VLOOKUP(D60,epiunits!A$1:J$4000,10,FALSE)</f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</row>
    <row r="61" spans="1:45">
      <c r="A61" s="1" t="str">
        <f>VLOOKUP(D61,epiunits!A$1:C$4000,2,FALSE)</f>
      </c>
      <c r="B61" s="1" t="str">
        <f>VLOOKUP(D61,epiunits!A$1:C$4000,3,FALSE)</f>
      </c>
      <c r="C61" s="1" t="str">
        <f>VLOOKUP(E61,Inspector!A$1:B$50,2,FALSE)</f>
      </c>
      <c r="I61" s="1" t="str">
        <f>VLOOKUP(D61,epiunits!A$1:J$4000,6,FALSE)</f>
      </c>
      <c r="J61" s="1" t="str">
        <f>VLOOKUP(D61,epiunits!A$1:J$4000,7,FALSE)</f>
      </c>
      <c r="K61" s="1" t="str">
        <f>VLOOKUP(D61,epiunits!A$1:J$4000,8,FALSE)</f>
      </c>
      <c r="L61" s="1" t="str">
        <f>VLOOKUP(D61,epiunits!A$1:J$4000,9,FALSE)</f>
      </c>
      <c r="M61" s="1" t="str">
        <f>VLOOKUP(D61,epiunits!A$1:J$4000,10,FALSE)</f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</row>
    <row r="62" spans="1:45">
      <c r="A62" s="1" t="str">
        <f>VLOOKUP(D62,epiunits!A$1:C$4000,2,FALSE)</f>
      </c>
      <c r="B62" s="1" t="str">
        <f>VLOOKUP(D62,epiunits!A$1:C$4000,3,FALSE)</f>
      </c>
      <c r="C62" s="1" t="str">
        <f>VLOOKUP(E62,Inspector!A$1:B$50,2,FALSE)</f>
      </c>
      <c r="I62" s="1" t="str">
        <f>VLOOKUP(D62,epiunits!A$1:J$4000,6,FALSE)</f>
      </c>
      <c r="J62" s="1" t="str">
        <f>VLOOKUP(D62,epiunits!A$1:J$4000,7,FALSE)</f>
      </c>
      <c r="K62" s="1" t="str">
        <f>VLOOKUP(D62,epiunits!A$1:J$4000,8,FALSE)</f>
      </c>
      <c r="L62" s="1" t="str">
        <f>VLOOKUP(D62,epiunits!A$1:J$4000,9,FALSE)</f>
      </c>
      <c r="M62" s="1" t="str">
        <f>VLOOKUP(D62,epiunits!A$1:J$4000,10,FALSE)</f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</row>
    <row r="63" spans="1:45">
      <c r="A63" s="1" t="str">
        <f>VLOOKUP(D63,epiunits!A$1:C$4000,2,FALSE)</f>
      </c>
      <c r="B63" s="1" t="str">
        <f>VLOOKUP(D63,epiunits!A$1:C$4000,3,FALSE)</f>
      </c>
      <c r="C63" s="1" t="str">
        <f>VLOOKUP(E63,Inspector!A$1:B$50,2,FALSE)</f>
      </c>
      <c r="I63" s="1" t="str">
        <f>VLOOKUP(D63,epiunits!A$1:J$4000,6,FALSE)</f>
      </c>
      <c r="J63" s="1" t="str">
        <f>VLOOKUP(D63,epiunits!A$1:J$4000,7,FALSE)</f>
      </c>
      <c r="K63" s="1" t="str">
        <f>VLOOKUP(D63,epiunits!A$1:J$4000,8,FALSE)</f>
      </c>
      <c r="L63" s="1" t="str">
        <f>VLOOKUP(D63,epiunits!A$1:J$4000,9,FALSE)</f>
      </c>
      <c r="M63" s="1" t="str">
        <f>VLOOKUP(D63,epiunits!A$1:J$4000,10,FALSE)</f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</row>
    <row r="64" spans="1:45">
      <c r="A64" s="1" t="str">
        <f>VLOOKUP(D64,epiunits!A$1:C$4000,2,FALSE)</f>
      </c>
      <c r="B64" s="1" t="str">
        <f>VLOOKUP(D64,epiunits!A$1:C$4000,3,FALSE)</f>
      </c>
      <c r="C64" s="1" t="str">
        <f>VLOOKUP(E64,Inspector!A$1:B$50,2,FALSE)</f>
      </c>
      <c r="I64" s="1" t="str">
        <f>VLOOKUP(D64,epiunits!A$1:J$4000,6,FALSE)</f>
      </c>
      <c r="J64" s="1" t="str">
        <f>VLOOKUP(D64,epiunits!A$1:J$4000,7,FALSE)</f>
      </c>
      <c r="K64" s="1" t="str">
        <f>VLOOKUP(D64,epiunits!A$1:J$4000,8,FALSE)</f>
      </c>
      <c r="L64" s="1" t="str">
        <f>VLOOKUP(D64,epiunits!A$1:J$4000,9,FALSE)</f>
      </c>
      <c r="M64" s="1" t="str">
        <f>VLOOKUP(D64,epiunits!A$1:J$4000,10,FALSE)</f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</row>
    <row r="65" spans="1:45">
      <c r="A65" s="1" t="str">
        <f>VLOOKUP(D65,epiunits!A$1:C$4000,2,FALSE)</f>
      </c>
      <c r="B65" s="1" t="str">
        <f>VLOOKUP(D65,epiunits!A$1:C$4000,3,FALSE)</f>
      </c>
      <c r="C65" s="1" t="str">
        <f>VLOOKUP(E65,Inspector!A$1:B$50,2,FALSE)</f>
      </c>
      <c r="I65" s="1" t="str">
        <f>VLOOKUP(D65,epiunits!A$1:J$4000,6,FALSE)</f>
      </c>
      <c r="J65" s="1" t="str">
        <f>VLOOKUP(D65,epiunits!A$1:J$4000,7,FALSE)</f>
      </c>
      <c r="K65" s="1" t="str">
        <f>VLOOKUP(D65,epiunits!A$1:J$4000,8,FALSE)</f>
      </c>
      <c r="L65" s="1" t="str">
        <f>VLOOKUP(D65,epiunits!A$1:J$4000,9,FALSE)</f>
      </c>
      <c r="M65" s="1" t="str">
        <f>VLOOKUP(D65,epiunits!A$1:J$4000,10,FALSE)</f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</row>
    <row r="66" spans="1:45">
      <c r="A66" s="1" t="str">
        <f>VLOOKUP(D66,epiunits!A$1:C$4000,2,FALSE)</f>
      </c>
      <c r="B66" s="1" t="str">
        <f>VLOOKUP(D66,epiunits!A$1:C$4000,3,FALSE)</f>
      </c>
      <c r="C66" s="1" t="str">
        <f>VLOOKUP(E66,Inspector!A$1:B$50,2,FALSE)</f>
      </c>
      <c r="I66" s="1" t="str">
        <f>VLOOKUP(D66,epiunits!A$1:J$4000,6,FALSE)</f>
      </c>
      <c r="J66" s="1" t="str">
        <f>VLOOKUP(D66,epiunits!A$1:J$4000,7,FALSE)</f>
      </c>
      <c r="K66" s="1" t="str">
        <f>VLOOKUP(D66,epiunits!A$1:J$4000,8,FALSE)</f>
      </c>
      <c r="L66" s="1" t="str">
        <f>VLOOKUP(D66,epiunits!A$1:J$4000,9,FALSE)</f>
      </c>
      <c r="M66" s="1" t="str">
        <f>VLOOKUP(D66,epiunits!A$1:J$4000,10,FALSE)</f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</row>
    <row r="67" spans="1:45">
      <c r="A67" s="1" t="str">
        <f>VLOOKUP(D67,epiunits!A$1:C$4000,2,FALSE)</f>
      </c>
      <c r="B67" s="1" t="str">
        <f>VLOOKUP(D67,epiunits!A$1:C$4000,3,FALSE)</f>
      </c>
      <c r="C67" s="1" t="str">
        <f>VLOOKUP(E67,Inspector!A$1:B$50,2,FALSE)</f>
      </c>
      <c r="I67" s="1" t="str">
        <f>VLOOKUP(D67,epiunits!A$1:J$4000,6,FALSE)</f>
      </c>
      <c r="J67" s="1" t="str">
        <f>VLOOKUP(D67,epiunits!A$1:J$4000,7,FALSE)</f>
      </c>
      <c r="K67" s="1" t="str">
        <f>VLOOKUP(D67,epiunits!A$1:J$4000,8,FALSE)</f>
      </c>
      <c r="L67" s="1" t="str">
        <f>VLOOKUP(D67,epiunits!A$1:J$4000,9,FALSE)</f>
      </c>
      <c r="M67" s="1" t="str">
        <f>VLOOKUP(D67,epiunits!A$1:J$4000,10,FALSE)</f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</row>
    <row r="68" spans="1:45">
      <c r="A68" s="1" t="str">
        <f>VLOOKUP(D68,epiunits!A$1:C$4000,2,FALSE)</f>
      </c>
      <c r="B68" s="1" t="str">
        <f>VLOOKUP(D68,epiunits!A$1:C$4000,3,FALSE)</f>
      </c>
      <c r="C68" s="1" t="str">
        <f>VLOOKUP(E68,Inspector!A$1:B$50,2,FALSE)</f>
      </c>
      <c r="I68" s="1" t="str">
        <f>VLOOKUP(D68,epiunits!A$1:J$4000,6,FALSE)</f>
      </c>
      <c r="J68" s="1" t="str">
        <f>VLOOKUP(D68,epiunits!A$1:J$4000,7,FALSE)</f>
      </c>
      <c r="K68" s="1" t="str">
        <f>VLOOKUP(D68,epiunits!A$1:J$4000,8,FALSE)</f>
      </c>
      <c r="L68" s="1" t="str">
        <f>VLOOKUP(D68,epiunits!A$1:J$4000,9,FALSE)</f>
      </c>
      <c r="M68" s="1" t="str">
        <f>VLOOKUP(D68,epiunits!A$1:J$4000,10,FALSE)</f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</row>
    <row r="69" spans="1:45">
      <c r="A69" s="1" t="str">
        <f>VLOOKUP(D69,epiunits!A$1:C$4000,2,FALSE)</f>
      </c>
      <c r="B69" s="1" t="str">
        <f>VLOOKUP(D69,epiunits!A$1:C$4000,3,FALSE)</f>
      </c>
      <c r="C69" s="1" t="str">
        <f>VLOOKUP(E69,Inspector!A$1:B$50,2,FALSE)</f>
      </c>
      <c r="I69" s="1" t="str">
        <f>VLOOKUP(D69,epiunits!A$1:J$4000,6,FALSE)</f>
      </c>
      <c r="J69" s="1" t="str">
        <f>VLOOKUP(D69,epiunits!A$1:J$4000,7,FALSE)</f>
      </c>
      <c r="K69" s="1" t="str">
        <f>VLOOKUP(D69,epiunits!A$1:J$4000,8,FALSE)</f>
      </c>
      <c r="L69" s="1" t="str">
        <f>VLOOKUP(D69,epiunits!A$1:J$4000,9,FALSE)</f>
      </c>
      <c r="M69" s="1" t="str">
        <f>VLOOKUP(D69,epiunits!A$1:J$4000,10,FALSE)</f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</row>
    <row r="70" spans="1:45">
      <c r="A70" s="1" t="str">
        <f>VLOOKUP(D70,epiunits!A$1:C$4000,2,FALSE)</f>
      </c>
      <c r="B70" s="1" t="str">
        <f>VLOOKUP(D70,epiunits!A$1:C$4000,3,FALSE)</f>
      </c>
      <c r="C70" s="1" t="str">
        <f>VLOOKUP(E70,Inspector!A$1:B$50,2,FALSE)</f>
      </c>
      <c r="I70" s="1" t="str">
        <f>VLOOKUP(D70,epiunits!A$1:J$4000,6,FALSE)</f>
      </c>
      <c r="J70" s="1" t="str">
        <f>VLOOKUP(D70,epiunits!A$1:J$4000,7,FALSE)</f>
      </c>
      <c r="K70" s="1" t="str">
        <f>VLOOKUP(D70,epiunits!A$1:J$4000,8,FALSE)</f>
      </c>
      <c r="L70" s="1" t="str">
        <f>VLOOKUP(D70,epiunits!A$1:J$4000,9,FALSE)</f>
      </c>
      <c r="M70" s="1" t="str">
        <f>VLOOKUP(D70,epiunits!A$1:J$4000,10,FALSE)</f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</row>
    <row r="71" spans="1:45">
      <c r="A71" s="1" t="str">
        <f>VLOOKUP(D71,epiunits!A$1:C$4000,2,FALSE)</f>
      </c>
      <c r="B71" s="1" t="str">
        <f>VLOOKUP(D71,epiunits!A$1:C$4000,3,FALSE)</f>
      </c>
      <c r="C71" s="1" t="str">
        <f>VLOOKUP(E71,Inspector!A$1:B$50,2,FALSE)</f>
      </c>
      <c r="I71" s="1" t="str">
        <f>VLOOKUP(D71,epiunits!A$1:J$4000,6,FALSE)</f>
      </c>
      <c r="J71" s="1" t="str">
        <f>VLOOKUP(D71,epiunits!A$1:J$4000,7,FALSE)</f>
      </c>
      <c r="K71" s="1" t="str">
        <f>VLOOKUP(D71,epiunits!A$1:J$4000,8,FALSE)</f>
      </c>
      <c r="L71" s="1" t="str">
        <f>VLOOKUP(D71,epiunits!A$1:J$4000,9,FALSE)</f>
      </c>
      <c r="M71" s="1" t="str">
        <f>VLOOKUP(D71,epiunits!A$1:J$4000,10,FALSE)</f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</row>
    <row r="72" spans="1:45">
      <c r="A72" s="1" t="str">
        <f>VLOOKUP(D72,epiunits!A$1:C$4000,2,FALSE)</f>
      </c>
      <c r="B72" s="1" t="str">
        <f>VLOOKUP(D72,epiunits!A$1:C$4000,3,FALSE)</f>
      </c>
      <c r="C72" s="1" t="str">
        <f>VLOOKUP(E72,Inspector!A$1:B$50,2,FALSE)</f>
      </c>
      <c r="I72" s="1" t="str">
        <f>VLOOKUP(D72,epiunits!A$1:J$4000,6,FALSE)</f>
      </c>
      <c r="J72" s="1" t="str">
        <f>VLOOKUP(D72,epiunits!A$1:J$4000,7,FALSE)</f>
      </c>
      <c r="K72" s="1" t="str">
        <f>VLOOKUP(D72,epiunits!A$1:J$4000,8,FALSE)</f>
      </c>
      <c r="L72" s="1" t="str">
        <f>VLOOKUP(D72,epiunits!A$1:J$4000,9,FALSE)</f>
      </c>
      <c r="M72" s="1" t="str">
        <f>VLOOKUP(D72,epiunits!A$1:J$4000,10,FALSE)</f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</row>
    <row r="73" spans="1:45">
      <c r="A73" s="1" t="str">
        <f>VLOOKUP(D73,epiunits!A$1:C$4000,2,FALSE)</f>
      </c>
      <c r="B73" s="1" t="str">
        <f>VLOOKUP(D73,epiunits!A$1:C$4000,3,FALSE)</f>
      </c>
      <c r="C73" s="1" t="str">
        <f>VLOOKUP(E73,Inspector!A$1:B$50,2,FALSE)</f>
      </c>
      <c r="I73" s="1" t="str">
        <f>VLOOKUP(D73,epiunits!A$1:J$4000,6,FALSE)</f>
      </c>
      <c r="J73" s="1" t="str">
        <f>VLOOKUP(D73,epiunits!A$1:J$4000,7,FALSE)</f>
      </c>
      <c r="K73" s="1" t="str">
        <f>VLOOKUP(D73,epiunits!A$1:J$4000,8,FALSE)</f>
      </c>
      <c r="L73" s="1" t="str">
        <f>VLOOKUP(D73,epiunits!A$1:J$4000,9,FALSE)</f>
      </c>
      <c r="M73" s="1" t="str">
        <f>VLOOKUP(D73,epiunits!A$1:J$4000,10,FALSE)</f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</row>
    <row r="74" spans="1:45">
      <c r="A74" s="1" t="str">
        <f>VLOOKUP(D74,epiunits!A$1:C$4000,2,FALSE)</f>
      </c>
      <c r="B74" s="1" t="str">
        <f>VLOOKUP(D74,epiunits!A$1:C$4000,3,FALSE)</f>
      </c>
      <c r="C74" s="1" t="str">
        <f>VLOOKUP(E74,Inspector!A$1:B$50,2,FALSE)</f>
      </c>
      <c r="I74" s="1" t="str">
        <f>VLOOKUP(D74,epiunits!A$1:J$4000,6,FALSE)</f>
      </c>
      <c r="J74" s="1" t="str">
        <f>VLOOKUP(D74,epiunits!A$1:J$4000,7,FALSE)</f>
      </c>
      <c r="K74" s="1" t="str">
        <f>VLOOKUP(D74,epiunits!A$1:J$4000,8,FALSE)</f>
      </c>
      <c r="L74" s="1" t="str">
        <f>VLOOKUP(D74,epiunits!A$1:J$4000,9,FALSE)</f>
      </c>
      <c r="M74" s="1" t="str">
        <f>VLOOKUP(D74,epiunits!A$1:J$4000,10,FALSE)</f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</row>
    <row r="75" spans="1:45">
      <c r="A75" s="1" t="str">
        <f>VLOOKUP(D75,epiunits!A$1:C$4000,2,FALSE)</f>
      </c>
      <c r="B75" s="1" t="str">
        <f>VLOOKUP(D75,epiunits!A$1:C$4000,3,FALSE)</f>
      </c>
      <c r="C75" s="1" t="str">
        <f>VLOOKUP(E75,Inspector!A$1:B$50,2,FALSE)</f>
      </c>
      <c r="I75" s="1" t="str">
        <f>VLOOKUP(D75,epiunits!A$1:J$4000,6,FALSE)</f>
      </c>
      <c r="J75" s="1" t="str">
        <f>VLOOKUP(D75,epiunits!A$1:J$4000,7,FALSE)</f>
      </c>
      <c r="K75" s="1" t="str">
        <f>VLOOKUP(D75,epiunits!A$1:J$4000,8,FALSE)</f>
      </c>
      <c r="L75" s="1" t="str">
        <f>VLOOKUP(D75,epiunits!A$1:J$4000,9,FALSE)</f>
      </c>
      <c r="M75" s="1" t="str">
        <f>VLOOKUP(D75,epiunits!A$1:J$4000,10,FALSE)</f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</row>
    <row r="76" spans="1:45">
      <c r="A76" s="1" t="str">
        <f>VLOOKUP(D76,epiunits!A$1:C$4000,2,FALSE)</f>
      </c>
      <c r="B76" s="1" t="str">
        <f>VLOOKUP(D76,epiunits!A$1:C$4000,3,FALSE)</f>
      </c>
      <c r="C76" s="1" t="str">
        <f>VLOOKUP(E76,Inspector!A$1:B$50,2,FALSE)</f>
      </c>
      <c r="I76" s="1" t="str">
        <f>VLOOKUP(D76,epiunits!A$1:J$4000,6,FALSE)</f>
      </c>
      <c r="J76" s="1" t="str">
        <f>VLOOKUP(D76,epiunits!A$1:J$4000,7,FALSE)</f>
      </c>
      <c r="K76" s="1" t="str">
        <f>VLOOKUP(D76,epiunits!A$1:J$4000,8,FALSE)</f>
      </c>
      <c r="L76" s="1" t="str">
        <f>VLOOKUP(D76,epiunits!A$1:J$4000,9,FALSE)</f>
      </c>
      <c r="M76" s="1" t="str">
        <f>VLOOKUP(D76,epiunits!A$1:J$4000,10,FALSE)</f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</row>
    <row r="77" spans="1:45">
      <c r="A77" s="1" t="str">
        <f>VLOOKUP(D77,epiunits!A$1:C$4000,2,FALSE)</f>
      </c>
      <c r="B77" s="1" t="str">
        <f>VLOOKUP(D77,epiunits!A$1:C$4000,3,FALSE)</f>
      </c>
      <c r="C77" s="1" t="str">
        <f>VLOOKUP(E77,Inspector!A$1:B$50,2,FALSE)</f>
      </c>
      <c r="I77" s="1" t="str">
        <f>VLOOKUP(D77,epiunits!A$1:J$4000,6,FALSE)</f>
      </c>
      <c r="J77" s="1" t="str">
        <f>VLOOKUP(D77,epiunits!A$1:J$4000,7,FALSE)</f>
      </c>
      <c r="K77" s="1" t="str">
        <f>VLOOKUP(D77,epiunits!A$1:J$4000,8,FALSE)</f>
      </c>
      <c r="L77" s="1" t="str">
        <f>VLOOKUP(D77,epiunits!A$1:J$4000,9,FALSE)</f>
      </c>
      <c r="M77" s="1" t="str">
        <f>VLOOKUP(D77,epiunits!A$1:J$4000,10,FALSE)</f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</row>
    <row r="78" spans="1:45">
      <c r="A78" s="1" t="str">
        <f>VLOOKUP(D78,epiunits!A$1:C$4000,2,FALSE)</f>
      </c>
      <c r="B78" s="1" t="str">
        <f>VLOOKUP(D78,epiunits!A$1:C$4000,3,FALSE)</f>
      </c>
      <c r="C78" s="1" t="str">
        <f>VLOOKUP(E78,Inspector!A$1:B$50,2,FALSE)</f>
      </c>
      <c r="I78" s="1" t="str">
        <f>VLOOKUP(D78,epiunits!A$1:J$4000,6,FALSE)</f>
      </c>
      <c r="J78" s="1" t="str">
        <f>VLOOKUP(D78,epiunits!A$1:J$4000,7,FALSE)</f>
      </c>
      <c r="K78" s="1" t="str">
        <f>VLOOKUP(D78,epiunits!A$1:J$4000,8,FALSE)</f>
      </c>
      <c r="L78" s="1" t="str">
        <f>VLOOKUP(D78,epiunits!A$1:J$4000,9,FALSE)</f>
      </c>
      <c r="M78" s="1" t="str">
        <f>VLOOKUP(D78,epiunits!A$1:J$4000,10,FALSE)</f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</row>
    <row r="79" spans="1:45">
      <c r="A79" s="1" t="str">
        <f>VLOOKUP(D79,epiunits!A$1:C$4000,2,FALSE)</f>
      </c>
      <c r="B79" s="1" t="str">
        <f>VLOOKUP(D79,epiunits!A$1:C$4000,3,FALSE)</f>
      </c>
      <c r="C79" s="1" t="str">
        <f>VLOOKUP(E79,Inspector!A$1:B$50,2,FALSE)</f>
      </c>
      <c r="I79" s="1" t="str">
        <f>VLOOKUP(D79,epiunits!A$1:J$4000,6,FALSE)</f>
      </c>
      <c r="J79" s="1" t="str">
        <f>VLOOKUP(D79,epiunits!A$1:J$4000,7,FALSE)</f>
      </c>
      <c r="K79" s="1" t="str">
        <f>VLOOKUP(D79,epiunits!A$1:J$4000,8,FALSE)</f>
      </c>
      <c r="L79" s="1" t="str">
        <f>VLOOKUP(D79,epiunits!A$1:J$4000,9,FALSE)</f>
      </c>
      <c r="M79" s="1" t="str">
        <f>VLOOKUP(D79,epiunits!A$1:J$4000,10,FALSE)</f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</row>
    <row r="80" spans="1:45">
      <c r="A80" s="1" t="str">
        <f>VLOOKUP(D80,epiunits!A$1:C$4000,2,FALSE)</f>
      </c>
      <c r="B80" s="1" t="str">
        <f>VLOOKUP(D80,epiunits!A$1:C$4000,3,FALSE)</f>
      </c>
      <c r="C80" s="1" t="str">
        <f>VLOOKUP(E80,Inspector!A$1:B$50,2,FALSE)</f>
      </c>
      <c r="I80" s="1" t="str">
        <f>VLOOKUP(D80,epiunits!A$1:J$4000,6,FALSE)</f>
      </c>
      <c r="J80" s="1" t="str">
        <f>VLOOKUP(D80,epiunits!A$1:J$4000,7,FALSE)</f>
      </c>
      <c r="K80" s="1" t="str">
        <f>VLOOKUP(D80,epiunits!A$1:J$4000,8,FALSE)</f>
      </c>
      <c r="L80" s="1" t="str">
        <f>VLOOKUP(D80,epiunits!A$1:J$4000,9,FALSE)</f>
      </c>
      <c r="M80" s="1" t="str">
        <f>VLOOKUP(D80,epiunits!A$1:J$4000,10,FALSE)</f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</row>
    <row r="81" spans="1:45">
      <c r="A81" s="1" t="str">
        <f>VLOOKUP(D81,epiunits!A$1:C$4000,2,FALSE)</f>
      </c>
      <c r="B81" s="1" t="str">
        <f>VLOOKUP(D81,epiunits!A$1:C$4000,3,FALSE)</f>
      </c>
      <c r="C81" s="1" t="str">
        <f>VLOOKUP(E81,Inspector!A$1:B$50,2,FALSE)</f>
      </c>
      <c r="I81" s="1" t="str">
        <f>VLOOKUP(D81,epiunits!A$1:J$4000,6,FALSE)</f>
      </c>
      <c r="J81" s="1" t="str">
        <f>VLOOKUP(D81,epiunits!A$1:J$4000,7,FALSE)</f>
      </c>
      <c r="K81" s="1" t="str">
        <f>VLOOKUP(D81,epiunits!A$1:J$4000,8,FALSE)</f>
      </c>
      <c r="L81" s="1" t="str">
        <f>VLOOKUP(D81,epiunits!A$1:J$4000,9,FALSE)</f>
      </c>
      <c r="M81" s="1" t="str">
        <f>VLOOKUP(D81,epiunits!A$1:J$4000,10,FALSE)</f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</row>
    <row r="82" spans="1:45">
      <c r="A82" s="1" t="str">
        <f>VLOOKUP(D82,epiunits!A$1:C$4000,2,FALSE)</f>
      </c>
      <c r="B82" s="1" t="str">
        <f>VLOOKUP(D82,epiunits!A$1:C$4000,3,FALSE)</f>
      </c>
      <c r="C82" s="1" t="str">
        <f>VLOOKUP(E82,Inspector!A$1:B$50,2,FALSE)</f>
      </c>
      <c r="I82" s="1" t="str">
        <f>VLOOKUP(D82,epiunits!A$1:J$4000,6,FALSE)</f>
      </c>
      <c r="J82" s="1" t="str">
        <f>VLOOKUP(D82,epiunits!A$1:J$4000,7,FALSE)</f>
      </c>
      <c r="K82" s="1" t="str">
        <f>VLOOKUP(D82,epiunits!A$1:J$4000,8,FALSE)</f>
      </c>
      <c r="L82" s="1" t="str">
        <f>VLOOKUP(D82,epiunits!A$1:J$4000,9,FALSE)</f>
      </c>
      <c r="M82" s="1" t="str">
        <f>VLOOKUP(D82,epiunits!A$1:J$4000,10,FALSE)</f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</row>
    <row r="83" spans="1:45">
      <c r="A83" s="1" t="str">
        <f>VLOOKUP(D83,epiunits!A$1:C$4000,2,FALSE)</f>
      </c>
      <c r="B83" s="1" t="str">
        <f>VLOOKUP(D83,epiunits!A$1:C$4000,3,FALSE)</f>
      </c>
      <c r="C83" s="1" t="str">
        <f>VLOOKUP(E83,Inspector!A$1:B$50,2,FALSE)</f>
      </c>
      <c r="I83" s="1" t="str">
        <f>VLOOKUP(D83,epiunits!A$1:J$4000,6,FALSE)</f>
      </c>
      <c r="J83" s="1" t="str">
        <f>VLOOKUP(D83,epiunits!A$1:J$4000,7,FALSE)</f>
      </c>
      <c r="K83" s="1" t="str">
        <f>VLOOKUP(D83,epiunits!A$1:J$4000,8,FALSE)</f>
      </c>
      <c r="L83" s="1" t="str">
        <f>VLOOKUP(D83,epiunits!A$1:J$4000,9,FALSE)</f>
      </c>
      <c r="M83" s="1" t="str">
        <f>VLOOKUP(D83,epiunits!A$1:J$4000,10,FALSE)</f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</row>
    <row r="84" spans="1:45">
      <c r="A84" s="1" t="str">
        <f>VLOOKUP(D84,epiunits!A$1:C$4000,2,FALSE)</f>
      </c>
      <c r="B84" s="1" t="str">
        <f>VLOOKUP(D84,epiunits!A$1:C$4000,3,FALSE)</f>
      </c>
      <c r="C84" s="1" t="str">
        <f>VLOOKUP(E84,Inspector!A$1:B$50,2,FALSE)</f>
      </c>
      <c r="I84" s="1" t="str">
        <f>VLOOKUP(D84,epiunits!A$1:J$4000,6,FALSE)</f>
      </c>
      <c r="J84" s="1" t="str">
        <f>VLOOKUP(D84,epiunits!A$1:J$4000,7,FALSE)</f>
      </c>
      <c r="K84" s="1" t="str">
        <f>VLOOKUP(D84,epiunits!A$1:J$4000,8,FALSE)</f>
      </c>
      <c r="L84" s="1" t="str">
        <f>VLOOKUP(D84,epiunits!A$1:J$4000,9,FALSE)</f>
      </c>
      <c r="M84" s="1" t="str">
        <f>VLOOKUP(D84,epiunits!A$1:J$4000,10,FALSE)</f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</row>
    <row r="85" spans="1:45">
      <c r="A85" s="1" t="str">
        <f>VLOOKUP(D85,epiunits!A$1:C$4000,2,FALSE)</f>
      </c>
      <c r="B85" s="1" t="str">
        <f>VLOOKUP(D85,epiunits!A$1:C$4000,3,FALSE)</f>
      </c>
      <c r="C85" s="1" t="str">
        <f>VLOOKUP(E85,Inspector!A$1:B$50,2,FALSE)</f>
      </c>
      <c r="I85" s="1" t="str">
        <f>VLOOKUP(D85,epiunits!A$1:J$4000,6,FALSE)</f>
      </c>
      <c r="J85" s="1" t="str">
        <f>VLOOKUP(D85,epiunits!A$1:J$4000,7,FALSE)</f>
      </c>
      <c r="K85" s="1" t="str">
        <f>VLOOKUP(D85,epiunits!A$1:J$4000,8,FALSE)</f>
      </c>
      <c r="L85" s="1" t="str">
        <f>VLOOKUP(D85,epiunits!A$1:J$4000,9,FALSE)</f>
      </c>
      <c r="M85" s="1" t="str">
        <f>VLOOKUP(D85,epiunits!A$1:J$4000,10,FALSE)</f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</row>
    <row r="86" spans="1:45">
      <c r="A86" s="1" t="str">
        <f>VLOOKUP(D86,epiunits!A$1:C$4000,2,FALSE)</f>
      </c>
      <c r="B86" s="1" t="str">
        <f>VLOOKUP(D86,epiunits!A$1:C$4000,3,FALSE)</f>
      </c>
      <c r="C86" s="1" t="str">
        <f>VLOOKUP(E86,Inspector!A$1:B$50,2,FALSE)</f>
      </c>
      <c r="I86" s="1" t="str">
        <f>VLOOKUP(D86,epiunits!A$1:J$4000,6,FALSE)</f>
      </c>
      <c r="J86" s="1" t="str">
        <f>VLOOKUP(D86,epiunits!A$1:J$4000,7,FALSE)</f>
      </c>
      <c r="K86" s="1" t="str">
        <f>VLOOKUP(D86,epiunits!A$1:J$4000,8,FALSE)</f>
      </c>
      <c r="L86" s="1" t="str">
        <f>VLOOKUP(D86,epiunits!A$1:J$4000,9,FALSE)</f>
      </c>
      <c r="M86" s="1" t="str">
        <f>VLOOKUP(D86,epiunits!A$1:J$4000,10,FALSE)</f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</row>
    <row r="87" spans="1:45">
      <c r="A87" s="1" t="str">
        <f>VLOOKUP(D87,epiunits!A$1:C$4000,2,FALSE)</f>
      </c>
      <c r="B87" s="1" t="str">
        <f>VLOOKUP(D87,epiunits!A$1:C$4000,3,FALSE)</f>
      </c>
      <c r="C87" s="1" t="str">
        <f>VLOOKUP(E87,Inspector!A$1:B$50,2,FALSE)</f>
      </c>
      <c r="I87" s="1" t="str">
        <f>VLOOKUP(D87,epiunits!A$1:J$4000,6,FALSE)</f>
      </c>
      <c r="J87" s="1" t="str">
        <f>VLOOKUP(D87,epiunits!A$1:J$4000,7,FALSE)</f>
      </c>
      <c r="K87" s="1" t="str">
        <f>VLOOKUP(D87,epiunits!A$1:J$4000,8,FALSE)</f>
      </c>
      <c r="L87" s="1" t="str">
        <f>VLOOKUP(D87,epiunits!A$1:J$4000,9,FALSE)</f>
      </c>
      <c r="M87" s="1" t="str">
        <f>VLOOKUP(D87,epiunits!A$1:J$4000,10,FALSE)</f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</row>
    <row r="88" spans="1:45">
      <c r="A88" s="1" t="str">
        <f>VLOOKUP(D88,epiunits!A$1:C$4000,2,FALSE)</f>
      </c>
      <c r="B88" s="1" t="str">
        <f>VLOOKUP(D88,epiunits!A$1:C$4000,3,FALSE)</f>
      </c>
      <c r="C88" s="1" t="str">
        <f>VLOOKUP(E88,Inspector!A$1:B$50,2,FALSE)</f>
      </c>
      <c r="I88" s="1" t="str">
        <f>VLOOKUP(D88,epiunits!A$1:J$4000,6,FALSE)</f>
      </c>
      <c r="J88" s="1" t="str">
        <f>VLOOKUP(D88,epiunits!A$1:J$4000,7,FALSE)</f>
      </c>
      <c r="K88" s="1" t="str">
        <f>VLOOKUP(D88,epiunits!A$1:J$4000,8,FALSE)</f>
      </c>
      <c r="L88" s="1" t="str">
        <f>VLOOKUP(D88,epiunits!A$1:J$4000,9,FALSE)</f>
      </c>
      <c r="M88" s="1" t="str">
        <f>VLOOKUP(D88,epiunits!A$1:J$4000,10,FALSE)</f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</row>
    <row r="89" spans="1:45">
      <c r="A89" s="1" t="str">
        <f>VLOOKUP(D89,epiunits!A$1:C$4000,2,FALSE)</f>
      </c>
      <c r="B89" s="1" t="str">
        <f>VLOOKUP(D89,epiunits!A$1:C$4000,3,FALSE)</f>
      </c>
      <c r="C89" s="1" t="str">
        <f>VLOOKUP(E89,Inspector!A$1:B$50,2,FALSE)</f>
      </c>
      <c r="I89" s="1" t="str">
        <f>VLOOKUP(D89,epiunits!A$1:J$4000,6,FALSE)</f>
      </c>
      <c r="J89" s="1" t="str">
        <f>VLOOKUP(D89,epiunits!A$1:J$4000,7,FALSE)</f>
      </c>
      <c r="K89" s="1" t="str">
        <f>VLOOKUP(D89,epiunits!A$1:J$4000,8,FALSE)</f>
      </c>
      <c r="L89" s="1" t="str">
        <f>VLOOKUP(D89,epiunits!A$1:J$4000,9,FALSE)</f>
      </c>
      <c r="M89" s="1" t="str">
        <f>VLOOKUP(D89,epiunits!A$1:J$4000,10,FALSE)</f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</row>
    <row r="90" spans="1:45">
      <c r="A90" s="1" t="str">
        <f>VLOOKUP(D90,epiunits!A$1:C$4000,2,FALSE)</f>
      </c>
      <c r="B90" s="1" t="str">
        <f>VLOOKUP(D90,epiunits!A$1:C$4000,3,FALSE)</f>
      </c>
      <c r="C90" s="1" t="str">
        <f>VLOOKUP(E90,Inspector!A$1:B$50,2,FALSE)</f>
      </c>
      <c r="I90" s="1" t="str">
        <f>VLOOKUP(D90,epiunits!A$1:J$4000,6,FALSE)</f>
      </c>
      <c r="J90" s="1" t="str">
        <f>VLOOKUP(D90,epiunits!A$1:J$4000,7,FALSE)</f>
      </c>
      <c r="K90" s="1" t="str">
        <f>VLOOKUP(D90,epiunits!A$1:J$4000,8,FALSE)</f>
      </c>
      <c r="L90" s="1" t="str">
        <f>VLOOKUP(D90,epiunits!A$1:J$4000,9,FALSE)</f>
      </c>
      <c r="M90" s="1" t="str">
        <f>VLOOKUP(D90,epiunits!A$1:J$4000,10,FALSE)</f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</row>
    <row r="91" spans="1:45">
      <c r="A91" s="1" t="str">
        <f>VLOOKUP(D91,epiunits!A$1:C$4000,2,FALSE)</f>
      </c>
      <c r="B91" s="1" t="str">
        <f>VLOOKUP(D91,epiunits!A$1:C$4000,3,FALSE)</f>
      </c>
      <c r="C91" s="1" t="str">
        <f>VLOOKUP(E91,Inspector!A$1:B$50,2,FALSE)</f>
      </c>
      <c r="I91" s="1" t="str">
        <f>VLOOKUP(D91,epiunits!A$1:J$4000,6,FALSE)</f>
      </c>
      <c r="J91" s="1" t="str">
        <f>VLOOKUP(D91,epiunits!A$1:J$4000,7,FALSE)</f>
      </c>
      <c r="K91" s="1" t="str">
        <f>VLOOKUP(D91,epiunits!A$1:J$4000,8,FALSE)</f>
      </c>
      <c r="L91" s="1" t="str">
        <f>VLOOKUP(D91,epiunits!A$1:J$4000,9,FALSE)</f>
      </c>
      <c r="M91" s="1" t="str">
        <f>VLOOKUP(D91,epiunits!A$1:J$4000,10,FALSE)</f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</row>
    <row r="92" spans="1:45">
      <c r="A92" s="1" t="str">
        <f>VLOOKUP(D92,epiunits!A$1:C$4000,2,FALSE)</f>
      </c>
      <c r="B92" s="1" t="str">
        <f>VLOOKUP(D92,epiunits!A$1:C$4000,3,FALSE)</f>
      </c>
      <c r="C92" s="1" t="str">
        <f>VLOOKUP(E92,Inspector!A$1:B$50,2,FALSE)</f>
      </c>
      <c r="I92" s="1" t="str">
        <f>VLOOKUP(D92,epiunits!A$1:J$4000,6,FALSE)</f>
      </c>
      <c r="J92" s="1" t="str">
        <f>VLOOKUP(D92,epiunits!A$1:J$4000,7,FALSE)</f>
      </c>
      <c r="K92" s="1" t="str">
        <f>VLOOKUP(D92,epiunits!A$1:J$4000,8,FALSE)</f>
      </c>
      <c r="L92" s="1" t="str">
        <f>VLOOKUP(D92,epiunits!A$1:J$4000,9,FALSE)</f>
      </c>
      <c r="M92" s="1" t="str">
        <f>VLOOKUP(D92,epiunits!A$1:J$4000,10,FALSE)</f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</row>
    <row r="93" spans="1:45">
      <c r="A93" s="1" t="str">
        <f>VLOOKUP(D93,epiunits!A$1:C$4000,2,FALSE)</f>
      </c>
      <c r="B93" s="1" t="str">
        <f>VLOOKUP(D93,epiunits!A$1:C$4000,3,FALSE)</f>
      </c>
      <c r="C93" s="1" t="str">
        <f>VLOOKUP(E93,Inspector!A$1:B$50,2,FALSE)</f>
      </c>
      <c r="I93" s="1" t="str">
        <f>VLOOKUP(D93,epiunits!A$1:J$4000,6,FALSE)</f>
      </c>
      <c r="J93" s="1" t="str">
        <f>VLOOKUP(D93,epiunits!A$1:J$4000,7,FALSE)</f>
      </c>
      <c r="K93" s="1" t="str">
        <f>VLOOKUP(D93,epiunits!A$1:J$4000,8,FALSE)</f>
      </c>
      <c r="L93" s="1" t="str">
        <f>VLOOKUP(D93,epiunits!A$1:J$4000,9,FALSE)</f>
      </c>
      <c r="M93" s="1" t="str">
        <f>VLOOKUP(D93,epiunits!A$1:J$4000,10,FALSE)</f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</row>
    <row r="94" spans="1:45">
      <c r="A94" s="1" t="str">
        <f>VLOOKUP(D94,epiunits!A$1:C$4000,2,FALSE)</f>
      </c>
      <c r="B94" s="1" t="str">
        <f>VLOOKUP(D94,epiunits!A$1:C$4000,3,FALSE)</f>
      </c>
      <c r="C94" s="1" t="str">
        <f>VLOOKUP(E94,Inspector!A$1:B$50,2,FALSE)</f>
      </c>
      <c r="I94" s="1" t="str">
        <f>VLOOKUP(D94,epiunits!A$1:J$4000,6,FALSE)</f>
      </c>
      <c r="J94" s="1" t="str">
        <f>VLOOKUP(D94,epiunits!A$1:J$4000,7,FALSE)</f>
      </c>
      <c r="K94" s="1" t="str">
        <f>VLOOKUP(D94,epiunits!A$1:J$4000,8,FALSE)</f>
      </c>
      <c r="L94" s="1" t="str">
        <f>VLOOKUP(D94,epiunits!A$1:J$4000,9,FALSE)</f>
      </c>
      <c r="M94" s="1" t="str">
        <f>VLOOKUP(D94,epiunits!A$1:J$4000,10,FALSE)</f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</row>
    <row r="95" spans="1:45">
      <c r="A95" s="1" t="str">
        <f>VLOOKUP(D95,epiunits!A$1:C$4000,2,FALSE)</f>
      </c>
      <c r="B95" s="1" t="str">
        <f>VLOOKUP(D95,epiunits!A$1:C$4000,3,FALSE)</f>
      </c>
      <c r="C95" s="1" t="str">
        <f>VLOOKUP(E95,Inspector!A$1:B$50,2,FALSE)</f>
      </c>
      <c r="I95" s="1" t="str">
        <f>VLOOKUP(D95,epiunits!A$1:J$4000,6,FALSE)</f>
      </c>
      <c r="J95" s="1" t="str">
        <f>VLOOKUP(D95,epiunits!A$1:J$4000,7,FALSE)</f>
      </c>
      <c r="K95" s="1" t="str">
        <f>VLOOKUP(D95,epiunits!A$1:J$4000,8,FALSE)</f>
      </c>
      <c r="L95" s="1" t="str">
        <f>VLOOKUP(D95,epiunits!A$1:J$4000,9,FALSE)</f>
      </c>
      <c r="M95" s="1" t="str">
        <f>VLOOKUP(D95,epiunits!A$1:J$4000,10,FALSE)</f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</row>
    <row r="96" spans="1:45">
      <c r="A96" s="1" t="str">
        <f>VLOOKUP(D96,epiunits!A$1:C$4000,2,FALSE)</f>
      </c>
      <c r="B96" s="1" t="str">
        <f>VLOOKUP(D96,epiunits!A$1:C$4000,3,FALSE)</f>
      </c>
      <c r="C96" s="1" t="str">
        <f>VLOOKUP(E96,Inspector!A$1:B$50,2,FALSE)</f>
      </c>
      <c r="I96" s="1" t="str">
        <f>VLOOKUP(D96,epiunits!A$1:J$4000,6,FALSE)</f>
      </c>
      <c r="J96" s="1" t="str">
        <f>VLOOKUP(D96,epiunits!A$1:J$4000,7,FALSE)</f>
      </c>
      <c r="K96" s="1" t="str">
        <f>VLOOKUP(D96,epiunits!A$1:J$4000,8,FALSE)</f>
      </c>
      <c r="L96" s="1" t="str">
        <f>VLOOKUP(D96,epiunits!A$1:J$4000,9,FALSE)</f>
      </c>
      <c r="M96" s="1" t="str">
        <f>VLOOKUP(D96,epiunits!A$1:J$4000,10,FALSE)</f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</row>
    <row r="97" spans="1:45">
      <c r="A97" s="1" t="str">
        <f>VLOOKUP(D97,epiunits!A$1:C$4000,2,FALSE)</f>
      </c>
      <c r="B97" s="1" t="str">
        <f>VLOOKUP(D97,epiunits!A$1:C$4000,3,FALSE)</f>
      </c>
      <c r="C97" s="1" t="str">
        <f>VLOOKUP(E97,Inspector!A$1:B$50,2,FALSE)</f>
      </c>
      <c r="I97" s="1" t="str">
        <f>VLOOKUP(D97,epiunits!A$1:J$4000,6,FALSE)</f>
      </c>
      <c r="J97" s="1" t="str">
        <f>VLOOKUP(D97,epiunits!A$1:J$4000,7,FALSE)</f>
      </c>
      <c r="K97" s="1" t="str">
        <f>VLOOKUP(D97,epiunits!A$1:J$4000,8,FALSE)</f>
      </c>
      <c r="L97" s="1" t="str">
        <f>VLOOKUP(D97,epiunits!A$1:J$4000,9,FALSE)</f>
      </c>
      <c r="M97" s="1" t="str">
        <f>VLOOKUP(D97,epiunits!A$1:J$4000,10,FALSE)</f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</row>
    <row r="98" spans="1:45">
      <c r="A98" s="1" t="str">
        <f>VLOOKUP(D98,epiunits!A$1:C$4000,2,FALSE)</f>
      </c>
      <c r="B98" s="1" t="str">
        <f>VLOOKUP(D98,epiunits!A$1:C$4000,3,FALSE)</f>
      </c>
      <c r="C98" s="1" t="str">
        <f>VLOOKUP(E98,Inspector!A$1:B$50,2,FALSE)</f>
      </c>
      <c r="I98" s="1" t="str">
        <f>VLOOKUP(D98,epiunits!A$1:J$4000,6,FALSE)</f>
      </c>
      <c r="J98" s="1" t="str">
        <f>VLOOKUP(D98,epiunits!A$1:J$4000,7,FALSE)</f>
      </c>
      <c r="K98" s="1" t="str">
        <f>VLOOKUP(D98,epiunits!A$1:J$4000,8,FALSE)</f>
      </c>
      <c r="L98" s="1" t="str">
        <f>VLOOKUP(D98,epiunits!A$1:J$4000,9,FALSE)</f>
      </c>
      <c r="M98" s="1" t="str">
        <f>VLOOKUP(D98,epiunits!A$1:J$4000,10,FALSE)</f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</row>
    <row r="99" spans="1:45">
      <c r="A99" s="1" t="str">
        <f>VLOOKUP(D99,epiunits!A$1:C$4000,2,FALSE)</f>
      </c>
      <c r="B99" s="1" t="str">
        <f>VLOOKUP(D99,epiunits!A$1:C$4000,3,FALSE)</f>
      </c>
      <c r="C99" s="1" t="str">
        <f>VLOOKUP(E99,Inspector!A$1:B$50,2,FALSE)</f>
      </c>
      <c r="I99" s="1" t="str">
        <f>VLOOKUP(D99,epiunits!A$1:J$4000,6,FALSE)</f>
      </c>
      <c r="J99" s="1" t="str">
        <f>VLOOKUP(D99,epiunits!A$1:J$4000,7,FALSE)</f>
      </c>
      <c r="K99" s="1" t="str">
        <f>VLOOKUP(D99,epiunits!A$1:J$4000,8,FALSE)</f>
      </c>
      <c r="L99" s="1" t="str">
        <f>VLOOKUP(D99,epiunits!A$1:J$4000,9,FALSE)</f>
      </c>
      <c r="M99" s="1" t="str">
        <f>VLOOKUP(D99,epiunits!A$1:J$4000,10,FALSE)</f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</row>
    <row r="100" spans="1:45">
      <c r="A100" s="1" t="str">
        <f>VLOOKUP(D100,epiunits!A$1:C$4000,2,FALSE)</f>
      </c>
      <c r="B100" s="1" t="str">
        <f>VLOOKUP(D100,epiunits!A$1:C$4000,3,FALSE)</f>
      </c>
      <c r="C100" s="1" t="str">
        <f>VLOOKUP(E100,Inspector!A$1:B$50,2,FALSE)</f>
      </c>
      <c r="I100" s="1" t="str">
        <f>VLOOKUP(D100,epiunits!A$1:J$4000,6,FALSE)</f>
      </c>
      <c r="J100" s="1" t="str">
        <f>VLOOKUP(D100,epiunits!A$1:J$4000,7,FALSE)</f>
      </c>
      <c r="K100" s="1" t="str">
        <f>VLOOKUP(D100,epiunits!A$1:J$4000,8,FALSE)</f>
      </c>
      <c r="L100" s="1" t="str">
        <f>VLOOKUP(D100,epiunits!A$1:J$4000,9,FALSE)</f>
      </c>
      <c r="M100" s="1" t="str">
        <f>VLOOKUP(D100,epiunits!A$1:J$4000,10,FALSE)</f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</row>
    <row r="101" spans="1:45">
      <c r="A101" s="1" t="str">
        <f>VLOOKUP(D101,epiunits!A$1:C$4000,2,FALSE)</f>
      </c>
      <c r="B101" s="1" t="str">
        <f>VLOOKUP(D101,epiunits!A$1:C$4000,3,FALSE)</f>
      </c>
      <c r="C101" s="1" t="str">
        <f>VLOOKUP(E101,Inspector!A$1:B$50,2,FALSE)</f>
      </c>
      <c r="I101" s="1" t="str">
        <f>VLOOKUP(D101,epiunits!A$1:J$4000,6,FALSE)</f>
      </c>
      <c r="J101" s="1" t="str">
        <f>VLOOKUP(D101,epiunits!A$1:J$4000,7,FALSE)</f>
      </c>
      <c r="K101" s="1" t="str">
        <f>VLOOKUP(D101,epiunits!A$1:J$4000,8,FALSE)</f>
      </c>
      <c r="L101" s="1" t="str">
        <f>VLOOKUP(D101,epiunits!A$1:J$4000,9,FALSE)</f>
      </c>
      <c r="M101" s="1" t="str">
        <f>VLOOKUP(D101,epiunits!A$1:J$4000,10,FALSE)</f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</row>
    <row r="102" spans="1:45">
      <c r="A102" s="1" t="str">
        <f>VLOOKUP(D102,epiunits!A$1:C$4000,2,FALSE)</f>
      </c>
      <c r="B102" s="1" t="str">
        <f>VLOOKUP(D102,epiunits!A$1:C$4000,3,FALSE)</f>
      </c>
      <c r="C102" s="1" t="str">
        <f>VLOOKUP(E102,Inspector!A$1:B$50,2,FALSE)</f>
      </c>
      <c r="I102" s="1" t="str">
        <f>VLOOKUP(D102,epiunits!A$1:J$4000,6,FALSE)</f>
      </c>
      <c r="J102" s="1" t="str">
        <f>VLOOKUP(D102,epiunits!A$1:J$4000,7,FALSE)</f>
      </c>
      <c r="K102" s="1" t="str">
        <f>VLOOKUP(D102,epiunits!A$1:J$4000,8,FALSE)</f>
      </c>
      <c r="L102" s="1" t="str">
        <f>VLOOKUP(D102,epiunits!A$1:J$4000,9,FALSE)</f>
      </c>
      <c r="M102" s="1" t="str">
        <f>VLOOKUP(D102,epiunits!A$1:J$4000,10,FALSE)</f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  <c r="AM102" s="1">
        <v>0</v>
      </c>
      <c r="AN102" s="1">
        <v>0</v>
      </c>
      <c r="AO102" s="1">
        <v>0</v>
      </c>
      <c r="AP102" s="1">
        <v>0</v>
      </c>
      <c r="AQ102" s="1">
        <v>0</v>
      </c>
      <c r="AR102" s="1">
        <v>0</v>
      </c>
      <c r="AS102" s="1">
        <v>0</v>
      </c>
    </row>
    <row r="103" spans="1:45">
      <c r="A103" s="1" t="str">
        <f>VLOOKUP(D103,epiunits!A$1:C$4000,2,FALSE)</f>
      </c>
      <c r="B103" s="1" t="str">
        <f>VLOOKUP(D103,epiunits!A$1:C$4000,3,FALSE)</f>
      </c>
      <c r="C103" s="1" t="str">
        <f>VLOOKUP(E103,Inspector!A$1:B$50,2,FALSE)</f>
      </c>
      <c r="I103" s="1" t="str">
        <f>VLOOKUP(D103,epiunits!A$1:J$4000,6,FALSE)</f>
      </c>
      <c r="J103" s="1" t="str">
        <f>VLOOKUP(D103,epiunits!A$1:J$4000,7,FALSE)</f>
      </c>
      <c r="K103" s="1" t="str">
        <f>VLOOKUP(D103,epiunits!A$1:J$4000,8,FALSE)</f>
      </c>
      <c r="L103" s="1" t="str">
        <f>VLOOKUP(D103,epiunits!A$1:J$4000,9,FALSE)</f>
      </c>
      <c r="M103" s="1" t="str">
        <f>VLOOKUP(D103,epiunits!A$1:J$4000,10,FALSE)</f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  <c r="AM103" s="1">
        <v>0</v>
      </c>
      <c r="AN103" s="1">
        <v>0</v>
      </c>
      <c r="AO103" s="1">
        <v>0</v>
      </c>
      <c r="AP103" s="1">
        <v>0</v>
      </c>
      <c r="AQ103" s="1">
        <v>0</v>
      </c>
      <c r="AR103" s="1">
        <v>0</v>
      </c>
      <c r="AS103" s="1">
        <v>0</v>
      </c>
    </row>
    <row r="104" spans="1:45">
      <c r="A104" s="1" t="str">
        <f>VLOOKUP(D104,epiunits!A$1:C$4000,2,FALSE)</f>
      </c>
      <c r="B104" s="1" t="str">
        <f>VLOOKUP(D104,epiunits!A$1:C$4000,3,FALSE)</f>
      </c>
      <c r="C104" s="1" t="str">
        <f>VLOOKUP(E104,Inspector!A$1:B$50,2,FALSE)</f>
      </c>
      <c r="I104" s="1" t="str">
        <f>VLOOKUP(D104,epiunits!A$1:J$4000,6,FALSE)</f>
      </c>
      <c r="J104" s="1" t="str">
        <f>VLOOKUP(D104,epiunits!A$1:J$4000,7,FALSE)</f>
      </c>
      <c r="K104" s="1" t="str">
        <f>VLOOKUP(D104,epiunits!A$1:J$4000,8,FALSE)</f>
      </c>
      <c r="L104" s="1" t="str">
        <f>VLOOKUP(D104,epiunits!A$1:J$4000,9,FALSE)</f>
      </c>
      <c r="M104" s="1" t="str">
        <f>VLOOKUP(D104,epiunits!A$1:J$4000,10,FALSE)</f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  <c r="AM104" s="1">
        <v>0</v>
      </c>
      <c r="AN104" s="1">
        <v>0</v>
      </c>
      <c r="AO104" s="1">
        <v>0</v>
      </c>
      <c r="AP104" s="1">
        <v>0</v>
      </c>
      <c r="AQ104" s="1">
        <v>0</v>
      </c>
      <c r="AR104" s="1">
        <v>0</v>
      </c>
      <c r="AS104" s="1">
        <v>0</v>
      </c>
    </row>
    <row r="105" spans="1:45">
      <c r="A105" s="1" t="str">
        <f>VLOOKUP(D105,epiunits!A$1:C$4000,2,FALSE)</f>
      </c>
      <c r="B105" s="1" t="str">
        <f>VLOOKUP(D105,epiunits!A$1:C$4000,3,FALSE)</f>
      </c>
      <c r="C105" s="1" t="str">
        <f>VLOOKUP(E105,Inspector!A$1:B$50,2,FALSE)</f>
      </c>
      <c r="I105" s="1" t="str">
        <f>VLOOKUP(D105,epiunits!A$1:J$4000,6,FALSE)</f>
      </c>
      <c r="J105" s="1" t="str">
        <f>VLOOKUP(D105,epiunits!A$1:J$4000,7,FALSE)</f>
      </c>
      <c r="K105" s="1" t="str">
        <f>VLOOKUP(D105,epiunits!A$1:J$4000,8,FALSE)</f>
      </c>
      <c r="L105" s="1" t="str">
        <f>VLOOKUP(D105,epiunits!A$1:J$4000,9,FALSE)</f>
      </c>
      <c r="M105" s="1" t="str">
        <f>VLOOKUP(D105,epiunits!A$1:J$4000,10,FALSE)</f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  <c r="AM105" s="1">
        <v>0</v>
      </c>
      <c r="AN105" s="1">
        <v>0</v>
      </c>
      <c r="AO105" s="1">
        <v>0</v>
      </c>
      <c r="AP105" s="1">
        <v>0</v>
      </c>
      <c r="AQ105" s="1">
        <v>0</v>
      </c>
      <c r="AR105" s="1">
        <v>0</v>
      </c>
      <c r="AS105" s="1">
        <v>0</v>
      </c>
    </row>
    <row r="106" spans="1:45">
      <c r="A106" s="1" t="str">
        <f>VLOOKUP(D106,epiunits!A$1:C$4000,2,FALSE)</f>
      </c>
      <c r="B106" s="1" t="str">
        <f>VLOOKUP(D106,epiunits!A$1:C$4000,3,FALSE)</f>
      </c>
      <c r="C106" s="1" t="str">
        <f>VLOOKUP(E106,Inspector!A$1:B$50,2,FALSE)</f>
      </c>
      <c r="I106" s="1" t="str">
        <f>VLOOKUP(D106,epiunits!A$1:J$4000,6,FALSE)</f>
      </c>
      <c r="J106" s="1" t="str">
        <f>VLOOKUP(D106,epiunits!A$1:J$4000,7,FALSE)</f>
      </c>
      <c r="K106" s="1" t="str">
        <f>VLOOKUP(D106,epiunits!A$1:J$4000,8,FALSE)</f>
      </c>
      <c r="L106" s="1" t="str">
        <f>VLOOKUP(D106,epiunits!A$1:J$4000,9,FALSE)</f>
      </c>
      <c r="M106" s="1" t="str">
        <f>VLOOKUP(D106,epiunits!A$1:J$4000,10,FALSE)</f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  <c r="AM106" s="1">
        <v>0</v>
      </c>
      <c r="AN106" s="1">
        <v>0</v>
      </c>
      <c r="AO106" s="1">
        <v>0</v>
      </c>
      <c r="AP106" s="1">
        <v>0</v>
      </c>
      <c r="AQ106" s="1">
        <v>0</v>
      </c>
      <c r="AR106" s="1">
        <v>0</v>
      </c>
      <c r="AS106" s="1">
        <v>0</v>
      </c>
    </row>
    <row r="107" spans="1:45">
      <c r="A107" s="1" t="str">
        <f>VLOOKUP(D107,epiunits!A$1:C$4000,2,FALSE)</f>
      </c>
      <c r="B107" s="1" t="str">
        <f>VLOOKUP(D107,epiunits!A$1:C$4000,3,FALSE)</f>
      </c>
      <c r="C107" s="1" t="str">
        <f>VLOOKUP(E107,Inspector!A$1:B$50,2,FALSE)</f>
      </c>
      <c r="I107" s="1" t="str">
        <f>VLOOKUP(D107,epiunits!A$1:J$4000,6,FALSE)</f>
      </c>
      <c r="J107" s="1" t="str">
        <f>VLOOKUP(D107,epiunits!A$1:J$4000,7,FALSE)</f>
      </c>
      <c r="K107" s="1" t="str">
        <f>VLOOKUP(D107,epiunits!A$1:J$4000,8,FALSE)</f>
      </c>
      <c r="L107" s="1" t="str">
        <f>VLOOKUP(D107,epiunits!A$1:J$4000,9,FALSE)</f>
      </c>
      <c r="M107" s="1" t="str">
        <f>VLOOKUP(D107,epiunits!A$1:J$4000,10,FALSE)</f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  <c r="AM107" s="1">
        <v>0</v>
      </c>
      <c r="AN107" s="1">
        <v>0</v>
      </c>
      <c r="AO107" s="1">
        <v>0</v>
      </c>
      <c r="AP107" s="1">
        <v>0</v>
      </c>
      <c r="AQ107" s="1">
        <v>0</v>
      </c>
      <c r="AR107" s="1">
        <v>0</v>
      </c>
      <c r="AS107" s="1">
        <v>0</v>
      </c>
    </row>
    <row r="108" spans="1:45">
      <c r="A108" s="1" t="str">
        <f>VLOOKUP(D108,epiunits!A$1:C$4000,2,FALSE)</f>
      </c>
      <c r="B108" s="1" t="str">
        <f>VLOOKUP(D108,epiunits!A$1:C$4000,3,FALSE)</f>
      </c>
      <c r="C108" s="1" t="str">
        <f>VLOOKUP(E108,Inspector!A$1:B$50,2,FALSE)</f>
      </c>
      <c r="I108" s="1" t="str">
        <f>VLOOKUP(D108,epiunits!A$1:J$4000,6,FALSE)</f>
      </c>
      <c r="J108" s="1" t="str">
        <f>VLOOKUP(D108,epiunits!A$1:J$4000,7,FALSE)</f>
      </c>
      <c r="K108" s="1" t="str">
        <f>VLOOKUP(D108,epiunits!A$1:J$4000,8,FALSE)</f>
      </c>
      <c r="L108" s="1" t="str">
        <f>VLOOKUP(D108,epiunits!A$1:J$4000,9,FALSE)</f>
      </c>
      <c r="M108" s="1" t="str">
        <f>VLOOKUP(D108,epiunits!A$1:J$4000,10,FALSE)</f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  <c r="AM108" s="1">
        <v>0</v>
      </c>
      <c r="AN108" s="1">
        <v>0</v>
      </c>
      <c r="AO108" s="1">
        <v>0</v>
      </c>
      <c r="AP108" s="1">
        <v>0</v>
      </c>
      <c r="AQ108" s="1">
        <v>0</v>
      </c>
      <c r="AR108" s="1">
        <v>0</v>
      </c>
      <c r="AS108" s="1">
        <v>0</v>
      </c>
    </row>
    <row r="109" spans="1:45">
      <c r="A109" s="1" t="str">
        <f>VLOOKUP(D109,epiunits!A$1:C$4000,2,FALSE)</f>
      </c>
      <c r="B109" s="1" t="str">
        <f>VLOOKUP(D109,epiunits!A$1:C$4000,3,FALSE)</f>
      </c>
      <c r="C109" s="1" t="str">
        <f>VLOOKUP(E109,Inspector!A$1:B$50,2,FALSE)</f>
      </c>
      <c r="I109" s="1" t="str">
        <f>VLOOKUP(D109,epiunits!A$1:J$4000,6,FALSE)</f>
      </c>
      <c r="J109" s="1" t="str">
        <f>VLOOKUP(D109,epiunits!A$1:J$4000,7,FALSE)</f>
      </c>
      <c r="K109" s="1" t="str">
        <f>VLOOKUP(D109,epiunits!A$1:J$4000,8,FALSE)</f>
      </c>
      <c r="L109" s="1" t="str">
        <f>VLOOKUP(D109,epiunits!A$1:J$4000,9,FALSE)</f>
      </c>
      <c r="M109" s="1" t="str">
        <f>VLOOKUP(D109,epiunits!A$1:J$4000,10,FALSE)</f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  <c r="AM109" s="1">
        <v>0</v>
      </c>
      <c r="AN109" s="1">
        <v>0</v>
      </c>
      <c r="AO109" s="1">
        <v>0</v>
      </c>
      <c r="AP109" s="1">
        <v>0</v>
      </c>
      <c r="AQ109" s="1">
        <v>0</v>
      </c>
      <c r="AR109" s="1">
        <v>0</v>
      </c>
      <c r="AS109" s="1">
        <v>0</v>
      </c>
    </row>
    <row r="110" spans="1:45">
      <c r="A110" s="1" t="str">
        <f>VLOOKUP(D110,epiunits!A$1:C$4000,2,FALSE)</f>
      </c>
      <c r="B110" s="1" t="str">
        <f>VLOOKUP(D110,epiunits!A$1:C$4000,3,FALSE)</f>
      </c>
      <c r="C110" s="1" t="str">
        <f>VLOOKUP(E110,Inspector!A$1:B$50,2,FALSE)</f>
      </c>
      <c r="I110" s="1" t="str">
        <f>VLOOKUP(D110,epiunits!A$1:J$4000,6,FALSE)</f>
      </c>
      <c r="J110" s="1" t="str">
        <f>VLOOKUP(D110,epiunits!A$1:J$4000,7,FALSE)</f>
      </c>
      <c r="K110" s="1" t="str">
        <f>VLOOKUP(D110,epiunits!A$1:J$4000,8,FALSE)</f>
      </c>
      <c r="L110" s="1" t="str">
        <f>VLOOKUP(D110,epiunits!A$1:J$4000,9,FALSE)</f>
      </c>
      <c r="M110" s="1" t="str">
        <f>VLOOKUP(D110,epiunits!A$1:J$4000,10,FALSE)</f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0</v>
      </c>
      <c r="AM110" s="1">
        <v>0</v>
      </c>
      <c r="AN110" s="1">
        <v>0</v>
      </c>
      <c r="AO110" s="1">
        <v>0</v>
      </c>
      <c r="AP110" s="1">
        <v>0</v>
      </c>
      <c r="AQ110" s="1">
        <v>0</v>
      </c>
      <c r="AR110" s="1">
        <v>0</v>
      </c>
      <c r="AS110" s="1">
        <v>0</v>
      </c>
    </row>
    <row r="111" spans="1:45">
      <c r="A111" s="1" t="str">
        <f>VLOOKUP(D111,epiunits!A$1:C$4000,2,FALSE)</f>
      </c>
      <c r="B111" s="1" t="str">
        <f>VLOOKUP(D111,epiunits!A$1:C$4000,3,FALSE)</f>
      </c>
      <c r="C111" s="1" t="str">
        <f>VLOOKUP(E111,Inspector!A$1:B$50,2,FALSE)</f>
      </c>
      <c r="I111" s="1" t="str">
        <f>VLOOKUP(D111,epiunits!A$1:J$4000,6,FALSE)</f>
      </c>
      <c r="J111" s="1" t="str">
        <f>VLOOKUP(D111,epiunits!A$1:J$4000,7,FALSE)</f>
      </c>
      <c r="K111" s="1" t="str">
        <f>VLOOKUP(D111,epiunits!A$1:J$4000,8,FALSE)</f>
      </c>
      <c r="L111" s="1" t="str">
        <f>VLOOKUP(D111,epiunits!A$1:J$4000,9,FALSE)</f>
      </c>
      <c r="M111" s="1" t="str">
        <f>VLOOKUP(D111,epiunits!A$1:J$4000,10,FALSE)</f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">
        <v>0</v>
      </c>
      <c r="AP111" s="1">
        <v>0</v>
      </c>
      <c r="AQ111" s="1">
        <v>0</v>
      </c>
      <c r="AR111" s="1">
        <v>0</v>
      </c>
      <c r="AS111" s="1">
        <v>0</v>
      </c>
    </row>
    <row r="112" spans="1:45">
      <c r="A112" s="1" t="str">
        <f>VLOOKUP(D112,epiunits!A$1:C$4000,2,FALSE)</f>
      </c>
      <c r="B112" s="1" t="str">
        <f>VLOOKUP(D112,epiunits!A$1:C$4000,3,FALSE)</f>
      </c>
      <c r="C112" s="1" t="str">
        <f>VLOOKUP(E112,Inspector!A$1:B$50,2,FALSE)</f>
      </c>
      <c r="I112" s="1" t="str">
        <f>VLOOKUP(D112,epiunits!A$1:J$4000,6,FALSE)</f>
      </c>
      <c r="J112" s="1" t="str">
        <f>VLOOKUP(D112,epiunits!A$1:J$4000,7,FALSE)</f>
      </c>
      <c r="K112" s="1" t="str">
        <f>VLOOKUP(D112,epiunits!A$1:J$4000,8,FALSE)</f>
      </c>
      <c r="L112" s="1" t="str">
        <f>VLOOKUP(D112,epiunits!A$1:J$4000,9,FALSE)</f>
      </c>
      <c r="M112" s="1" t="str">
        <f>VLOOKUP(D112,epiunits!A$1:J$4000,10,FALSE)</f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0</v>
      </c>
      <c r="AM112" s="1">
        <v>0</v>
      </c>
      <c r="AN112" s="1">
        <v>0</v>
      </c>
      <c r="AO112" s="1">
        <v>0</v>
      </c>
      <c r="AP112" s="1">
        <v>0</v>
      </c>
      <c r="AQ112" s="1">
        <v>0</v>
      </c>
      <c r="AR112" s="1">
        <v>0</v>
      </c>
      <c r="AS112" s="1">
        <v>0</v>
      </c>
    </row>
    <row r="113" spans="1:45">
      <c r="A113" s="1" t="str">
        <f>VLOOKUP(D113,epiunits!A$1:C$4000,2,FALSE)</f>
      </c>
      <c r="B113" s="1" t="str">
        <f>VLOOKUP(D113,epiunits!A$1:C$4000,3,FALSE)</f>
      </c>
      <c r="C113" s="1" t="str">
        <f>VLOOKUP(E113,Inspector!A$1:B$50,2,FALSE)</f>
      </c>
      <c r="I113" s="1" t="str">
        <f>VLOOKUP(D113,epiunits!A$1:J$4000,6,FALSE)</f>
      </c>
      <c r="J113" s="1" t="str">
        <f>VLOOKUP(D113,epiunits!A$1:J$4000,7,FALSE)</f>
      </c>
      <c r="K113" s="1" t="str">
        <f>VLOOKUP(D113,epiunits!A$1:J$4000,8,FALSE)</f>
      </c>
      <c r="L113" s="1" t="str">
        <f>VLOOKUP(D113,epiunits!A$1:J$4000,9,FALSE)</f>
      </c>
      <c r="M113" s="1" t="str">
        <f>VLOOKUP(D113,epiunits!A$1:J$4000,10,FALSE)</f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  <c r="AM113" s="1">
        <v>0</v>
      </c>
      <c r="AN113" s="1">
        <v>0</v>
      </c>
      <c r="AO113" s="1">
        <v>0</v>
      </c>
      <c r="AP113" s="1">
        <v>0</v>
      </c>
      <c r="AQ113" s="1">
        <v>0</v>
      </c>
      <c r="AR113" s="1">
        <v>0</v>
      </c>
      <c r="AS113" s="1">
        <v>0</v>
      </c>
    </row>
    <row r="114" spans="1:45">
      <c r="A114" s="1" t="str">
        <f>VLOOKUP(D114,epiunits!A$1:C$4000,2,FALSE)</f>
      </c>
      <c r="B114" s="1" t="str">
        <f>VLOOKUP(D114,epiunits!A$1:C$4000,3,FALSE)</f>
      </c>
      <c r="C114" s="1" t="str">
        <f>VLOOKUP(E114,Inspector!A$1:B$50,2,FALSE)</f>
      </c>
      <c r="I114" s="1" t="str">
        <f>VLOOKUP(D114,epiunits!A$1:J$4000,6,FALSE)</f>
      </c>
      <c r="J114" s="1" t="str">
        <f>VLOOKUP(D114,epiunits!A$1:J$4000,7,FALSE)</f>
      </c>
      <c r="K114" s="1" t="str">
        <f>VLOOKUP(D114,epiunits!A$1:J$4000,8,FALSE)</f>
      </c>
      <c r="L114" s="1" t="str">
        <f>VLOOKUP(D114,epiunits!A$1:J$4000,9,FALSE)</f>
      </c>
      <c r="M114" s="1" t="str">
        <f>VLOOKUP(D114,epiunits!A$1:J$4000,10,FALSE)</f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  <c r="AM114" s="1">
        <v>0</v>
      </c>
      <c r="AN114" s="1">
        <v>0</v>
      </c>
      <c r="AO114" s="1">
        <v>0</v>
      </c>
      <c r="AP114" s="1">
        <v>0</v>
      </c>
      <c r="AQ114" s="1">
        <v>0</v>
      </c>
      <c r="AR114" s="1">
        <v>0</v>
      </c>
      <c r="AS114" s="1">
        <v>0</v>
      </c>
    </row>
    <row r="115" spans="1:45">
      <c r="A115" s="1" t="str">
        <f>VLOOKUP(D115,epiunits!A$1:C$4000,2,FALSE)</f>
      </c>
      <c r="B115" s="1" t="str">
        <f>VLOOKUP(D115,epiunits!A$1:C$4000,3,FALSE)</f>
      </c>
      <c r="C115" s="1" t="str">
        <f>VLOOKUP(E115,Inspector!A$1:B$50,2,FALSE)</f>
      </c>
      <c r="I115" s="1" t="str">
        <f>VLOOKUP(D115,epiunits!A$1:J$4000,6,FALSE)</f>
      </c>
      <c r="J115" s="1" t="str">
        <f>VLOOKUP(D115,epiunits!A$1:J$4000,7,FALSE)</f>
      </c>
      <c r="K115" s="1" t="str">
        <f>VLOOKUP(D115,epiunits!A$1:J$4000,8,FALSE)</f>
      </c>
      <c r="L115" s="1" t="str">
        <f>VLOOKUP(D115,epiunits!A$1:J$4000,9,FALSE)</f>
      </c>
      <c r="M115" s="1" t="str">
        <f>VLOOKUP(D115,epiunits!A$1:J$4000,10,FALSE)</f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  <c r="AM115" s="1">
        <v>0</v>
      </c>
      <c r="AN115" s="1">
        <v>0</v>
      </c>
      <c r="AO115" s="1">
        <v>0</v>
      </c>
      <c r="AP115" s="1">
        <v>0</v>
      </c>
      <c r="AQ115" s="1">
        <v>0</v>
      </c>
      <c r="AR115" s="1">
        <v>0</v>
      </c>
      <c r="AS115" s="1">
        <v>0</v>
      </c>
    </row>
    <row r="116" spans="1:45">
      <c r="A116" s="1" t="str">
        <f>VLOOKUP(D116,epiunits!A$1:C$4000,2,FALSE)</f>
      </c>
      <c r="B116" s="1" t="str">
        <f>VLOOKUP(D116,epiunits!A$1:C$4000,3,FALSE)</f>
      </c>
      <c r="C116" s="1" t="str">
        <f>VLOOKUP(E116,Inspector!A$1:B$50,2,FALSE)</f>
      </c>
      <c r="I116" s="1" t="str">
        <f>VLOOKUP(D116,epiunits!A$1:J$4000,6,FALSE)</f>
      </c>
      <c r="J116" s="1" t="str">
        <f>VLOOKUP(D116,epiunits!A$1:J$4000,7,FALSE)</f>
      </c>
      <c r="K116" s="1" t="str">
        <f>VLOOKUP(D116,epiunits!A$1:J$4000,8,FALSE)</f>
      </c>
      <c r="L116" s="1" t="str">
        <f>VLOOKUP(D116,epiunits!A$1:J$4000,9,FALSE)</f>
      </c>
      <c r="M116" s="1" t="str">
        <f>VLOOKUP(D116,epiunits!A$1:J$4000,10,FALSE)</f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  <c r="AM116" s="1">
        <v>0</v>
      </c>
      <c r="AN116" s="1">
        <v>0</v>
      </c>
      <c r="AO116" s="1">
        <v>0</v>
      </c>
      <c r="AP116" s="1">
        <v>0</v>
      </c>
      <c r="AQ116" s="1">
        <v>0</v>
      </c>
      <c r="AR116" s="1">
        <v>0</v>
      </c>
      <c r="AS116" s="1">
        <v>0</v>
      </c>
    </row>
    <row r="117" spans="1:45">
      <c r="A117" s="1" t="str">
        <f>VLOOKUP(D117,epiunits!A$1:C$4000,2,FALSE)</f>
      </c>
      <c r="B117" s="1" t="str">
        <f>VLOOKUP(D117,epiunits!A$1:C$4000,3,FALSE)</f>
      </c>
      <c r="C117" s="1" t="str">
        <f>VLOOKUP(E117,Inspector!A$1:B$50,2,FALSE)</f>
      </c>
      <c r="I117" s="1" t="str">
        <f>VLOOKUP(D117,epiunits!A$1:J$4000,6,FALSE)</f>
      </c>
      <c r="J117" s="1" t="str">
        <f>VLOOKUP(D117,epiunits!A$1:J$4000,7,FALSE)</f>
      </c>
      <c r="K117" s="1" t="str">
        <f>VLOOKUP(D117,epiunits!A$1:J$4000,8,FALSE)</f>
      </c>
      <c r="L117" s="1" t="str">
        <f>VLOOKUP(D117,epiunits!A$1:J$4000,9,FALSE)</f>
      </c>
      <c r="M117" s="1" t="str">
        <f>VLOOKUP(D117,epiunits!A$1:J$4000,10,FALSE)</f>
      </c>
      <c r="N117" s="1">
        <v>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">
        <v>0</v>
      </c>
      <c r="AP117" s="1">
        <v>0</v>
      </c>
      <c r="AQ117" s="1">
        <v>0</v>
      </c>
      <c r="AR117" s="1">
        <v>0</v>
      </c>
      <c r="AS117" s="1">
        <v>0</v>
      </c>
    </row>
    <row r="118" spans="1:45">
      <c r="A118" s="1" t="str">
        <f>VLOOKUP(D118,epiunits!A$1:C$4000,2,FALSE)</f>
      </c>
      <c r="B118" s="1" t="str">
        <f>VLOOKUP(D118,epiunits!A$1:C$4000,3,FALSE)</f>
      </c>
      <c r="C118" s="1" t="str">
        <f>VLOOKUP(E118,Inspector!A$1:B$50,2,FALSE)</f>
      </c>
      <c r="I118" s="1" t="str">
        <f>VLOOKUP(D118,epiunits!A$1:J$4000,6,FALSE)</f>
      </c>
      <c r="J118" s="1" t="str">
        <f>VLOOKUP(D118,epiunits!A$1:J$4000,7,FALSE)</f>
      </c>
      <c r="K118" s="1" t="str">
        <f>VLOOKUP(D118,epiunits!A$1:J$4000,8,FALSE)</f>
      </c>
      <c r="L118" s="1" t="str">
        <f>VLOOKUP(D118,epiunits!A$1:J$4000,9,FALSE)</f>
      </c>
      <c r="M118" s="1" t="str">
        <f>VLOOKUP(D118,epiunits!A$1:J$4000,10,FALSE)</f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0</v>
      </c>
      <c r="AE118" s="1">
        <v>0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  <c r="AM118" s="1">
        <v>0</v>
      </c>
      <c r="AN118" s="1">
        <v>0</v>
      </c>
      <c r="AO118" s="1">
        <v>0</v>
      </c>
      <c r="AP118" s="1">
        <v>0</v>
      </c>
      <c r="AQ118" s="1">
        <v>0</v>
      </c>
      <c r="AR118" s="1">
        <v>0</v>
      </c>
      <c r="AS118" s="1">
        <v>0</v>
      </c>
    </row>
    <row r="119" spans="1:45">
      <c r="A119" s="1" t="str">
        <f>VLOOKUP(D119,epiunits!A$1:C$4000,2,FALSE)</f>
      </c>
      <c r="B119" s="1" t="str">
        <f>VLOOKUP(D119,epiunits!A$1:C$4000,3,FALSE)</f>
      </c>
      <c r="C119" s="1" t="str">
        <f>VLOOKUP(E119,Inspector!A$1:B$50,2,FALSE)</f>
      </c>
      <c r="I119" s="1" t="str">
        <f>VLOOKUP(D119,epiunits!A$1:J$4000,6,FALSE)</f>
      </c>
      <c r="J119" s="1" t="str">
        <f>VLOOKUP(D119,epiunits!A$1:J$4000,7,FALSE)</f>
      </c>
      <c r="K119" s="1" t="str">
        <f>VLOOKUP(D119,epiunits!A$1:J$4000,8,FALSE)</f>
      </c>
      <c r="L119" s="1" t="str">
        <f>VLOOKUP(D119,epiunits!A$1:J$4000,9,FALSE)</f>
      </c>
      <c r="M119" s="1" t="str">
        <f>VLOOKUP(D119,epiunits!A$1:J$4000,10,FALSE)</f>
      </c>
      <c r="N119" s="1">
        <v>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  <c r="AM119" s="1">
        <v>0</v>
      </c>
      <c r="AN119" s="1">
        <v>0</v>
      </c>
      <c r="AO119" s="1">
        <v>0</v>
      </c>
      <c r="AP119" s="1">
        <v>0</v>
      </c>
      <c r="AQ119" s="1">
        <v>0</v>
      </c>
      <c r="AR119" s="1">
        <v>0</v>
      </c>
      <c r="AS119" s="1">
        <v>0</v>
      </c>
    </row>
    <row r="120" spans="1:45">
      <c r="A120" s="1" t="str">
        <f>VLOOKUP(D120,epiunits!A$1:C$4000,2,FALSE)</f>
      </c>
      <c r="B120" s="1" t="str">
        <f>VLOOKUP(D120,epiunits!A$1:C$4000,3,FALSE)</f>
      </c>
      <c r="C120" s="1" t="str">
        <f>VLOOKUP(E120,Inspector!A$1:B$50,2,FALSE)</f>
      </c>
      <c r="I120" s="1" t="str">
        <f>VLOOKUP(D120,epiunits!A$1:J$4000,6,FALSE)</f>
      </c>
      <c r="J120" s="1" t="str">
        <f>VLOOKUP(D120,epiunits!A$1:J$4000,7,FALSE)</f>
      </c>
      <c r="K120" s="1" t="str">
        <f>VLOOKUP(D120,epiunits!A$1:J$4000,8,FALSE)</f>
      </c>
      <c r="L120" s="1" t="str">
        <f>VLOOKUP(D120,epiunits!A$1:J$4000,9,FALSE)</f>
      </c>
      <c r="M120" s="1" t="str">
        <f>VLOOKUP(D120,epiunits!A$1:J$4000,10,FALSE)</f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  <c r="AM120" s="1">
        <v>0</v>
      </c>
      <c r="AN120" s="1">
        <v>0</v>
      </c>
      <c r="AO120" s="1">
        <v>0</v>
      </c>
      <c r="AP120" s="1">
        <v>0</v>
      </c>
      <c r="AQ120" s="1">
        <v>0</v>
      </c>
      <c r="AR120" s="1">
        <v>0</v>
      </c>
      <c r="AS120" s="1">
        <v>0</v>
      </c>
    </row>
    <row r="121" spans="1:45">
      <c r="A121" s="1" t="str">
        <f>VLOOKUP(D121,epiunits!A$1:C$4000,2,FALSE)</f>
      </c>
      <c r="B121" s="1" t="str">
        <f>VLOOKUP(D121,epiunits!A$1:C$4000,3,FALSE)</f>
      </c>
      <c r="C121" s="1" t="str">
        <f>VLOOKUP(E121,Inspector!A$1:B$50,2,FALSE)</f>
      </c>
      <c r="I121" s="1" t="str">
        <f>VLOOKUP(D121,epiunits!A$1:J$4000,6,FALSE)</f>
      </c>
      <c r="J121" s="1" t="str">
        <f>VLOOKUP(D121,epiunits!A$1:J$4000,7,FALSE)</f>
      </c>
      <c r="K121" s="1" t="str">
        <f>VLOOKUP(D121,epiunits!A$1:J$4000,8,FALSE)</f>
      </c>
      <c r="L121" s="1" t="str">
        <f>VLOOKUP(D121,epiunits!A$1:J$4000,9,FALSE)</f>
      </c>
      <c r="M121" s="1" t="str">
        <f>VLOOKUP(D121,epiunits!A$1:J$4000,10,FALSE)</f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  <c r="AM121" s="1">
        <v>0</v>
      </c>
      <c r="AN121" s="1">
        <v>0</v>
      </c>
      <c r="AO121" s="1">
        <v>0</v>
      </c>
      <c r="AP121" s="1">
        <v>0</v>
      </c>
      <c r="AQ121" s="1">
        <v>0</v>
      </c>
      <c r="AR121" s="1">
        <v>0</v>
      </c>
      <c r="AS121" s="1">
        <v>0</v>
      </c>
    </row>
    <row r="122" spans="1:45">
      <c r="A122" s="1" t="str">
        <f>VLOOKUP(D122,epiunits!A$1:C$4000,2,FALSE)</f>
      </c>
      <c r="B122" s="1" t="str">
        <f>VLOOKUP(D122,epiunits!A$1:C$4000,3,FALSE)</f>
      </c>
      <c r="C122" s="1" t="str">
        <f>VLOOKUP(E122,Inspector!A$1:B$50,2,FALSE)</f>
      </c>
      <c r="I122" s="1" t="str">
        <f>VLOOKUP(D122,epiunits!A$1:J$4000,6,FALSE)</f>
      </c>
      <c r="J122" s="1" t="str">
        <f>VLOOKUP(D122,epiunits!A$1:J$4000,7,FALSE)</f>
      </c>
      <c r="K122" s="1" t="str">
        <f>VLOOKUP(D122,epiunits!A$1:J$4000,8,FALSE)</f>
      </c>
      <c r="L122" s="1" t="str">
        <f>VLOOKUP(D122,epiunits!A$1:J$4000,9,FALSE)</f>
      </c>
      <c r="M122" s="1" t="str">
        <f>VLOOKUP(D122,epiunits!A$1:J$4000,10,FALSE)</f>
      </c>
      <c r="N122" s="1">
        <v>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  <c r="AM122" s="1">
        <v>0</v>
      </c>
      <c r="AN122" s="1">
        <v>0</v>
      </c>
      <c r="AO122" s="1">
        <v>0</v>
      </c>
      <c r="AP122" s="1">
        <v>0</v>
      </c>
      <c r="AQ122" s="1">
        <v>0</v>
      </c>
      <c r="AR122" s="1">
        <v>0</v>
      </c>
      <c r="AS122" s="1">
        <v>0</v>
      </c>
    </row>
    <row r="123" spans="1:45">
      <c r="A123" s="1" t="str">
        <f>VLOOKUP(D123,epiunits!A$1:C$4000,2,FALSE)</f>
      </c>
      <c r="B123" s="1" t="str">
        <f>VLOOKUP(D123,epiunits!A$1:C$4000,3,FALSE)</f>
      </c>
      <c r="C123" s="1" t="str">
        <f>VLOOKUP(E123,Inspector!A$1:B$50,2,FALSE)</f>
      </c>
      <c r="I123" s="1" t="str">
        <f>VLOOKUP(D123,epiunits!A$1:J$4000,6,FALSE)</f>
      </c>
      <c r="J123" s="1" t="str">
        <f>VLOOKUP(D123,epiunits!A$1:J$4000,7,FALSE)</f>
      </c>
      <c r="K123" s="1" t="str">
        <f>VLOOKUP(D123,epiunits!A$1:J$4000,8,FALSE)</f>
      </c>
      <c r="L123" s="1" t="str">
        <f>VLOOKUP(D123,epiunits!A$1:J$4000,9,FALSE)</f>
      </c>
      <c r="M123" s="1" t="str">
        <f>VLOOKUP(D123,epiunits!A$1:J$4000,10,FALSE)</f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0</v>
      </c>
      <c r="AJ123" s="1">
        <v>0</v>
      </c>
      <c r="AK123" s="1">
        <v>0</v>
      </c>
      <c r="AL123" s="1">
        <v>0</v>
      </c>
      <c r="AM123" s="1">
        <v>0</v>
      </c>
      <c r="AN123" s="1">
        <v>0</v>
      </c>
      <c r="AO123" s="1">
        <v>0</v>
      </c>
      <c r="AP123" s="1">
        <v>0</v>
      </c>
      <c r="AQ123" s="1">
        <v>0</v>
      </c>
      <c r="AR123" s="1">
        <v>0</v>
      </c>
      <c r="AS123" s="1">
        <v>0</v>
      </c>
    </row>
    <row r="124" spans="1:45">
      <c r="A124" s="1" t="str">
        <f>VLOOKUP(D124,epiunits!A$1:C$4000,2,FALSE)</f>
      </c>
      <c r="B124" s="1" t="str">
        <f>VLOOKUP(D124,epiunits!A$1:C$4000,3,FALSE)</f>
      </c>
      <c r="C124" s="1" t="str">
        <f>VLOOKUP(E124,Inspector!A$1:B$50,2,FALSE)</f>
      </c>
      <c r="I124" s="1" t="str">
        <f>VLOOKUP(D124,epiunits!A$1:J$4000,6,FALSE)</f>
      </c>
      <c r="J124" s="1" t="str">
        <f>VLOOKUP(D124,epiunits!A$1:J$4000,7,FALSE)</f>
      </c>
      <c r="K124" s="1" t="str">
        <f>VLOOKUP(D124,epiunits!A$1:J$4000,8,FALSE)</f>
      </c>
      <c r="L124" s="1" t="str">
        <f>VLOOKUP(D124,epiunits!A$1:J$4000,9,FALSE)</f>
      </c>
      <c r="M124" s="1" t="str">
        <f>VLOOKUP(D124,epiunits!A$1:J$4000,10,FALSE)</f>
      </c>
      <c r="N124" s="1">
        <v>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0</v>
      </c>
      <c r="AN124" s="1">
        <v>0</v>
      </c>
      <c r="AO124" s="1">
        <v>0</v>
      </c>
      <c r="AP124" s="1">
        <v>0</v>
      </c>
      <c r="AQ124" s="1">
        <v>0</v>
      </c>
      <c r="AR124" s="1">
        <v>0</v>
      </c>
      <c r="AS124" s="1">
        <v>0</v>
      </c>
    </row>
    <row r="125" spans="1:45">
      <c r="A125" s="1" t="str">
        <f>VLOOKUP(D125,epiunits!A$1:C$4000,2,FALSE)</f>
      </c>
      <c r="B125" s="1" t="str">
        <f>VLOOKUP(D125,epiunits!A$1:C$4000,3,FALSE)</f>
      </c>
      <c r="C125" s="1" t="str">
        <f>VLOOKUP(E125,Inspector!A$1:B$50,2,FALSE)</f>
      </c>
      <c r="I125" s="1" t="str">
        <f>VLOOKUP(D125,epiunits!A$1:J$4000,6,FALSE)</f>
      </c>
      <c r="J125" s="1" t="str">
        <f>VLOOKUP(D125,epiunits!A$1:J$4000,7,FALSE)</f>
      </c>
      <c r="K125" s="1" t="str">
        <f>VLOOKUP(D125,epiunits!A$1:J$4000,8,FALSE)</f>
      </c>
      <c r="L125" s="1" t="str">
        <f>VLOOKUP(D125,epiunits!A$1:J$4000,9,FALSE)</f>
      </c>
      <c r="M125" s="1" t="str">
        <f>VLOOKUP(D125,epiunits!A$1:J$4000,10,FALSE)</f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0</v>
      </c>
      <c r="AE125" s="1">
        <v>0</v>
      </c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">
        <v>0</v>
      </c>
      <c r="AP125" s="1">
        <v>0</v>
      </c>
      <c r="AQ125" s="1">
        <v>0</v>
      </c>
      <c r="AR125" s="1">
        <v>0</v>
      </c>
      <c r="AS125" s="1">
        <v>0</v>
      </c>
    </row>
    <row r="126" spans="1:45">
      <c r="A126" s="1" t="str">
        <f>VLOOKUP(D126,epiunits!A$1:C$4000,2,FALSE)</f>
      </c>
      <c r="B126" s="1" t="str">
        <f>VLOOKUP(D126,epiunits!A$1:C$4000,3,FALSE)</f>
      </c>
      <c r="C126" s="1" t="str">
        <f>VLOOKUP(E126,Inspector!A$1:B$50,2,FALSE)</f>
      </c>
      <c r="I126" s="1" t="str">
        <f>VLOOKUP(D126,epiunits!A$1:J$4000,6,FALSE)</f>
      </c>
      <c r="J126" s="1" t="str">
        <f>VLOOKUP(D126,epiunits!A$1:J$4000,7,FALSE)</f>
      </c>
      <c r="K126" s="1" t="str">
        <f>VLOOKUP(D126,epiunits!A$1:J$4000,8,FALSE)</f>
      </c>
      <c r="L126" s="1" t="str">
        <f>VLOOKUP(D126,epiunits!A$1:J$4000,9,FALSE)</f>
      </c>
      <c r="M126" s="1" t="str">
        <f>VLOOKUP(D126,epiunits!A$1:J$4000,10,FALSE)</f>
      </c>
      <c r="N126" s="1">
        <v>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D126" s="1">
        <v>0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v>0</v>
      </c>
      <c r="AL126" s="1">
        <v>0</v>
      </c>
      <c r="AM126" s="1">
        <v>0</v>
      </c>
      <c r="AN126" s="1">
        <v>0</v>
      </c>
      <c r="AO126" s="1">
        <v>0</v>
      </c>
      <c r="AP126" s="1">
        <v>0</v>
      </c>
      <c r="AQ126" s="1">
        <v>0</v>
      </c>
      <c r="AR126" s="1">
        <v>0</v>
      </c>
      <c r="AS126" s="1">
        <v>0</v>
      </c>
    </row>
    <row r="127" spans="1:45">
      <c r="A127" s="1" t="str">
        <f>VLOOKUP(D127,epiunits!A$1:C$4000,2,FALSE)</f>
      </c>
      <c r="B127" s="1" t="str">
        <f>VLOOKUP(D127,epiunits!A$1:C$4000,3,FALSE)</f>
      </c>
      <c r="C127" s="1" t="str">
        <f>VLOOKUP(E127,Inspector!A$1:B$50,2,FALSE)</f>
      </c>
      <c r="I127" s="1" t="str">
        <f>VLOOKUP(D127,epiunits!A$1:J$4000,6,FALSE)</f>
      </c>
      <c r="J127" s="1" t="str">
        <f>VLOOKUP(D127,epiunits!A$1:J$4000,7,FALSE)</f>
      </c>
      <c r="K127" s="1" t="str">
        <f>VLOOKUP(D127,epiunits!A$1:J$4000,8,FALSE)</f>
      </c>
      <c r="L127" s="1" t="str">
        <f>VLOOKUP(D127,epiunits!A$1:J$4000,9,FALSE)</f>
      </c>
      <c r="M127" s="1" t="str">
        <f>VLOOKUP(D127,epiunits!A$1:J$4000,10,FALSE)</f>
      </c>
      <c r="N127" s="1">
        <v>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0</v>
      </c>
      <c r="AD127" s="1">
        <v>0</v>
      </c>
      <c r="AE127" s="1">
        <v>0</v>
      </c>
      <c r="AF127" s="1">
        <v>0</v>
      </c>
      <c r="AG127" s="1">
        <v>0</v>
      </c>
      <c r="AH127" s="1">
        <v>0</v>
      </c>
      <c r="AI127" s="1">
        <v>0</v>
      </c>
      <c r="AJ127" s="1">
        <v>0</v>
      </c>
      <c r="AK127" s="1">
        <v>0</v>
      </c>
      <c r="AL127" s="1">
        <v>0</v>
      </c>
      <c r="AM127" s="1">
        <v>0</v>
      </c>
      <c r="AN127" s="1">
        <v>0</v>
      </c>
      <c r="AO127" s="1">
        <v>0</v>
      </c>
      <c r="AP127" s="1">
        <v>0</v>
      </c>
      <c r="AQ127" s="1">
        <v>0</v>
      </c>
      <c r="AR127" s="1">
        <v>0</v>
      </c>
      <c r="AS127" s="1">
        <v>0</v>
      </c>
    </row>
    <row r="128" spans="1:45">
      <c r="A128" s="1" t="str">
        <f>VLOOKUP(D128,epiunits!A$1:C$4000,2,FALSE)</f>
      </c>
      <c r="B128" s="1" t="str">
        <f>VLOOKUP(D128,epiunits!A$1:C$4000,3,FALSE)</f>
      </c>
      <c r="C128" s="1" t="str">
        <f>VLOOKUP(E128,Inspector!A$1:B$50,2,FALSE)</f>
      </c>
      <c r="I128" s="1" t="str">
        <f>VLOOKUP(D128,epiunits!A$1:J$4000,6,FALSE)</f>
      </c>
      <c r="J128" s="1" t="str">
        <f>VLOOKUP(D128,epiunits!A$1:J$4000,7,FALSE)</f>
      </c>
      <c r="K128" s="1" t="str">
        <f>VLOOKUP(D128,epiunits!A$1:J$4000,8,FALSE)</f>
      </c>
      <c r="L128" s="1" t="str">
        <f>VLOOKUP(D128,epiunits!A$1:J$4000,9,FALSE)</f>
      </c>
      <c r="M128" s="1" t="str">
        <f>VLOOKUP(D128,epiunits!A$1:J$4000,10,FALSE)</f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>
        <v>0</v>
      </c>
      <c r="AE128" s="1">
        <v>0</v>
      </c>
      <c r="AF128" s="1">
        <v>0</v>
      </c>
      <c r="AG128" s="1">
        <v>0</v>
      </c>
      <c r="AH128" s="1">
        <v>0</v>
      </c>
      <c r="AI128" s="1">
        <v>0</v>
      </c>
      <c r="AJ128" s="1">
        <v>0</v>
      </c>
      <c r="AK128" s="1">
        <v>0</v>
      </c>
      <c r="AL128" s="1">
        <v>0</v>
      </c>
      <c r="AM128" s="1">
        <v>0</v>
      </c>
      <c r="AN128" s="1">
        <v>0</v>
      </c>
      <c r="AO128" s="1">
        <v>0</v>
      </c>
      <c r="AP128" s="1">
        <v>0</v>
      </c>
      <c r="AQ128" s="1">
        <v>0</v>
      </c>
      <c r="AR128" s="1">
        <v>0</v>
      </c>
      <c r="AS128" s="1">
        <v>0</v>
      </c>
    </row>
    <row r="129" spans="1:45">
      <c r="A129" s="1" t="str">
        <f>VLOOKUP(D129,epiunits!A$1:C$4000,2,FALSE)</f>
      </c>
      <c r="B129" s="1" t="str">
        <f>VLOOKUP(D129,epiunits!A$1:C$4000,3,FALSE)</f>
      </c>
      <c r="C129" s="1" t="str">
        <f>VLOOKUP(E129,Inspector!A$1:B$50,2,FALSE)</f>
      </c>
      <c r="I129" s="1" t="str">
        <f>VLOOKUP(D129,epiunits!A$1:J$4000,6,FALSE)</f>
      </c>
      <c r="J129" s="1" t="str">
        <f>VLOOKUP(D129,epiunits!A$1:J$4000,7,FALSE)</f>
      </c>
      <c r="K129" s="1" t="str">
        <f>VLOOKUP(D129,epiunits!A$1:J$4000,8,FALSE)</f>
      </c>
      <c r="L129" s="1" t="str">
        <f>VLOOKUP(D129,epiunits!A$1:J$4000,9,FALSE)</f>
      </c>
      <c r="M129" s="1" t="str">
        <f>VLOOKUP(D129,epiunits!A$1:J$4000,10,FALSE)</f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v>0</v>
      </c>
      <c r="AL129" s="1">
        <v>0</v>
      </c>
      <c r="AM129" s="1">
        <v>0</v>
      </c>
      <c r="AN129" s="1">
        <v>0</v>
      </c>
      <c r="AO129" s="1">
        <v>0</v>
      </c>
      <c r="AP129" s="1">
        <v>0</v>
      </c>
      <c r="AQ129" s="1">
        <v>0</v>
      </c>
      <c r="AR129" s="1">
        <v>0</v>
      </c>
      <c r="AS129" s="1">
        <v>0</v>
      </c>
    </row>
    <row r="130" spans="1:45">
      <c r="A130" s="1" t="str">
        <f>VLOOKUP(D130,epiunits!A$1:C$4000,2,FALSE)</f>
      </c>
      <c r="B130" s="1" t="str">
        <f>VLOOKUP(D130,epiunits!A$1:C$4000,3,FALSE)</f>
      </c>
      <c r="C130" s="1" t="str">
        <f>VLOOKUP(E130,Inspector!A$1:B$50,2,FALSE)</f>
      </c>
      <c r="I130" s="1" t="str">
        <f>VLOOKUP(D130,epiunits!A$1:J$4000,6,FALSE)</f>
      </c>
      <c r="J130" s="1" t="str">
        <f>VLOOKUP(D130,epiunits!A$1:J$4000,7,FALSE)</f>
      </c>
      <c r="K130" s="1" t="str">
        <f>VLOOKUP(D130,epiunits!A$1:J$4000,8,FALSE)</f>
      </c>
      <c r="L130" s="1" t="str">
        <f>VLOOKUP(D130,epiunits!A$1:J$4000,9,FALSE)</f>
      </c>
      <c r="M130" s="1" t="str">
        <f>VLOOKUP(D130,epiunits!A$1:J$4000,10,FALSE)</f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>
        <v>0</v>
      </c>
      <c r="AH130" s="1">
        <v>0</v>
      </c>
      <c r="AI130" s="1">
        <v>0</v>
      </c>
      <c r="AJ130" s="1">
        <v>0</v>
      </c>
      <c r="AK130" s="1">
        <v>0</v>
      </c>
      <c r="AL130" s="1">
        <v>0</v>
      </c>
      <c r="AM130" s="1">
        <v>0</v>
      </c>
      <c r="AN130" s="1">
        <v>0</v>
      </c>
      <c r="AO130" s="1">
        <v>0</v>
      </c>
      <c r="AP130" s="1">
        <v>0</v>
      </c>
      <c r="AQ130" s="1">
        <v>0</v>
      </c>
      <c r="AR130" s="1">
        <v>0</v>
      </c>
      <c r="AS130" s="1">
        <v>0</v>
      </c>
    </row>
    <row r="131" spans="1:45">
      <c r="A131" s="1" t="str">
        <f>VLOOKUP(D131,epiunits!A$1:C$4000,2,FALSE)</f>
      </c>
      <c r="B131" s="1" t="str">
        <f>VLOOKUP(D131,epiunits!A$1:C$4000,3,FALSE)</f>
      </c>
      <c r="C131" s="1" t="str">
        <f>VLOOKUP(E131,Inspector!A$1:B$50,2,FALSE)</f>
      </c>
      <c r="I131" s="1" t="str">
        <f>VLOOKUP(D131,epiunits!A$1:J$4000,6,FALSE)</f>
      </c>
      <c r="J131" s="1" t="str">
        <f>VLOOKUP(D131,epiunits!A$1:J$4000,7,FALSE)</f>
      </c>
      <c r="K131" s="1" t="str">
        <f>VLOOKUP(D131,epiunits!A$1:J$4000,8,FALSE)</f>
      </c>
      <c r="L131" s="1" t="str">
        <f>VLOOKUP(D131,epiunits!A$1:J$4000,9,FALSE)</f>
      </c>
      <c r="M131" s="1" t="str">
        <f>VLOOKUP(D131,epiunits!A$1:J$4000,10,FALSE)</f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1">
        <v>0</v>
      </c>
      <c r="AE131" s="1">
        <v>0</v>
      </c>
      <c r="AF131" s="1">
        <v>0</v>
      </c>
      <c r="AG131" s="1">
        <v>0</v>
      </c>
      <c r="AH131" s="1">
        <v>0</v>
      </c>
      <c r="AI131" s="1">
        <v>0</v>
      </c>
      <c r="AJ131" s="1">
        <v>0</v>
      </c>
      <c r="AK131" s="1">
        <v>0</v>
      </c>
      <c r="AL131" s="1">
        <v>0</v>
      </c>
      <c r="AM131" s="1">
        <v>0</v>
      </c>
      <c r="AN131" s="1">
        <v>0</v>
      </c>
      <c r="AO131" s="1">
        <v>0</v>
      </c>
      <c r="AP131" s="1">
        <v>0</v>
      </c>
      <c r="AQ131" s="1">
        <v>0</v>
      </c>
      <c r="AR131" s="1">
        <v>0</v>
      </c>
      <c r="AS131" s="1">
        <v>0</v>
      </c>
    </row>
    <row r="132" spans="1:45">
      <c r="A132" s="1" t="str">
        <f>VLOOKUP(D132,epiunits!A$1:C$4000,2,FALSE)</f>
      </c>
      <c r="B132" s="1" t="str">
        <f>VLOOKUP(D132,epiunits!A$1:C$4000,3,FALSE)</f>
      </c>
      <c r="C132" s="1" t="str">
        <f>VLOOKUP(E132,Inspector!A$1:B$50,2,FALSE)</f>
      </c>
      <c r="I132" s="1" t="str">
        <f>VLOOKUP(D132,epiunits!A$1:J$4000,6,FALSE)</f>
      </c>
      <c r="J132" s="1" t="str">
        <f>VLOOKUP(D132,epiunits!A$1:J$4000,7,FALSE)</f>
      </c>
      <c r="K132" s="1" t="str">
        <f>VLOOKUP(D132,epiunits!A$1:J$4000,8,FALSE)</f>
      </c>
      <c r="L132" s="1" t="str">
        <f>VLOOKUP(D132,epiunits!A$1:J$4000,9,FALSE)</f>
      </c>
      <c r="M132" s="1" t="str">
        <f>VLOOKUP(D132,epiunits!A$1:J$4000,10,FALSE)</f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0</v>
      </c>
      <c r="AD132" s="1">
        <v>0</v>
      </c>
      <c r="AE132" s="1">
        <v>0</v>
      </c>
      <c r="AF132" s="1">
        <v>0</v>
      </c>
      <c r="AG132" s="1">
        <v>0</v>
      </c>
      <c r="AH132" s="1">
        <v>0</v>
      </c>
      <c r="AI132" s="1">
        <v>0</v>
      </c>
      <c r="AJ132" s="1">
        <v>0</v>
      </c>
      <c r="AK132" s="1">
        <v>0</v>
      </c>
      <c r="AL132" s="1">
        <v>0</v>
      </c>
      <c r="AM132" s="1">
        <v>0</v>
      </c>
      <c r="AN132" s="1">
        <v>0</v>
      </c>
      <c r="AO132" s="1">
        <v>0</v>
      </c>
      <c r="AP132" s="1">
        <v>0</v>
      </c>
      <c r="AQ132" s="1">
        <v>0</v>
      </c>
      <c r="AR132" s="1">
        <v>0</v>
      </c>
      <c r="AS132" s="1">
        <v>0</v>
      </c>
    </row>
    <row r="133" spans="1:45">
      <c r="A133" s="1" t="str">
        <f>VLOOKUP(D133,epiunits!A$1:C$4000,2,FALSE)</f>
      </c>
      <c r="B133" s="1" t="str">
        <f>VLOOKUP(D133,epiunits!A$1:C$4000,3,FALSE)</f>
      </c>
      <c r="C133" s="1" t="str">
        <f>VLOOKUP(E133,Inspector!A$1:B$50,2,FALSE)</f>
      </c>
      <c r="I133" s="1" t="str">
        <f>VLOOKUP(D133,epiunits!A$1:J$4000,6,FALSE)</f>
      </c>
      <c r="J133" s="1" t="str">
        <f>VLOOKUP(D133,epiunits!A$1:J$4000,7,FALSE)</f>
      </c>
      <c r="K133" s="1" t="str">
        <f>VLOOKUP(D133,epiunits!A$1:J$4000,8,FALSE)</f>
      </c>
      <c r="L133" s="1" t="str">
        <f>VLOOKUP(D133,epiunits!A$1:J$4000,9,FALSE)</f>
      </c>
      <c r="M133" s="1" t="str">
        <f>VLOOKUP(D133,epiunits!A$1:J$4000,10,FALSE)</f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0</v>
      </c>
      <c r="AD133" s="1">
        <v>0</v>
      </c>
      <c r="AE133" s="1">
        <v>0</v>
      </c>
      <c r="AF133" s="1">
        <v>0</v>
      </c>
      <c r="AG133" s="1">
        <v>0</v>
      </c>
      <c r="AH133" s="1">
        <v>0</v>
      </c>
      <c r="AI133" s="1">
        <v>0</v>
      </c>
      <c r="AJ133" s="1">
        <v>0</v>
      </c>
      <c r="AK133" s="1">
        <v>0</v>
      </c>
      <c r="AL133" s="1">
        <v>0</v>
      </c>
      <c r="AM133" s="1">
        <v>0</v>
      </c>
      <c r="AN133" s="1">
        <v>0</v>
      </c>
      <c r="AO133" s="1">
        <v>0</v>
      </c>
      <c r="AP133" s="1">
        <v>0</v>
      </c>
      <c r="AQ133" s="1">
        <v>0</v>
      </c>
      <c r="AR133" s="1">
        <v>0</v>
      </c>
      <c r="AS133" s="1">
        <v>0</v>
      </c>
    </row>
    <row r="134" spans="1:45">
      <c r="A134" s="1" t="str">
        <f>VLOOKUP(D134,epiunits!A$1:C$4000,2,FALSE)</f>
      </c>
      <c r="B134" s="1" t="str">
        <f>VLOOKUP(D134,epiunits!A$1:C$4000,3,FALSE)</f>
      </c>
      <c r="C134" s="1" t="str">
        <f>VLOOKUP(E134,Inspector!A$1:B$50,2,FALSE)</f>
      </c>
      <c r="I134" s="1" t="str">
        <f>VLOOKUP(D134,epiunits!A$1:J$4000,6,FALSE)</f>
      </c>
      <c r="J134" s="1" t="str">
        <f>VLOOKUP(D134,epiunits!A$1:J$4000,7,FALSE)</f>
      </c>
      <c r="K134" s="1" t="str">
        <f>VLOOKUP(D134,epiunits!A$1:J$4000,8,FALSE)</f>
      </c>
      <c r="L134" s="1" t="str">
        <f>VLOOKUP(D134,epiunits!A$1:J$4000,9,FALSE)</f>
      </c>
      <c r="M134" s="1" t="str">
        <f>VLOOKUP(D134,epiunits!A$1:J$4000,10,FALSE)</f>
      </c>
      <c r="N134" s="1">
        <v>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>
        <v>0</v>
      </c>
      <c r="AH134" s="1">
        <v>0</v>
      </c>
      <c r="AI134" s="1">
        <v>0</v>
      </c>
      <c r="AJ134" s="1">
        <v>0</v>
      </c>
      <c r="AK134" s="1">
        <v>0</v>
      </c>
      <c r="AL134" s="1">
        <v>0</v>
      </c>
      <c r="AM134" s="1">
        <v>0</v>
      </c>
      <c r="AN134" s="1">
        <v>0</v>
      </c>
      <c r="AO134" s="1">
        <v>0</v>
      </c>
      <c r="AP134" s="1">
        <v>0</v>
      </c>
      <c r="AQ134" s="1">
        <v>0</v>
      </c>
      <c r="AR134" s="1">
        <v>0</v>
      </c>
      <c r="AS134" s="1">
        <v>0</v>
      </c>
    </row>
    <row r="135" spans="1:45">
      <c r="A135" s="1" t="str">
        <f>VLOOKUP(D135,epiunits!A$1:C$4000,2,FALSE)</f>
      </c>
      <c r="B135" s="1" t="str">
        <f>VLOOKUP(D135,epiunits!A$1:C$4000,3,FALSE)</f>
      </c>
      <c r="C135" s="1" t="str">
        <f>VLOOKUP(E135,Inspector!A$1:B$50,2,FALSE)</f>
      </c>
      <c r="I135" s="1" t="str">
        <f>VLOOKUP(D135,epiunits!A$1:J$4000,6,FALSE)</f>
      </c>
      <c r="J135" s="1" t="str">
        <f>VLOOKUP(D135,epiunits!A$1:J$4000,7,FALSE)</f>
      </c>
      <c r="K135" s="1" t="str">
        <f>VLOOKUP(D135,epiunits!A$1:J$4000,8,FALSE)</f>
      </c>
      <c r="L135" s="1" t="str">
        <f>VLOOKUP(D135,epiunits!A$1:J$4000,9,FALSE)</f>
      </c>
      <c r="M135" s="1" t="str">
        <f>VLOOKUP(D135,epiunits!A$1:J$4000,10,FALSE)</f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0</v>
      </c>
      <c r="AE135" s="1">
        <v>0</v>
      </c>
      <c r="AF135" s="1">
        <v>0</v>
      </c>
      <c r="AG135" s="1">
        <v>0</v>
      </c>
      <c r="AH135" s="1">
        <v>0</v>
      </c>
      <c r="AI135" s="1">
        <v>0</v>
      </c>
      <c r="AJ135" s="1">
        <v>0</v>
      </c>
      <c r="AK135" s="1">
        <v>0</v>
      </c>
      <c r="AL135" s="1">
        <v>0</v>
      </c>
      <c r="AM135" s="1">
        <v>0</v>
      </c>
      <c r="AN135" s="1">
        <v>0</v>
      </c>
      <c r="AO135" s="1">
        <v>0</v>
      </c>
      <c r="AP135" s="1">
        <v>0</v>
      </c>
      <c r="AQ135" s="1">
        <v>0</v>
      </c>
      <c r="AR135" s="1">
        <v>0</v>
      </c>
      <c r="AS135" s="1">
        <v>0</v>
      </c>
    </row>
    <row r="136" spans="1:45">
      <c r="A136" s="1" t="str">
        <f>VLOOKUP(D136,epiunits!A$1:C$4000,2,FALSE)</f>
      </c>
      <c r="B136" s="1" t="str">
        <f>VLOOKUP(D136,epiunits!A$1:C$4000,3,FALSE)</f>
      </c>
      <c r="C136" s="1" t="str">
        <f>VLOOKUP(E136,Inspector!A$1:B$50,2,FALSE)</f>
      </c>
      <c r="I136" s="1" t="str">
        <f>VLOOKUP(D136,epiunits!A$1:J$4000,6,FALSE)</f>
      </c>
      <c r="J136" s="1" t="str">
        <f>VLOOKUP(D136,epiunits!A$1:J$4000,7,FALSE)</f>
      </c>
      <c r="K136" s="1" t="str">
        <f>VLOOKUP(D136,epiunits!A$1:J$4000,8,FALSE)</f>
      </c>
      <c r="L136" s="1" t="str">
        <f>VLOOKUP(D136,epiunits!A$1:J$4000,9,FALSE)</f>
      </c>
      <c r="M136" s="1" t="str">
        <f>VLOOKUP(D136,epiunits!A$1:J$4000,10,FALSE)</f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>
        <v>0</v>
      </c>
      <c r="AH136" s="1">
        <v>0</v>
      </c>
      <c r="AI136" s="1">
        <v>0</v>
      </c>
      <c r="AJ136" s="1">
        <v>0</v>
      </c>
      <c r="AK136" s="1">
        <v>0</v>
      </c>
      <c r="AL136" s="1">
        <v>0</v>
      </c>
      <c r="AM136" s="1">
        <v>0</v>
      </c>
      <c r="AN136" s="1">
        <v>0</v>
      </c>
      <c r="AO136" s="1">
        <v>0</v>
      </c>
      <c r="AP136" s="1">
        <v>0</v>
      </c>
      <c r="AQ136" s="1">
        <v>0</v>
      </c>
      <c r="AR136" s="1">
        <v>0</v>
      </c>
      <c r="AS136" s="1">
        <v>0</v>
      </c>
    </row>
    <row r="137" spans="1:45">
      <c r="A137" s="1" t="str">
        <f>VLOOKUP(D137,epiunits!A$1:C$4000,2,FALSE)</f>
      </c>
      <c r="B137" s="1" t="str">
        <f>VLOOKUP(D137,epiunits!A$1:C$4000,3,FALSE)</f>
      </c>
      <c r="C137" s="1" t="str">
        <f>VLOOKUP(E137,Inspector!A$1:B$50,2,FALSE)</f>
      </c>
      <c r="I137" s="1" t="str">
        <f>VLOOKUP(D137,epiunits!A$1:J$4000,6,FALSE)</f>
      </c>
      <c r="J137" s="1" t="str">
        <f>VLOOKUP(D137,epiunits!A$1:J$4000,7,FALSE)</f>
      </c>
      <c r="K137" s="1" t="str">
        <f>VLOOKUP(D137,epiunits!A$1:J$4000,8,FALSE)</f>
      </c>
      <c r="L137" s="1" t="str">
        <f>VLOOKUP(D137,epiunits!A$1:J$4000,9,FALSE)</f>
      </c>
      <c r="M137" s="1" t="str">
        <f>VLOOKUP(D137,epiunits!A$1:J$4000,10,FALSE)</f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>
        <v>0</v>
      </c>
      <c r="AH137" s="1">
        <v>0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">
        <v>0</v>
      </c>
      <c r="AP137" s="1">
        <v>0</v>
      </c>
      <c r="AQ137" s="1">
        <v>0</v>
      </c>
      <c r="AR137" s="1">
        <v>0</v>
      </c>
      <c r="AS137" s="1">
        <v>0</v>
      </c>
    </row>
    <row r="138" spans="1:45">
      <c r="A138" s="1" t="str">
        <f>VLOOKUP(D138,epiunits!A$1:C$4000,2,FALSE)</f>
      </c>
      <c r="B138" s="1" t="str">
        <f>VLOOKUP(D138,epiunits!A$1:C$4000,3,FALSE)</f>
      </c>
      <c r="C138" s="1" t="str">
        <f>VLOOKUP(E138,Inspector!A$1:B$50,2,FALSE)</f>
      </c>
      <c r="I138" s="1" t="str">
        <f>VLOOKUP(D138,epiunits!A$1:J$4000,6,FALSE)</f>
      </c>
      <c r="J138" s="1" t="str">
        <f>VLOOKUP(D138,epiunits!A$1:J$4000,7,FALSE)</f>
      </c>
      <c r="K138" s="1" t="str">
        <f>VLOOKUP(D138,epiunits!A$1:J$4000,8,FALSE)</f>
      </c>
      <c r="L138" s="1" t="str">
        <f>VLOOKUP(D138,epiunits!A$1:J$4000,9,FALSE)</f>
      </c>
      <c r="M138" s="1" t="str">
        <f>VLOOKUP(D138,epiunits!A$1:J$4000,10,FALSE)</f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>
        <v>0</v>
      </c>
      <c r="AH138" s="1">
        <v>0</v>
      </c>
      <c r="AI138" s="1">
        <v>0</v>
      </c>
      <c r="AJ138" s="1">
        <v>0</v>
      </c>
      <c r="AK138" s="1">
        <v>0</v>
      </c>
      <c r="AL138" s="1">
        <v>0</v>
      </c>
      <c r="AM138" s="1">
        <v>0</v>
      </c>
      <c r="AN138" s="1">
        <v>0</v>
      </c>
      <c r="AO138" s="1">
        <v>0</v>
      </c>
      <c r="AP138" s="1">
        <v>0</v>
      </c>
      <c r="AQ138" s="1">
        <v>0</v>
      </c>
      <c r="AR138" s="1">
        <v>0</v>
      </c>
      <c r="AS138" s="1">
        <v>0</v>
      </c>
    </row>
    <row r="139" spans="1:45">
      <c r="A139" s="1" t="str">
        <f>VLOOKUP(D139,epiunits!A$1:C$4000,2,FALSE)</f>
      </c>
      <c r="B139" s="1" t="str">
        <f>VLOOKUP(D139,epiunits!A$1:C$4000,3,FALSE)</f>
      </c>
      <c r="C139" s="1" t="str">
        <f>VLOOKUP(E139,Inspector!A$1:B$50,2,FALSE)</f>
      </c>
      <c r="I139" s="1" t="str">
        <f>VLOOKUP(D139,epiunits!A$1:J$4000,6,FALSE)</f>
      </c>
      <c r="J139" s="1" t="str">
        <f>VLOOKUP(D139,epiunits!A$1:J$4000,7,FALSE)</f>
      </c>
      <c r="K139" s="1" t="str">
        <f>VLOOKUP(D139,epiunits!A$1:J$4000,8,FALSE)</f>
      </c>
      <c r="L139" s="1" t="str">
        <f>VLOOKUP(D139,epiunits!A$1:J$4000,9,FALSE)</f>
      </c>
      <c r="M139" s="1" t="str">
        <f>VLOOKUP(D139,epiunits!A$1:J$4000,10,FALSE)</f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0</v>
      </c>
      <c r="AD139" s="1">
        <v>0</v>
      </c>
      <c r="AE139" s="1">
        <v>0</v>
      </c>
      <c r="AF139" s="1">
        <v>0</v>
      </c>
      <c r="AG139" s="1">
        <v>0</v>
      </c>
      <c r="AH139" s="1">
        <v>0</v>
      </c>
      <c r="AI139" s="1">
        <v>0</v>
      </c>
      <c r="AJ139" s="1">
        <v>0</v>
      </c>
      <c r="AK139" s="1">
        <v>0</v>
      </c>
      <c r="AL139" s="1">
        <v>0</v>
      </c>
      <c r="AM139" s="1">
        <v>0</v>
      </c>
      <c r="AN139" s="1">
        <v>0</v>
      </c>
      <c r="AO139" s="1">
        <v>0</v>
      </c>
      <c r="AP139" s="1">
        <v>0</v>
      </c>
      <c r="AQ139" s="1">
        <v>0</v>
      </c>
      <c r="AR139" s="1">
        <v>0</v>
      </c>
      <c r="AS139" s="1">
        <v>0</v>
      </c>
    </row>
    <row r="140" spans="1:45">
      <c r="A140" s="1" t="str">
        <f>VLOOKUP(D140,epiunits!A$1:C$4000,2,FALSE)</f>
      </c>
      <c r="B140" s="1" t="str">
        <f>VLOOKUP(D140,epiunits!A$1:C$4000,3,FALSE)</f>
      </c>
      <c r="C140" s="1" t="str">
        <f>VLOOKUP(E140,Inspector!A$1:B$50,2,FALSE)</f>
      </c>
      <c r="I140" s="1" t="str">
        <f>VLOOKUP(D140,epiunits!A$1:J$4000,6,FALSE)</f>
      </c>
      <c r="J140" s="1" t="str">
        <f>VLOOKUP(D140,epiunits!A$1:J$4000,7,FALSE)</f>
      </c>
      <c r="K140" s="1" t="str">
        <f>VLOOKUP(D140,epiunits!A$1:J$4000,8,FALSE)</f>
      </c>
      <c r="L140" s="1" t="str">
        <f>VLOOKUP(D140,epiunits!A$1:J$4000,9,FALSE)</f>
      </c>
      <c r="M140" s="1" t="str">
        <f>VLOOKUP(D140,epiunits!A$1:J$4000,10,FALSE)</f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  <c r="AD140" s="1">
        <v>0</v>
      </c>
      <c r="AE140" s="1">
        <v>0</v>
      </c>
      <c r="AF140" s="1">
        <v>0</v>
      </c>
      <c r="AG140" s="1">
        <v>0</v>
      </c>
      <c r="AH140" s="1">
        <v>0</v>
      </c>
      <c r="AI140" s="1">
        <v>0</v>
      </c>
      <c r="AJ140" s="1">
        <v>0</v>
      </c>
      <c r="AK140" s="1">
        <v>0</v>
      </c>
      <c r="AL140" s="1">
        <v>0</v>
      </c>
      <c r="AM140" s="1">
        <v>0</v>
      </c>
      <c r="AN140" s="1">
        <v>0</v>
      </c>
      <c r="AO140" s="1">
        <v>0</v>
      </c>
      <c r="AP140" s="1">
        <v>0</v>
      </c>
      <c r="AQ140" s="1">
        <v>0</v>
      </c>
      <c r="AR140" s="1">
        <v>0</v>
      </c>
      <c r="AS140" s="1">
        <v>0</v>
      </c>
    </row>
    <row r="141" spans="1:45">
      <c r="A141" s="1" t="str">
        <f>VLOOKUP(D141,epiunits!A$1:C$4000,2,FALSE)</f>
      </c>
      <c r="B141" s="1" t="str">
        <f>VLOOKUP(D141,epiunits!A$1:C$4000,3,FALSE)</f>
      </c>
      <c r="C141" s="1" t="str">
        <f>VLOOKUP(E141,Inspector!A$1:B$50,2,FALSE)</f>
      </c>
      <c r="I141" s="1" t="str">
        <f>VLOOKUP(D141,epiunits!A$1:J$4000,6,FALSE)</f>
      </c>
      <c r="J141" s="1" t="str">
        <f>VLOOKUP(D141,epiunits!A$1:J$4000,7,FALSE)</f>
      </c>
      <c r="K141" s="1" t="str">
        <f>VLOOKUP(D141,epiunits!A$1:J$4000,8,FALSE)</f>
      </c>
      <c r="L141" s="1" t="str">
        <f>VLOOKUP(D141,epiunits!A$1:J$4000,9,FALSE)</f>
      </c>
      <c r="M141" s="1" t="str">
        <f>VLOOKUP(D141,epiunits!A$1:J$4000,10,FALSE)</f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0</v>
      </c>
      <c r="AD141" s="1">
        <v>0</v>
      </c>
      <c r="AE141" s="1">
        <v>0</v>
      </c>
      <c r="AF141" s="1">
        <v>0</v>
      </c>
      <c r="AG141" s="1">
        <v>0</v>
      </c>
      <c r="AH141" s="1">
        <v>0</v>
      </c>
      <c r="AI141" s="1">
        <v>0</v>
      </c>
      <c r="AJ141" s="1">
        <v>0</v>
      </c>
      <c r="AK141" s="1">
        <v>0</v>
      </c>
      <c r="AL141" s="1">
        <v>0</v>
      </c>
      <c r="AM141" s="1">
        <v>0</v>
      </c>
      <c r="AN141" s="1">
        <v>0</v>
      </c>
      <c r="AO141" s="1">
        <v>0</v>
      </c>
      <c r="AP141" s="1">
        <v>0</v>
      </c>
      <c r="AQ141" s="1">
        <v>0</v>
      </c>
      <c r="AR141" s="1">
        <v>0</v>
      </c>
      <c r="AS141" s="1">
        <v>0</v>
      </c>
    </row>
    <row r="142" spans="1:45">
      <c r="A142" s="1" t="str">
        <f>VLOOKUP(D142,epiunits!A$1:C$4000,2,FALSE)</f>
      </c>
      <c r="B142" s="1" t="str">
        <f>VLOOKUP(D142,epiunits!A$1:C$4000,3,FALSE)</f>
      </c>
      <c r="C142" s="1" t="str">
        <f>VLOOKUP(E142,Inspector!A$1:B$50,2,FALSE)</f>
      </c>
      <c r="I142" s="1" t="str">
        <f>VLOOKUP(D142,epiunits!A$1:J$4000,6,FALSE)</f>
      </c>
      <c r="J142" s="1" t="str">
        <f>VLOOKUP(D142,epiunits!A$1:J$4000,7,FALSE)</f>
      </c>
      <c r="K142" s="1" t="str">
        <f>VLOOKUP(D142,epiunits!A$1:J$4000,8,FALSE)</f>
      </c>
      <c r="L142" s="1" t="str">
        <f>VLOOKUP(D142,epiunits!A$1:J$4000,9,FALSE)</f>
      </c>
      <c r="M142" s="1" t="str">
        <f>VLOOKUP(D142,epiunits!A$1:J$4000,10,FALSE)</f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  <c r="AC142" s="1">
        <v>0</v>
      </c>
      <c r="AD142" s="1">
        <v>0</v>
      </c>
      <c r="AE142" s="1">
        <v>0</v>
      </c>
      <c r="AF142" s="1">
        <v>0</v>
      </c>
      <c r="AG142" s="1">
        <v>0</v>
      </c>
      <c r="AH142" s="1">
        <v>0</v>
      </c>
      <c r="AI142" s="1">
        <v>0</v>
      </c>
      <c r="AJ142" s="1">
        <v>0</v>
      </c>
      <c r="AK142" s="1">
        <v>0</v>
      </c>
      <c r="AL142" s="1">
        <v>0</v>
      </c>
      <c r="AM142" s="1">
        <v>0</v>
      </c>
      <c r="AN142" s="1">
        <v>0</v>
      </c>
      <c r="AO142" s="1">
        <v>0</v>
      </c>
      <c r="AP142" s="1">
        <v>0</v>
      </c>
      <c r="AQ142" s="1">
        <v>0</v>
      </c>
      <c r="AR142" s="1">
        <v>0</v>
      </c>
      <c r="AS142" s="1">
        <v>0</v>
      </c>
    </row>
    <row r="143" spans="1:45">
      <c r="A143" s="1" t="str">
        <f>VLOOKUP(D143,epiunits!A$1:C$4000,2,FALSE)</f>
      </c>
      <c r="B143" s="1" t="str">
        <f>VLOOKUP(D143,epiunits!A$1:C$4000,3,FALSE)</f>
      </c>
      <c r="C143" s="1" t="str">
        <f>VLOOKUP(E143,Inspector!A$1:B$50,2,FALSE)</f>
      </c>
      <c r="I143" s="1" t="str">
        <f>VLOOKUP(D143,epiunits!A$1:J$4000,6,FALSE)</f>
      </c>
      <c r="J143" s="1" t="str">
        <f>VLOOKUP(D143,epiunits!A$1:J$4000,7,FALSE)</f>
      </c>
      <c r="K143" s="1" t="str">
        <f>VLOOKUP(D143,epiunits!A$1:J$4000,8,FALSE)</f>
      </c>
      <c r="L143" s="1" t="str">
        <f>VLOOKUP(D143,epiunits!A$1:J$4000,9,FALSE)</f>
      </c>
      <c r="M143" s="1" t="str">
        <f>VLOOKUP(D143,epiunits!A$1:J$4000,10,FALSE)</f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0</v>
      </c>
      <c r="AN143" s="1">
        <v>0</v>
      </c>
      <c r="AO143" s="1">
        <v>0</v>
      </c>
      <c r="AP143" s="1">
        <v>0</v>
      </c>
      <c r="AQ143" s="1">
        <v>0</v>
      </c>
      <c r="AR143" s="1">
        <v>0</v>
      </c>
      <c r="AS143" s="1">
        <v>0</v>
      </c>
    </row>
    <row r="144" spans="1:45">
      <c r="A144" s="1" t="str">
        <f>VLOOKUP(D144,epiunits!A$1:C$4000,2,FALSE)</f>
      </c>
      <c r="B144" s="1" t="str">
        <f>VLOOKUP(D144,epiunits!A$1:C$4000,3,FALSE)</f>
      </c>
      <c r="C144" s="1" t="str">
        <f>VLOOKUP(E144,Inspector!A$1:B$50,2,FALSE)</f>
      </c>
      <c r="I144" s="1" t="str">
        <f>VLOOKUP(D144,epiunits!A$1:J$4000,6,FALSE)</f>
      </c>
      <c r="J144" s="1" t="str">
        <f>VLOOKUP(D144,epiunits!A$1:J$4000,7,FALSE)</f>
      </c>
      <c r="K144" s="1" t="str">
        <f>VLOOKUP(D144,epiunits!A$1:J$4000,8,FALSE)</f>
      </c>
      <c r="L144" s="1" t="str">
        <f>VLOOKUP(D144,epiunits!A$1:J$4000,9,FALSE)</f>
      </c>
      <c r="M144" s="1" t="str">
        <f>VLOOKUP(D144,epiunits!A$1:J$4000,10,FALSE)</f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>
        <v>0</v>
      </c>
      <c r="AH144" s="1">
        <v>0</v>
      </c>
      <c r="AI144" s="1">
        <v>0</v>
      </c>
      <c r="AJ144" s="1">
        <v>0</v>
      </c>
      <c r="AK144" s="1">
        <v>0</v>
      </c>
      <c r="AL144" s="1">
        <v>0</v>
      </c>
      <c r="AM144" s="1">
        <v>0</v>
      </c>
      <c r="AN144" s="1">
        <v>0</v>
      </c>
      <c r="AO144" s="1">
        <v>0</v>
      </c>
      <c r="AP144" s="1">
        <v>0</v>
      </c>
      <c r="AQ144" s="1">
        <v>0</v>
      </c>
      <c r="AR144" s="1">
        <v>0</v>
      </c>
      <c r="AS144" s="1">
        <v>0</v>
      </c>
    </row>
    <row r="145" spans="1:45">
      <c r="A145" s="1" t="str">
        <f>VLOOKUP(D145,epiunits!A$1:C$4000,2,FALSE)</f>
      </c>
      <c r="B145" s="1" t="str">
        <f>VLOOKUP(D145,epiunits!A$1:C$4000,3,FALSE)</f>
      </c>
      <c r="C145" s="1" t="str">
        <f>VLOOKUP(E145,Inspector!A$1:B$50,2,FALSE)</f>
      </c>
      <c r="I145" s="1" t="str">
        <f>VLOOKUP(D145,epiunits!A$1:J$4000,6,FALSE)</f>
      </c>
      <c r="J145" s="1" t="str">
        <f>VLOOKUP(D145,epiunits!A$1:J$4000,7,FALSE)</f>
      </c>
      <c r="K145" s="1" t="str">
        <f>VLOOKUP(D145,epiunits!A$1:J$4000,8,FALSE)</f>
      </c>
      <c r="L145" s="1" t="str">
        <f>VLOOKUP(D145,epiunits!A$1:J$4000,9,FALSE)</f>
      </c>
      <c r="M145" s="1" t="str">
        <f>VLOOKUP(D145,epiunits!A$1:J$4000,10,FALSE)</f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>
        <v>0</v>
      </c>
      <c r="AE145" s="1">
        <v>0</v>
      </c>
      <c r="AF145" s="1">
        <v>0</v>
      </c>
      <c r="AG145" s="1">
        <v>0</v>
      </c>
      <c r="AH145" s="1">
        <v>0</v>
      </c>
      <c r="AI145" s="1">
        <v>0</v>
      </c>
      <c r="AJ145" s="1">
        <v>0</v>
      </c>
      <c r="AK145" s="1">
        <v>0</v>
      </c>
      <c r="AL145" s="1">
        <v>0</v>
      </c>
      <c r="AM145" s="1">
        <v>0</v>
      </c>
      <c r="AN145" s="1">
        <v>0</v>
      </c>
      <c r="AO145" s="1">
        <v>0</v>
      </c>
      <c r="AP145" s="1">
        <v>0</v>
      </c>
      <c r="AQ145" s="1">
        <v>0</v>
      </c>
      <c r="AR145" s="1">
        <v>0</v>
      </c>
      <c r="AS145" s="1">
        <v>0</v>
      </c>
    </row>
    <row r="146" spans="1:45">
      <c r="A146" s="1" t="str">
        <f>VLOOKUP(D146,epiunits!A$1:C$4000,2,FALSE)</f>
      </c>
      <c r="B146" s="1" t="str">
        <f>VLOOKUP(D146,epiunits!A$1:C$4000,3,FALSE)</f>
      </c>
      <c r="C146" s="1" t="str">
        <f>VLOOKUP(E146,Inspector!A$1:B$50,2,FALSE)</f>
      </c>
      <c r="I146" s="1" t="str">
        <f>VLOOKUP(D146,epiunits!A$1:J$4000,6,FALSE)</f>
      </c>
      <c r="J146" s="1" t="str">
        <f>VLOOKUP(D146,epiunits!A$1:J$4000,7,FALSE)</f>
      </c>
      <c r="K146" s="1" t="str">
        <f>VLOOKUP(D146,epiunits!A$1:J$4000,8,FALSE)</f>
      </c>
      <c r="L146" s="1" t="str">
        <f>VLOOKUP(D146,epiunits!A$1:J$4000,9,FALSE)</f>
      </c>
      <c r="M146" s="1" t="str">
        <f>VLOOKUP(D146,epiunits!A$1:J$4000,10,FALSE)</f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>
        <v>0</v>
      </c>
      <c r="AH146" s="1">
        <v>0</v>
      </c>
      <c r="AI146" s="1">
        <v>0</v>
      </c>
      <c r="AJ146" s="1">
        <v>0</v>
      </c>
      <c r="AK146" s="1">
        <v>0</v>
      </c>
      <c r="AL146" s="1">
        <v>0</v>
      </c>
      <c r="AM146" s="1">
        <v>0</v>
      </c>
      <c r="AN146" s="1">
        <v>0</v>
      </c>
      <c r="AO146" s="1">
        <v>0</v>
      </c>
      <c r="AP146" s="1">
        <v>0</v>
      </c>
      <c r="AQ146" s="1">
        <v>0</v>
      </c>
      <c r="AR146" s="1">
        <v>0</v>
      </c>
      <c r="AS146" s="1">
        <v>0</v>
      </c>
    </row>
    <row r="147" spans="1:45">
      <c r="A147" s="1" t="str">
        <f>VLOOKUP(D147,epiunits!A$1:C$4000,2,FALSE)</f>
      </c>
      <c r="B147" s="1" t="str">
        <f>VLOOKUP(D147,epiunits!A$1:C$4000,3,FALSE)</f>
      </c>
      <c r="C147" s="1" t="str">
        <f>VLOOKUP(E147,Inspector!A$1:B$50,2,FALSE)</f>
      </c>
      <c r="I147" s="1" t="str">
        <f>VLOOKUP(D147,epiunits!A$1:J$4000,6,FALSE)</f>
      </c>
      <c r="J147" s="1" t="str">
        <f>VLOOKUP(D147,epiunits!A$1:J$4000,7,FALSE)</f>
      </c>
      <c r="K147" s="1" t="str">
        <f>VLOOKUP(D147,epiunits!A$1:J$4000,8,FALSE)</f>
      </c>
      <c r="L147" s="1" t="str">
        <f>VLOOKUP(D147,epiunits!A$1:J$4000,9,FALSE)</f>
      </c>
      <c r="M147" s="1" t="str">
        <f>VLOOKUP(D147,epiunits!A$1:J$4000,10,FALSE)</f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0</v>
      </c>
      <c r="AD147" s="1">
        <v>0</v>
      </c>
      <c r="AE147" s="1">
        <v>0</v>
      </c>
      <c r="AF147" s="1">
        <v>0</v>
      </c>
      <c r="AG147" s="1">
        <v>0</v>
      </c>
      <c r="AH147" s="1">
        <v>0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">
        <v>0</v>
      </c>
      <c r="AP147" s="1">
        <v>0</v>
      </c>
      <c r="AQ147" s="1">
        <v>0</v>
      </c>
      <c r="AR147" s="1">
        <v>0</v>
      </c>
      <c r="AS147" s="1">
        <v>0</v>
      </c>
    </row>
    <row r="148" spans="1:45">
      <c r="A148" s="1" t="str">
        <f>VLOOKUP(D148,epiunits!A$1:C$4000,2,FALSE)</f>
      </c>
      <c r="B148" s="1" t="str">
        <f>VLOOKUP(D148,epiunits!A$1:C$4000,3,FALSE)</f>
      </c>
      <c r="C148" s="1" t="str">
        <f>VLOOKUP(E148,Inspector!A$1:B$50,2,FALSE)</f>
      </c>
      <c r="I148" s="1" t="str">
        <f>VLOOKUP(D148,epiunits!A$1:J$4000,6,FALSE)</f>
      </c>
      <c r="J148" s="1" t="str">
        <f>VLOOKUP(D148,epiunits!A$1:J$4000,7,FALSE)</f>
      </c>
      <c r="K148" s="1" t="str">
        <f>VLOOKUP(D148,epiunits!A$1:J$4000,8,FALSE)</f>
      </c>
      <c r="L148" s="1" t="str">
        <f>VLOOKUP(D148,epiunits!A$1:J$4000,9,FALSE)</f>
      </c>
      <c r="M148" s="1" t="str">
        <f>VLOOKUP(D148,epiunits!A$1:J$4000,10,FALSE)</f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  <c r="AD148" s="1">
        <v>0</v>
      </c>
      <c r="AE148" s="1">
        <v>0</v>
      </c>
      <c r="AF148" s="1">
        <v>0</v>
      </c>
      <c r="AG148" s="1">
        <v>0</v>
      </c>
      <c r="AH148" s="1">
        <v>0</v>
      </c>
      <c r="AI148" s="1">
        <v>0</v>
      </c>
      <c r="AJ148" s="1">
        <v>0</v>
      </c>
      <c r="AK148" s="1">
        <v>0</v>
      </c>
      <c r="AL148" s="1">
        <v>0</v>
      </c>
      <c r="AM148" s="1">
        <v>0</v>
      </c>
      <c r="AN148" s="1">
        <v>0</v>
      </c>
      <c r="AO148" s="1">
        <v>0</v>
      </c>
      <c r="AP148" s="1">
        <v>0</v>
      </c>
      <c r="AQ148" s="1">
        <v>0</v>
      </c>
      <c r="AR148" s="1">
        <v>0</v>
      </c>
      <c r="AS148" s="1">
        <v>0</v>
      </c>
    </row>
    <row r="149" spans="1:45">
      <c r="A149" s="1" t="str">
        <f>VLOOKUP(D149,epiunits!A$1:C$4000,2,FALSE)</f>
      </c>
      <c r="B149" s="1" t="str">
        <f>VLOOKUP(D149,epiunits!A$1:C$4000,3,FALSE)</f>
      </c>
      <c r="C149" s="1" t="str">
        <f>VLOOKUP(E149,Inspector!A$1:B$50,2,FALSE)</f>
      </c>
      <c r="I149" s="1" t="str">
        <f>VLOOKUP(D149,epiunits!A$1:J$4000,6,FALSE)</f>
      </c>
      <c r="J149" s="1" t="str">
        <f>VLOOKUP(D149,epiunits!A$1:J$4000,7,FALSE)</f>
      </c>
      <c r="K149" s="1" t="str">
        <f>VLOOKUP(D149,epiunits!A$1:J$4000,8,FALSE)</f>
      </c>
      <c r="L149" s="1" t="str">
        <f>VLOOKUP(D149,epiunits!A$1:J$4000,9,FALSE)</f>
      </c>
      <c r="M149" s="1" t="str">
        <f>VLOOKUP(D149,epiunits!A$1:J$4000,10,FALSE)</f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>
        <v>0</v>
      </c>
      <c r="AJ149" s="1">
        <v>0</v>
      </c>
      <c r="AK149" s="1">
        <v>0</v>
      </c>
      <c r="AL149" s="1">
        <v>0</v>
      </c>
      <c r="AM149" s="1">
        <v>0</v>
      </c>
      <c r="AN149" s="1">
        <v>0</v>
      </c>
      <c r="AO149" s="1">
        <v>0</v>
      </c>
      <c r="AP149" s="1">
        <v>0</v>
      </c>
      <c r="AQ149" s="1">
        <v>0</v>
      </c>
      <c r="AR149" s="1">
        <v>0</v>
      </c>
      <c r="AS149" s="1">
        <v>0</v>
      </c>
    </row>
    <row r="150" spans="1:45">
      <c r="A150" s="1" t="str">
        <f>VLOOKUP(D150,epiunits!A$1:C$4000,2,FALSE)</f>
      </c>
      <c r="B150" s="1" t="str">
        <f>VLOOKUP(D150,epiunits!A$1:C$4000,3,FALSE)</f>
      </c>
      <c r="C150" s="1" t="str">
        <f>VLOOKUP(E150,Inspector!A$1:B$50,2,FALSE)</f>
      </c>
      <c r="I150" s="1" t="str">
        <f>VLOOKUP(D150,epiunits!A$1:J$4000,6,FALSE)</f>
      </c>
      <c r="J150" s="1" t="str">
        <f>VLOOKUP(D150,epiunits!A$1:J$4000,7,FALSE)</f>
      </c>
      <c r="K150" s="1" t="str">
        <f>VLOOKUP(D150,epiunits!A$1:J$4000,8,FALSE)</f>
      </c>
      <c r="L150" s="1" t="str">
        <f>VLOOKUP(D150,epiunits!A$1:J$4000,9,FALSE)</f>
      </c>
      <c r="M150" s="1" t="str">
        <f>VLOOKUP(D150,epiunits!A$1:J$4000,10,FALSE)</f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D150" s="1">
        <v>0</v>
      </c>
      <c r="AE150" s="1">
        <v>0</v>
      </c>
      <c r="AF150" s="1">
        <v>0</v>
      </c>
      <c r="AG150" s="1">
        <v>0</v>
      </c>
      <c r="AH150" s="1">
        <v>0</v>
      </c>
      <c r="AI150" s="1">
        <v>0</v>
      </c>
      <c r="AJ150" s="1">
        <v>0</v>
      </c>
      <c r="AK150" s="1">
        <v>0</v>
      </c>
      <c r="AL150" s="1">
        <v>0</v>
      </c>
      <c r="AM150" s="1">
        <v>0</v>
      </c>
      <c r="AN150" s="1">
        <v>0</v>
      </c>
      <c r="AO150" s="1">
        <v>0</v>
      </c>
      <c r="AP150" s="1">
        <v>0</v>
      </c>
      <c r="AQ150" s="1">
        <v>0</v>
      </c>
      <c r="AR150" s="1">
        <v>0</v>
      </c>
      <c r="AS150" s="1">
        <v>0</v>
      </c>
    </row>
    <row r="151" spans="1:45">
      <c r="A151" s="1" t="str">
        <f>VLOOKUP(D151,epiunits!A$1:C$4000,2,FALSE)</f>
      </c>
      <c r="B151" s="1" t="str">
        <f>VLOOKUP(D151,epiunits!A$1:C$4000,3,FALSE)</f>
      </c>
      <c r="C151" s="1" t="str">
        <f>VLOOKUP(E151,Inspector!A$1:B$50,2,FALSE)</f>
      </c>
      <c r="I151" s="1" t="str">
        <f>VLOOKUP(D151,epiunits!A$1:J$4000,6,FALSE)</f>
      </c>
      <c r="J151" s="1" t="str">
        <f>VLOOKUP(D151,epiunits!A$1:J$4000,7,FALSE)</f>
      </c>
      <c r="K151" s="1" t="str">
        <f>VLOOKUP(D151,epiunits!A$1:J$4000,8,FALSE)</f>
      </c>
      <c r="L151" s="1" t="str">
        <f>VLOOKUP(D151,epiunits!A$1:J$4000,9,FALSE)</f>
      </c>
      <c r="M151" s="1" t="str">
        <f>VLOOKUP(D151,epiunits!A$1:J$4000,10,FALSE)</f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0</v>
      </c>
      <c r="AD151" s="1">
        <v>0</v>
      </c>
      <c r="AE151" s="1">
        <v>0</v>
      </c>
      <c r="AF151" s="1">
        <v>0</v>
      </c>
      <c r="AG151" s="1">
        <v>0</v>
      </c>
      <c r="AH151" s="1">
        <v>0</v>
      </c>
      <c r="AI151" s="1">
        <v>0</v>
      </c>
      <c r="AJ151" s="1">
        <v>0</v>
      </c>
      <c r="AK151" s="1">
        <v>0</v>
      </c>
      <c r="AL151" s="1">
        <v>0</v>
      </c>
      <c r="AM151" s="1">
        <v>0</v>
      </c>
      <c r="AN151" s="1">
        <v>0</v>
      </c>
      <c r="AO151" s="1">
        <v>0</v>
      </c>
      <c r="AP151" s="1">
        <v>0</v>
      </c>
      <c r="AQ151" s="1">
        <v>0</v>
      </c>
      <c r="AR151" s="1">
        <v>0</v>
      </c>
      <c r="AS151" s="1">
        <v>0</v>
      </c>
    </row>
    <row r="152" spans="1:45">
      <c r="A152" s="1" t="str">
        <f>VLOOKUP(D152,epiunits!A$1:C$4000,2,FALSE)</f>
      </c>
      <c r="B152" s="1" t="str">
        <f>VLOOKUP(D152,epiunits!A$1:C$4000,3,FALSE)</f>
      </c>
      <c r="C152" s="1" t="str">
        <f>VLOOKUP(E152,Inspector!A$1:B$50,2,FALSE)</f>
      </c>
      <c r="I152" s="1" t="str">
        <f>VLOOKUP(D152,epiunits!A$1:J$4000,6,FALSE)</f>
      </c>
      <c r="J152" s="1" t="str">
        <f>VLOOKUP(D152,epiunits!A$1:J$4000,7,FALSE)</f>
      </c>
      <c r="K152" s="1" t="str">
        <f>VLOOKUP(D152,epiunits!A$1:J$4000,8,FALSE)</f>
      </c>
      <c r="L152" s="1" t="str">
        <f>VLOOKUP(D152,epiunits!A$1:J$4000,9,FALSE)</f>
      </c>
      <c r="M152" s="1" t="str">
        <f>VLOOKUP(D152,epiunits!A$1:J$4000,10,FALSE)</f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>
        <v>0</v>
      </c>
      <c r="AJ152" s="1">
        <v>0</v>
      </c>
      <c r="AK152" s="1">
        <v>0</v>
      </c>
      <c r="AL152" s="1">
        <v>0</v>
      </c>
      <c r="AM152" s="1">
        <v>0</v>
      </c>
      <c r="AN152" s="1">
        <v>0</v>
      </c>
      <c r="AO152" s="1">
        <v>0</v>
      </c>
      <c r="AP152" s="1">
        <v>0</v>
      </c>
      <c r="AQ152" s="1">
        <v>0</v>
      </c>
      <c r="AR152" s="1">
        <v>0</v>
      </c>
      <c r="AS152" s="1">
        <v>0</v>
      </c>
    </row>
    <row r="153" spans="1:45">
      <c r="A153" s="1" t="str">
        <f>VLOOKUP(D153,epiunits!A$1:C$4000,2,FALSE)</f>
      </c>
      <c r="B153" s="1" t="str">
        <f>VLOOKUP(D153,epiunits!A$1:C$4000,3,FALSE)</f>
      </c>
      <c r="C153" s="1" t="str">
        <f>VLOOKUP(E153,Inspector!A$1:B$50,2,FALSE)</f>
      </c>
      <c r="I153" s="1" t="str">
        <f>VLOOKUP(D153,epiunits!A$1:J$4000,6,FALSE)</f>
      </c>
      <c r="J153" s="1" t="str">
        <f>VLOOKUP(D153,epiunits!A$1:J$4000,7,FALSE)</f>
      </c>
      <c r="K153" s="1" t="str">
        <f>VLOOKUP(D153,epiunits!A$1:J$4000,8,FALSE)</f>
      </c>
      <c r="L153" s="1" t="str">
        <f>VLOOKUP(D153,epiunits!A$1:J$4000,9,FALSE)</f>
      </c>
      <c r="M153" s="1" t="str">
        <f>VLOOKUP(D153,epiunits!A$1:J$4000,10,FALSE)</f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>
        <v>0</v>
      </c>
      <c r="AH153" s="1">
        <v>0</v>
      </c>
      <c r="AI153" s="1">
        <v>0</v>
      </c>
      <c r="AJ153" s="1">
        <v>0</v>
      </c>
      <c r="AK153" s="1">
        <v>0</v>
      </c>
      <c r="AL153" s="1">
        <v>0</v>
      </c>
      <c r="AM153" s="1">
        <v>0</v>
      </c>
      <c r="AN153" s="1">
        <v>0</v>
      </c>
      <c r="AO153" s="1">
        <v>0</v>
      </c>
      <c r="AP153" s="1">
        <v>0</v>
      </c>
      <c r="AQ153" s="1">
        <v>0</v>
      </c>
      <c r="AR153" s="1">
        <v>0</v>
      </c>
      <c r="AS153" s="1">
        <v>0</v>
      </c>
    </row>
    <row r="154" spans="1:45">
      <c r="A154" s="1" t="str">
        <f>VLOOKUP(D154,epiunits!A$1:C$4000,2,FALSE)</f>
      </c>
      <c r="B154" s="1" t="str">
        <f>VLOOKUP(D154,epiunits!A$1:C$4000,3,FALSE)</f>
      </c>
      <c r="C154" s="1" t="str">
        <f>VLOOKUP(E154,Inspector!A$1:B$50,2,FALSE)</f>
      </c>
      <c r="I154" s="1" t="str">
        <f>VLOOKUP(D154,epiunits!A$1:J$4000,6,FALSE)</f>
      </c>
      <c r="J154" s="1" t="str">
        <f>VLOOKUP(D154,epiunits!A$1:J$4000,7,FALSE)</f>
      </c>
      <c r="K154" s="1" t="str">
        <f>VLOOKUP(D154,epiunits!A$1:J$4000,8,FALSE)</f>
      </c>
      <c r="L154" s="1" t="str">
        <f>VLOOKUP(D154,epiunits!A$1:J$4000,9,FALSE)</f>
      </c>
      <c r="M154" s="1" t="str">
        <f>VLOOKUP(D154,epiunits!A$1:J$4000,10,FALSE)</f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0</v>
      </c>
      <c r="AI154" s="1">
        <v>0</v>
      </c>
      <c r="AJ154" s="1">
        <v>0</v>
      </c>
      <c r="AK154" s="1">
        <v>0</v>
      </c>
      <c r="AL154" s="1">
        <v>0</v>
      </c>
      <c r="AM154" s="1">
        <v>0</v>
      </c>
      <c r="AN154" s="1">
        <v>0</v>
      </c>
      <c r="AO154" s="1">
        <v>0</v>
      </c>
      <c r="AP154" s="1">
        <v>0</v>
      </c>
      <c r="AQ154" s="1">
        <v>0</v>
      </c>
      <c r="AR154" s="1">
        <v>0</v>
      </c>
      <c r="AS154" s="1">
        <v>0</v>
      </c>
    </row>
    <row r="155" spans="1:45">
      <c r="A155" s="1" t="str">
        <f>VLOOKUP(D155,epiunits!A$1:C$4000,2,FALSE)</f>
      </c>
      <c r="B155" s="1" t="str">
        <f>VLOOKUP(D155,epiunits!A$1:C$4000,3,FALSE)</f>
      </c>
      <c r="C155" s="1" t="str">
        <f>VLOOKUP(E155,Inspector!A$1:B$50,2,FALSE)</f>
      </c>
      <c r="I155" s="1" t="str">
        <f>VLOOKUP(D155,epiunits!A$1:J$4000,6,FALSE)</f>
      </c>
      <c r="J155" s="1" t="str">
        <f>VLOOKUP(D155,epiunits!A$1:J$4000,7,FALSE)</f>
      </c>
      <c r="K155" s="1" t="str">
        <f>VLOOKUP(D155,epiunits!A$1:J$4000,8,FALSE)</f>
      </c>
      <c r="L155" s="1" t="str">
        <f>VLOOKUP(D155,epiunits!A$1:J$4000,9,FALSE)</f>
      </c>
      <c r="M155" s="1" t="str">
        <f>VLOOKUP(D155,epiunits!A$1:J$4000,10,FALSE)</f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>
        <v>0</v>
      </c>
      <c r="AH155" s="1">
        <v>0</v>
      </c>
      <c r="AI155" s="1">
        <v>0</v>
      </c>
      <c r="AJ155" s="1">
        <v>0</v>
      </c>
      <c r="AK155" s="1">
        <v>0</v>
      </c>
      <c r="AL155" s="1">
        <v>0</v>
      </c>
      <c r="AM155" s="1">
        <v>0</v>
      </c>
      <c r="AN155" s="1">
        <v>0</v>
      </c>
      <c r="AO155" s="1">
        <v>0</v>
      </c>
      <c r="AP155" s="1">
        <v>0</v>
      </c>
      <c r="AQ155" s="1">
        <v>0</v>
      </c>
      <c r="AR155" s="1">
        <v>0</v>
      </c>
      <c r="AS155" s="1">
        <v>0</v>
      </c>
    </row>
    <row r="156" spans="1:45">
      <c r="A156" s="1" t="str">
        <f>VLOOKUP(D156,epiunits!A$1:C$4000,2,FALSE)</f>
      </c>
      <c r="B156" s="1" t="str">
        <f>VLOOKUP(D156,epiunits!A$1:C$4000,3,FALSE)</f>
      </c>
      <c r="C156" s="1" t="str">
        <f>VLOOKUP(E156,Inspector!A$1:B$50,2,FALSE)</f>
      </c>
      <c r="I156" s="1" t="str">
        <f>VLOOKUP(D156,epiunits!A$1:J$4000,6,FALSE)</f>
      </c>
      <c r="J156" s="1" t="str">
        <f>VLOOKUP(D156,epiunits!A$1:J$4000,7,FALSE)</f>
      </c>
      <c r="K156" s="1" t="str">
        <f>VLOOKUP(D156,epiunits!A$1:J$4000,8,FALSE)</f>
      </c>
      <c r="L156" s="1" t="str">
        <f>VLOOKUP(D156,epiunits!A$1:J$4000,9,FALSE)</f>
      </c>
      <c r="M156" s="1" t="str">
        <f>VLOOKUP(D156,epiunits!A$1:J$4000,10,FALSE)</f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  <c r="AD156" s="1">
        <v>0</v>
      </c>
      <c r="AE156" s="1">
        <v>0</v>
      </c>
      <c r="AF156" s="1">
        <v>0</v>
      </c>
      <c r="AG156" s="1">
        <v>0</v>
      </c>
      <c r="AH156" s="1">
        <v>0</v>
      </c>
      <c r="AI156" s="1">
        <v>0</v>
      </c>
      <c r="AJ156" s="1">
        <v>0</v>
      </c>
      <c r="AK156" s="1">
        <v>0</v>
      </c>
      <c r="AL156" s="1">
        <v>0</v>
      </c>
      <c r="AM156" s="1">
        <v>0</v>
      </c>
      <c r="AN156" s="1">
        <v>0</v>
      </c>
      <c r="AO156" s="1">
        <v>0</v>
      </c>
      <c r="AP156" s="1">
        <v>0</v>
      </c>
      <c r="AQ156" s="1">
        <v>0</v>
      </c>
      <c r="AR156" s="1">
        <v>0</v>
      </c>
      <c r="AS156" s="1">
        <v>0</v>
      </c>
    </row>
    <row r="157" spans="1:45">
      <c r="A157" s="1" t="str">
        <f>VLOOKUP(D157,epiunits!A$1:C$4000,2,FALSE)</f>
      </c>
      <c r="B157" s="1" t="str">
        <f>VLOOKUP(D157,epiunits!A$1:C$4000,3,FALSE)</f>
      </c>
      <c r="C157" s="1" t="str">
        <f>VLOOKUP(E157,Inspector!A$1:B$50,2,FALSE)</f>
      </c>
      <c r="I157" s="1" t="str">
        <f>VLOOKUP(D157,epiunits!A$1:J$4000,6,FALSE)</f>
      </c>
      <c r="J157" s="1" t="str">
        <f>VLOOKUP(D157,epiunits!A$1:J$4000,7,FALSE)</f>
      </c>
      <c r="K157" s="1" t="str">
        <f>VLOOKUP(D157,epiunits!A$1:J$4000,8,FALSE)</f>
      </c>
      <c r="L157" s="1" t="str">
        <f>VLOOKUP(D157,epiunits!A$1:J$4000,9,FALSE)</f>
      </c>
      <c r="M157" s="1" t="str">
        <f>VLOOKUP(D157,epiunits!A$1:J$4000,10,FALSE)</f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 s="1">
        <v>0</v>
      </c>
      <c r="AD157" s="1">
        <v>0</v>
      </c>
      <c r="AE157" s="1">
        <v>0</v>
      </c>
      <c r="AF157" s="1">
        <v>0</v>
      </c>
      <c r="AG157" s="1">
        <v>0</v>
      </c>
      <c r="AH157" s="1">
        <v>0</v>
      </c>
      <c r="AI157" s="1">
        <v>0</v>
      </c>
      <c r="AJ157" s="1">
        <v>0</v>
      </c>
      <c r="AK157" s="1">
        <v>0</v>
      </c>
      <c r="AL157" s="1">
        <v>0</v>
      </c>
      <c r="AM157" s="1">
        <v>0</v>
      </c>
      <c r="AN157" s="1">
        <v>0</v>
      </c>
      <c r="AO157" s="1">
        <v>0</v>
      </c>
      <c r="AP157" s="1">
        <v>0</v>
      </c>
      <c r="AQ157" s="1">
        <v>0</v>
      </c>
      <c r="AR157" s="1">
        <v>0</v>
      </c>
      <c r="AS157" s="1">
        <v>0</v>
      </c>
    </row>
    <row r="158" spans="1:45">
      <c r="A158" s="1" t="str">
        <f>VLOOKUP(D158,epiunits!A$1:C$4000,2,FALSE)</f>
      </c>
      <c r="B158" s="1" t="str">
        <f>VLOOKUP(D158,epiunits!A$1:C$4000,3,FALSE)</f>
      </c>
      <c r="C158" s="1" t="str">
        <f>VLOOKUP(E158,Inspector!A$1:B$50,2,FALSE)</f>
      </c>
      <c r="I158" s="1" t="str">
        <f>VLOOKUP(D158,epiunits!A$1:J$4000,6,FALSE)</f>
      </c>
      <c r="J158" s="1" t="str">
        <f>VLOOKUP(D158,epiunits!A$1:J$4000,7,FALSE)</f>
      </c>
      <c r="K158" s="1" t="str">
        <f>VLOOKUP(D158,epiunits!A$1:J$4000,8,FALSE)</f>
      </c>
      <c r="L158" s="1" t="str">
        <f>VLOOKUP(D158,epiunits!A$1:J$4000,9,FALSE)</f>
      </c>
      <c r="M158" s="1" t="str">
        <f>VLOOKUP(D158,epiunits!A$1:J$4000,10,FALSE)</f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0</v>
      </c>
      <c r="AD158" s="1">
        <v>0</v>
      </c>
      <c r="AE158" s="1">
        <v>0</v>
      </c>
      <c r="AF158" s="1">
        <v>0</v>
      </c>
      <c r="AG158" s="1">
        <v>0</v>
      </c>
      <c r="AH158" s="1">
        <v>0</v>
      </c>
      <c r="AI158" s="1">
        <v>0</v>
      </c>
      <c r="AJ158" s="1">
        <v>0</v>
      </c>
      <c r="AK158" s="1">
        <v>0</v>
      </c>
      <c r="AL158" s="1">
        <v>0</v>
      </c>
      <c r="AM158" s="1">
        <v>0</v>
      </c>
      <c r="AN158" s="1">
        <v>0</v>
      </c>
      <c r="AO158" s="1">
        <v>0</v>
      </c>
      <c r="AP158" s="1">
        <v>0</v>
      </c>
      <c r="AQ158" s="1">
        <v>0</v>
      </c>
      <c r="AR158" s="1">
        <v>0</v>
      </c>
      <c r="AS158" s="1">
        <v>0</v>
      </c>
    </row>
    <row r="159" spans="1:45">
      <c r="A159" s="1" t="str">
        <f>VLOOKUP(D159,epiunits!A$1:C$4000,2,FALSE)</f>
      </c>
      <c r="B159" s="1" t="str">
        <f>VLOOKUP(D159,epiunits!A$1:C$4000,3,FALSE)</f>
      </c>
      <c r="C159" s="1" t="str">
        <f>VLOOKUP(E159,Inspector!A$1:B$50,2,FALSE)</f>
      </c>
      <c r="I159" s="1" t="str">
        <f>VLOOKUP(D159,epiunits!A$1:J$4000,6,FALSE)</f>
      </c>
      <c r="J159" s="1" t="str">
        <f>VLOOKUP(D159,epiunits!A$1:J$4000,7,FALSE)</f>
      </c>
      <c r="K159" s="1" t="str">
        <f>VLOOKUP(D159,epiunits!A$1:J$4000,8,FALSE)</f>
      </c>
      <c r="L159" s="1" t="str">
        <f>VLOOKUP(D159,epiunits!A$1:J$4000,9,FALSE)</f>
      </c>
      <c r="M159" s="1" t="str">
        <f>VLOOKUP(D159,epiunits!A$1:J$4000,10,FALSE)</f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>
        <v>0</v>
      </c>
      <c r="AH159" s="1">
        <v>0</v>
      </c>
      <c r="AI159" s="1">
        <v>0</v>
      </c>
      <c r="AJ159" s="1">
        <v>0</v>
      </c>
      <c r="AK159" s="1">
        <v>0</v>
      </c>
      <c r="AL159" s="1">
        <v>0</v>
      </c>
      <c r="AM159" s="1">
        <v>0</v>
      </c>
      <c r="AN159" s="1">
        <v>0</v>
      </c>
      <c r="AO159" s="1">
        <v>0</v>
      </c>
      <c r="AP159" s="1">
        <v>0</v>
      </c>
      <c r="AQ159" s="1">
        <v>0</v>
      </c>
      <c r="AR159" s="1">
        <v>0</v>
      </c>
      <c r="AS159" s="1">
        <v>0</v>
      </c>
    </row>
    <row r="160" spans="1:45">
      <c r="A160" s="1" t="str">
        <f>VLOOKUP(D160,epiunits!A$1:C$4000,2,FALSE)</f>
      </c>
      <c r="B160" s="1" t="str">
        <f>VLOOKUP(D160,epiunits!A$1:C$4000,3,FALSE)</f>
      </c>
      <c r="C160" s="1" t="str">
        <f>VLOOKUP(E160,Inspector!A$1:B$50,2,FALSE)</f>
      </c>
      <c r="I160" s="1" t="str">
        <f>VLOOKUP(D160,epiunits!A$1:J$4000,6,FALSE)</f>
      </c>
      <c r="J160" s="1" t="str">
        <f>VLOOKUP(D160,epiunits!A$1:J$4000,7,FALSE)</f>
      </c>
      <c r="K160" s="1" t="str">
        <f>VLOOKUP(D160,epiunits!A$1:J$4000,8,FALSE)</f>
      </c>
      <c r="L160" s="1" t="str">
        <f>VLOOKUP(D160,epiunits!A$1:J$4000,9,FALSE)</f>
      </c>
      <c r="M160" s="1" t="str">
        <f>VLOOKUP(D160,epiunits!A$1:J$4000,10,FALSE)</f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0</v>
      </c>
      <c r="AF160" s="1">
        <v>0</v>
      </c>
      <c r="AG160" s="1">
        <v>0</v>
      </c>
      <c r="AH160" s="1">
        <v>0</v>
      </c>
      <c r="AI160" s="1">
        <v>0</v>
      </c>
      <c r="AJ160" s="1">
        <v>0</v>
      </c>
      <c r="AK160" s="1">
        <v>0</v>
      </c>
      <c r="AL160" s="1">
        <v>0</v>
      </c>
      <c r="AM160" s="1">
        <v>0</v>
      </c>
      <c r="AN160" s="1">
        <v>0</v>
      </c>
      <c r="AO160" s="1">
        <v>0</v>
      </c>
      <c r="AP160" s="1">
        <v>0</v>
      </c>
      <c r="AQ160" s="1">
        <v>0</v>
      </c>
      <c r="AR160" s="1">
        <v>0</v>
      </c>
      <c r="AS160" s="1">
        <v>0</v>
      </c>
    </row>
    <row r="161" spans="1:45">
      <c r="A161" s="1" t="str">
        <f>VLOOKUP(D161,epiunits!A$1:C$4000,2,FALSE)</f>
      </c>
      <c r="B161" s="1" t="str">
        <f>VLOOKUP(D161,epiunits!A$1:C$4000,3,FALSE)</f>
      </c>
      <c r="C161" s="1" t="str">
        <f>VLOOKUP(E161,Inspector!A$1:B$50,2,FALSE)</f>
      </c>
      <c r="I161" s="1" t="str">
        <f>VLOOKUP(D161,epiunits!A$1:J$4000,6,FALSE)</f>
      </c>
      <c r="J161" s="1" t="str">
        <f>VLOOKUP(D161,epiunits!A$1:J$4000,7,FALSE)</f>
      </c>
      <c r="K161" s="1" t="str">
        <f>VLOOKUP(D161,epiunits!A$1:J$4000,8,FALSE)</f>
      </c>
      <c r="L161" s="1" t="str">
        <f>VLOOKUP(D161,epiunits!A$1:J$4000,9,FALSE)</f>
      </c>
      <c r="M161" s="1" t="str">
        <f>VLOOKUP(D161,epiunits!A$1:J$4000,10,FALSE)</f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  <c r="AD161" s="1">
        <v>0</v>
      </c>
      <c r="AE161" s="1">
        <v>0</v>
      </c>
      <c r="AF161" s="1">
        <v>0</v>
      </c>
      <c r="AG161" s="1">
        <v>0</v>
      </c>
      <c r="AH161" s="1">
        <v>0</v>
      </c>
      <c r="AI161" s="1">
        <v>0</v>
      </c>
      <c r="AJ161" s="1">
        <v>0</v>
      </c>
      <c r="AK161" s="1">
        <v>0</v>
      </c>
      <c r="AL161" s="1">
        <v>0</v>
      </c>
      <c r="AM161" s="1">
        <v>0</v>
      </c>
      <c r="AN161" s="1">
        <v>0</v>
      </c>
      <c r="AO161" s="1">
        <v>0</v>
      </c>
      <c r="AP161" s="1">
        <v>0</v>
      </c>
      <c r="AQ161" s="1">
        <v>0</v>
      </c>
      <c r="AR161" s="1">
        <v>0</v>
      </c>
      <c r="AS161" s="1">
        <v>0</v>
      </c>
    </row>
    <row r="162" spans="1:45">
      <c r="A162" s="1" t="str">
        <f>VLOOKUP(D162,epiunits!A$1:C$4000,2,FALSE)</f>
      </c>
      <c r="B162" s="1" t="str">
        <f>VLOOKUP(D162,epiunits!A$1:C$4000,3,FALSE)</f>
      </c>
      <c r="C162" s="1" t="str">
        <f>VLOOKUP(E162,Inspector!A$1:B$50,2,FALSE)</f>
      </c>
      <c r="I162" s="1" t="str">
        <f>VLOOKUP(D162,epiunits!A$1:J$4000,6,FALSE)</f>
      </c>
      <c r="J162" s="1" t="str">
        <f>VLOOKUP(D162,epiunits!A$1:J$4000,7,FALSE)</f>
      </c>
      <c r="K162" s="1" t="str">
        <f>VLOOKUP(D162,epiunits!A$1:J$4000,8,FALSE)</f>
      </c>
      <c r="L162" s="1" t="str">
        <f>VLOOKUP(D162,epiunits!A$1:J$4000,9,FALSE)</f>
      </c>
      <c r="M162" s="1" t="str">
        <f>VLOOKUP(D162,epiunits!A$1:J$4000,10,FALSE)</f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0</v>
      </c>
      <c r="AN162" s="1">
        <v>0</v>
      </c>
      <c r="AO162" s="1">
        <v>0</v>
      </c>
      <c r="AP162" s="1">
        <v>0</v>
      </c>
      <c r="AQ162" s="1">
        <v>0</v>
      </c>
      <c r="AR162" s="1">
        <v>0</v>
      </c>
      <c r="AS162" s="1">
        <v>0</v>
      </c>
    </row>
    <row r="163" spans="1:45">
      <c r="A163" s="1" t="str">
        <f>VLOOKUP(D163,epiunits!A$1:C$4000,2,FALSE)</f>
      </c>
      <c r="B163" s="1" t="str">
        <f>VLOOKUP(D163,epiunits!A$1:C$4000,3,FALSE)</f>
      </c>
      <c r="C163" s="1" t="str">
        <f>VLOOKUP(E163,Inspector!A$1:B$50,2,FALSE)</f>
      </c>
      <c r="I163" s="1" t="str">
        <f>VLOOKUP(D163,epiunits!A$1:J$4000,6,FALSE)</f>
      </c>
      <c r="J163" s="1" t="str">
        <f>VLOOKUP(D163,epiunits!A$1:J$4000,7,FALSE)</f>
      </c>
      <c r="K163" s="1" t="str">
        <f>VLOOKUP(D163,epiunits!A$1:J$4000,8,FALSE)</f>
      </c>
      <c r="L163" s="1" t="str">
        <f>VLOOKUP(D163,epiunits!A$1:J$4000,9,FALSE)</f>
      </c>
      <c r="M163" s="1" t="str">
        <f>VLOOKUP(D163,epiunits!A$1:J$4000,10,FALSE)</f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  <c r="AD163" s="1">
        <v>0</v>
      </c>
      <c r="AE163" s="1">
        <v>0</v>
      </c>
      <c r="AF163" s="1">
        <v>0</v>
      </c>
      <c r="AG163" s="1">
        <v>0</v>
      </c>
      <c r="AH163" s="1">
        <v>0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">
        <v>0</v>
      </c>
      <c r="AP163" s="1">
        <v>0</v>
      </c>
      <c r="AQ163" s="1">
        <v>0</v>
      </c>
      <c r="AR163" s="1">
        <v>0</v>
      </c>
      <c r="AS163" s="1">
        <v>0</v>
      </c>
    </row>
    <row r="164" spans="1:45">
      <c r="A164" s="1" t="str">
        <f>VLOOKUP(D164,epiunits!A$1:C$4000,2,FALSE)</f>
      </c>
      <c r="B164" s="1" t="str">
        <f>VLOOKUP(D164,epiunits!A$1:C$4000,3,FALSE)</f>
      </c>
      <c r="C164" s="1" t="str">
        <f>VLOOKUP(E164,Inspector!A$1:B$50,2,FALSE)</f>
      </c>
      <c r="I164" s="1" t="str">
        <f>VLOOKUP(D164,epiunits!A$1:J$4000,6,FALSE)</f>
      </c>
      <c r="J164" s="1" t="str">
        <f>VLOOKUP(D164,epiunits!A$1:J$4000,7,FALSE)</f>
      </c>
      <c r="K164" s="1" t="str">
        <f>VLOOKUP(D164,epiunits!A$1:J$4000,8,FALSE)</f>
      </c>
      <c r="L164" s="1" t="str">
        <f>VLOOKUP(D164,epiunits!A$1:J$4000,9,FALSE)</f>
      </c>
      <c r="M164" s="1" t="str">
        <f>VLOOKUP(D164,epiunits!A$1:J$4000,10,FALSE)</f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  <c r="AD164" s="1">
        <v>0</v>
      </c>
      <c r="AE164" s="1">
        <v>0</v>
      </c>
      <c r="AF164" s="1">
        <v>0</v>
      </c>
      <c r="AG164" s="1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0</v>
      </c>
      <c r="AO164" s="1">
        <v>0</v>
      </c>
      <c r="AP164" s="1">
        <v>0</v>
      </c>
      <c r="AQ164" s="1">
        <v>0</v>
      </c>
      <c r="AR164" s="1">
        <v>0</v>
      </c>
      <c r="AS164" s="1">
        <v>0</v>
      </c>
    </row>
    <row r="165" spans="1:45">
      <c r="A165" s="1" t="str">
        <f>VLOOKUP(D165,epiunits!A$1:C$4000,2,FALSE)</f>
      </c>
      <c r="B165" s="1" t="str">
        <f>VLOOKUP(D165,epiunits!A$1:C$4000,3,FALSE)</f>
      </c>
      <c r="C165" s="1" t="str">
        <f>VLOOKUP(E165,Inspector!A$1:B$50,2,FALSE)</f>
      </c>
      <c r="I165" s="1" t="str">
        <f>VLOOKUP(D165,epiunits!A$1:J$4000,6,FALSE)</f>
      </c>
      <c r="J165" s="1" t="str">
        <f>VLOOKUP(D165,epiunits!A$1:J$4000,7,FALSE)</f>
      </c>
      <c r="K165" s="1" t="str">
        <f>VLOOKUP(D165,epiunits!A$1:J$4000,8,FALSE)</f>
      </c>
      <c r="L165" s="1" t="str">
        <f>VLOOKUP(D165,epiunits!A$1:J$4000,9,FALSE)</f>
      </c>
      <c r="M165" s="1" t="str">
        <f>VLOOKUP(D165,epiunits!A$1:J$4000,10,FALSE)</f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  <c r="AD165" s="1">
        <v>0</v>
      </c>
      <c r="AE165" s="1">
        <v>0</v>
      </c>
      <c r="AF165" s="1">
        <v>0</v>
      </c>
      <c r="AG165" s="1">
        <v>0</v>
      </c>
      <c r="AH165" s="1">
        <v>0</v>
      </c>
      <c r="AI165" s="1">
        <v>0</v>
      </c>
      <c r="AJ165" s="1">
        <v>0</v>
      </c>
      <c r="AK165" s="1">
        <v>0</v>
      </c>
      <c r="AL165" s="1">
        <v>0</v>
      </c>
      <c r="AM165" s="1">
        <v>0</v>
      </c>
      <c r="AN165" s="1">
        <v>0</v>
      </c>
      <c r="AO165" s="1">
        <v>0</v>
      </c>
      <c r="AP165" s="1">
        <v>0</v>
      </c>
      <c r="AQ165" s="1">
        <v>0</v>
      </c>
      <c r="AR165" s="1">
        <v>0</v>
      </c>
      <c r="AS165" s="1">
        <v>0</v>
      </c>
    </row>
    <row r="166" spans="1:45">
      <c r="A166" s="1" t="str">
        <f>VLOOKUP(D166,epiunits!A$1:C$4000,2,FALSE)</f>
      </c>
      <c r="B166" s="1" t="str">
        <f>VLOOKUP(D166,epiunits!A$1:C$4000,3,FALSE)</f>
      </c>
      <c r="C166" s="1" t="str">
        <f>VLOOKUP(E166,Inspector!A$1:B$50,2,FALSE)</f>
      </c>
      <c r="I166" s="1" t="str">
        <f>VLOOKUP(D166,epiunits!A$1:J$4000,6,FALSE)</f>
      </c>
      <c r="J166" s="1" t="str">
        <f>VLOOKUP(D166,epiunits!A$1:J$4000,7,FALSE)</f>
      </c>
      <c r="K166" s="1" t="str">
        <f>VLOOKUP(D166,epiunits!A$1:J$4000,8,FALSE)</f>
      </c>
      <c r="L166" s="1" t="str">
        <f>VLOOKUP(D166,epiunits!A$1:J$4000,9,FALSE)</f>
      </c>
      <c r="M166" s="1" t="str">
        <f>VLOOKUP(D166,epiunits!A$1:J$4000,10,FALSE)</f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  <c r="AD166" s="1">
        <v>0</v>
      </c>
      <c r="AE166" s="1">
        <v>0</v>
      </c>
      <c r="AF166" s="1">
        <v>0</v>
      </c>
      <c r="AG166" s="1">
        <v>0</v>
      </c>
      <c r="AH166" s="1">
        <v>0</v>
      </c>
      <c r="AI166" s="1">
        <v>0</v>
      </c>
      <c r="AJ166" s="1">
        <v>0</v>
      </c>
      <c r="AK166" s="1">
        <v>0</v>
      </c>
      <c r="AL166" s="1">
        <v>0</v>
      </c>
      <c r="AM166" s="1">
        <v>0</v>
      </c>
      <c r="AN166" s="1">
        <v>0</v>
      </c>
      <c r="AO166" s="1">
        <v>0</v>
      </c>
      <c r="AP166" s="1">
        <v>0</v>
      </c>
      <c r="AQ166" s="1">
        <v>0</v>
      </c>
      <c r="AR166" s="1">
        <v>0</v>
      </c>
      <c r="AS166" s="1">
        <v>0</v>
      </c>
    </row>
    <row r="167" spans="1:45">
      <c r="A167" s="1" t="str">
        <f>VLOOKUP(D167,epiunits!A$1:C$4000,2,FALSE)</f>
      </c>
      <c r="B167" s="1" t="str">
        <f>VLOOKUP(D167,epiunits!A$1:C$4000,3,FALSE)</f>
      </c>
      <c r="C167" s="1" t="str">
        <f>VLOOKUP(E167,Inspector!A$1:B$50,2,FALSE)</f>
      </c>
      <c r="I167" s="1" t="str">
        <f>VLOOKUP(D167,epiunits!A$1:J$4000,6,FALSE)</f>
      </c>
      <c r="J167" s="1" t="str">
        <f>VLOOKUP(D167,epiunits!A$1:J$4000,7,FALSE)</f>
      </c>
      <c r="K167" s="1" t="str">
        <f>VLOOKUP(D167,epiunits!A$1:J$4000,8,FALSE)</f>
      </c>
      <c r="L167" s="1" t="str">
        <f>VLOOKUP(D167,epiunits!A$1:J$4000,9,FALSE)</f>
      </c>
      <c r="M167" s="1" t="str">
        <f>VLOOKUP(D167,epiunits!A$1:J$4000,10,FALSE)</f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>
        <v>0</v>
      </c>
      <c r="AH167" s="1">
        <v>0</v>
      </c>
      <c r="AI167" s="1">
        <v>0</v>
      </c>
      <c r="AJ167" s="1">
        <v>0</v>
      </c>
      <c r="AK167" s="1">
        <v>0</v>
      </c>
      <c r="AL167" s="1">
        <v>0</v>
      </c>
      <c r="AM167" s="1">
        <v>0</v>
      </c>
      <c r="AN167" s="1">
        <v>0</v>
      </c>
      <c r="AO167" s="1">
        <v>0</v>
      </c>
      <c r="AP167" s="1">
        <v>0</v>
      </c>
      <c r="AQ167" s="1">
        <v>0</v>
      </c>
      <c r="AR167" s="1">
        <v>0</v>
      </c>
      <c r="AS167" s="1">
        <v>0</v>
      </c>
    </row>
    <row r="168" spans="1:45">
      <c r="A168" s="1" t="str">
        <f>VLOOKUP(D168,epiunits!A$1:C$4000,2,FALSE)</f>
      </c>
      <c r="B168" s="1" t="str">
        <f>VLOOKUP(D168,epiunits!A$1:C$4000,3,FALSE)</f>
      </c>
      <c r="C168" s="1" t="str">
        <f>VLOOKUP(E168,Inspector!A$1:B$50,2,FALSE)</f>
      </c>
      <c r="I168" s="1" t="str">
        <f>VLOOKUP(D168,epiunits!A$1:J$4000,6,FALSE)</f>
      </c>
      <c r="J168" s="1" t="str">
        <f>VLOOKUP(D168,epiunits!A$1:J$4000,7,FALSE)</f>
      </c>
      <c r="K168" s="1" t="str">
        <f>VLOOKUP(D168,epiunits!A$1:J$4000,8,FALSE)</f>
      </c>
      <c r="L168" s="1" t="str">
        <f>VLOOKUP(D168,epiunits!A$1:J$4000,9,FALSE)</f>
      </c>
      <c r="M168" s="1" t="str">
        <f>VLOOKUP(D168,epiunits!A$1:J$4000,10,FALSE)</f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1">
        <v>0</v>
      </c>
      <c r="AC168" s="1">
        <v>0</v>
      </c>
      <c r="AD168" s="1">
        <v>0</v>
      </c>
      <c r="AE168" s="1">
        <v>0</v>
      </c>
      <c r="AF168" s="1">
        <v>0</v>
      </c>
      <c r="AG168" s="1">
        <v>0</v>
      </c>
      <c r="AH168" s="1">
        <v>0</v>
      </c>
      <c r="AI168" s="1">
        <v>0</v>
      </c>
      <c r="AJ168" s="1">
        <v>0</v>
      </c>
      <c r="AK168" s="1">
        <v>0</v>
      </c>
      <c r="AL168" s="1">
        <v>0</v>
      </c>
      <c r="AM168" s="1">
        <v>0</v>
      </c>
      <c r="AN168" s="1">
        <v>0</v>
      </c>
      <c r="AO168" s="1">
        <v>0</v>
      </c>
      <c r="AP168" s="1">
        <v>0</v>
      </c>
      <c r="AQ168" s="1">
        <v>0</v>
      </c>
      <c r="AR168" s="1">
        <v>0</v>
      </c>
      <c r="AS168" s="1">
        <v>0</v>
      </c>
    </row>
    <row r="169" spans="1:45">
      <c r="A169" s="1" t="str">
        <f>VLOOKUP(D169,epiunits!A$1:C$4000,2,FALSE)</f>
      </c>
      <c r="B169" s="1" t="str">
        <f>VLOOKUP(D169,epiunits!A$1:C$4000,3,FALSE)</f>
      </c>
      <c r="C169" s="1" t="str">
        <f>VLOOKUP(E169,Inspector!A$1:B$50,2,FALSE)</f>
      </c>
      <c r="I169" s="1" t="str">
        <f>VLOOKUP(D169,epiunits!A$1:J$4000,6,FALSE)</f>
      </c>
      <c r="J169" s="1" t="str">
        <f>VLOOKUP(D169,epiunits!A$1:J$4000,7,FALSE)</f>
      </c>
      <c r="K169" s="1" t="str">
        <f>VLOOKUP(D169,epiunits!A$1:J$4000,8,FALSE)</f>
      </c>
      <c r="L169" s="1" t="str">
        <f>VLOOKUP(D169,epiunits!A$1:J$4000,9,FALSE)</f>
      </c>
      <c r="M169" s="1" t="str">
        <f>VLOOKUP(D169,epiunits!A$1:J$4000,10,FALSE)</f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  <c r="AD169" s="1">
        <v>0</v>
      </c>
      <c r="AE169" s="1">
        <v>0</v>
      </c>
      <c r="AF169" s="1">
        <v>0</v>
      </c>
      <c r="AG169" s="1">
        <v>0</v>
      </c>
      <c r="AH169" s="1">
        <v>0</v>
      </c>
      <c r="AI169" s="1">
        <v>0</v>
      </c>
      <c r="AJ169" s="1">
        <v>0</v>
      </c>
      <c r="AK169" s="1">
        <v>0</v>
      </c>
      <c r="AL169" s="1">
        <v>0</v>
      </c>
      <c r="AM169" s="1">
        <v>0</v>
      </c>
      <c r="AN169" s="1">
        <v>0</v>
      </c>
      <c r="AO169" s="1">
        <v>0</v>
      </c>
      <c r="AP169" s="1">
        <v>0</v>
      </c>
      <c r="AQ169" s="1">
        <v>0</v>
      </c>
      <c r="AR169" s="1">
        <v>0</v>
      </c>
      <c r="AS169" s="1">
        <v>0</v>
      </c>
    </row>
    <row r="170" spans="1:45">
      <c r="A170" s="1" t="str">
        <f>VLOOKUP(D170,epiunits!A$1:C$4000,2,FALSE)</f>
      </c>
      <c r="B170" s="1" t="str">
        <f>VLOOKUP(D170,epiunits!A$1:C$4000,3,FALSE)</f>
      </c>
      <c r="C170" s="1" t="str">
        <f>VLOOKUP(E170,Inspector!A$1:B$50,2,FALSE)</f>
      </c>
      <c r="I170" s="1" t="str">
        <f>VLOOKUP(D170,epiunits!A$1:J$4000,6,FALSE)</f>
      </c>
      <c r="J170" s="1" t="str">
        <f>VLOOKUP(D170,epiunits!A$1:J$4000,7,FALSE)</f>
      </c>
      <c r="K170" s="1" t="str">
        <f>VLOOKUP(D170,epiunits!A$1:J$4000,8,FALSE)</f>
      </c>
      <c r="L170" s="1" t="str">
        <f>VLOOKUP(D170,epiunits!A$1:J$4000,9,FALSE)</f>
      </c>
      <c r="M170" s="1" t="str">
        <f>VLOOKUP(D170,epiunits!A$1:J$4000,10,FALSE)</f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  <c r="AD170" s="1">
        <v>0</v>
      </c>
      <c r="AE170" s="1">
        <v>0</v>
      </c>
      <c r="AF170" s="1">
        <v>0</v>
      </c>
      <c r="AG170" s="1">
        <v>0</v>
      </c>
      <c r="AH170" s="1">
        <v>0</v>
      </c>
      <c r="AI170" s="1">
        <v>0</v>
      </c>
      <c r="AJ170" s="1">
        <v>0</v>
      </c>
      <c r="AK170" s="1">
        <v>0</v>
      </c>
      <c r="AL170" s="1">
        <v>0</v>
      </c>
      <c r="AM170" s="1">
        <v>0</v>
      </c>
      <c r="AN170" s="1">
        <v>0</v>
      </c>
      <c r="AO170" s="1">
        <v>0</v>
      </c>
      <c r="AP170" s="1">
        <v>0</v>
      </c>
      <c r="AQ170" s="1">
        <v>0</v>
      </c>
      <c r="AR170" s="1">
        <v>0</v>
      </c>
      <c r="AS170" s="1">
        <v>0</v>
      </c>
    </row>
    <row r="171" spans="1:45">
      <c r="A171" s="1" t="str">
        <f>VLOOKUP(D171,epiunits!A$1:C$4000,2,FALSE)</f>
      </c>
      <c r="B171" s="1" t="str">
        <f>VLOOKUP(D171,epiunits!A$1:C$4000,3,FALSE)</f>
      </c>
      <c r="C171" s="1" t="str">
        <f>VLOOKUP(E171,Inspector!A$1:B$50,2,FALSE)</f>
      </c>
      <c r="I171" s="1" t="str">
        <f>VLOOKUP(D171,epiunits!A$1:J$4000,6,FALSE)</f>
      </c>
      <c r="J171" s="1" t="str">
        <f>VLOOKUP(D171,epiunits!A$1:J$4000,7,FALSE)</f>
      </c>
      <c r="K171" s="1" t="str">
        <f>VLOOKUP(D171,epiunits!A$1:J$4000,8,FALSE)</f>
      </c>
      <c r="L171" s="1" t="str">
        <f>VLOOKUP(D171,epiunits!A$1:J$4000,9,FALSE)</f>
      </c>
      <c r="M171" s="1" t="str">
        <f>VLOOKUP(D171,epiunits!A$1:J$4000,10,FALSE)</f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  <c r="AG171" s="1">
        <v>0</v>
      </c>
      <c r="AH171" s="1">
        <v>0</v>
      </c>
      <c r="AI171" s="1">
        <v>0</v>
      </c>
      <c r="AJ171" s="1">
        <v>0</v>
      </c>
      <c r="AK171" s="1">
        <v>0</v>
      </c>
      <c r="AL171" s="1">
        <v>0</v>
      </c>
      <c r="AM171" s="1">
        <v>0</v>
      </c>
      <c r="AN171" s="1">
        <v>0</v>
      </c>
      <c r="AO171" s="1">
        <v>0</v>
      </c>
      <c r="AP171" s="1">
        <v>0</v>
      </c>
      <c r="AQ171" s="1">
        <v>0</v>
      </c>
      <c r="AR171" s="1">
        <v>0</v>
      </c>
      <c r="AS171" s="1">
        <v>0</v>
      </c>
    </row>
    <row r="172" spans="1:45">
      <c r="A172" s="1" t="str">
        <f>VLOOKUP(D172,epiunits!A$1:C$4000,2,FALSE)</f>
      </c>
      <c r="B172" s="1" t="str">
        <f>VLOOKUP(D172,epiunits!A$1:C$4000,3,FALSE)</f>
      </c>
      <c r="C172" s="1" t="str">
        <f>VLOOKUP(E172,Inspector!A$1:B$50,2,FALSE)</f>
      </c>
      <c r="I172" s="1" t="str">
        <f>VLOOKUP(D172,epiunits!A$1:J$4000,6,FALSE)</f>
      </c>
      <c r="J172" s="1" t="str">
        <f>VLOOKUP(D172,epiunits!A$1:J$4000,7,FALSE)</f>
      </c>
      <c r="K172" s="1" t="str">
        <f>VLOOKUP(D172,epiunits!A$1:J$4000,8,FALSE)</f>
      </c>
      <c r="L172" s="1" t="str">
        <f>VLOOKUP(D172,epiunits!A$1:J$4000,9,FALSE)</f>
      </c>
      <c r="M172" s="1" t="str">
        <f>VLOOKUP(D172,epiunits!A$1:J$4000,10,FALSE)</f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  <c r="AD172" s="1">
        <v>0</v>
      </c>
      <c r="AE172" s="1">
        <v>0</v>
      </c>
      <c r="AF172" s="1">
        <v>0</v>
      </c>
      <c r="AG172" s="1">
        <v>0</v>
      </c>
      <c r="AH172" s="1">
        <v>0</v>
      </c>
      <c r="AI172" s="1">
        <v>0</v>
      </c>
      <c r="AJ172" s="1">
        <v>0</v>
      </c>
      <c r="AK172" s="1">
        <v>0</v>
      </c>
      <c r="AL172" s="1">
        <v>0</v>
      </c>
      <c r="AM172" s="1">
        <v>0</v>
      </c>
      <c r="AN172" s="1">
        <v>0</v>
      </c>
      <c r="AO172" s="1">
        <v>0</v>
      </c>
      <c r="AP172" s="1">
        <v>0</v>
      </c>
      <c r="AQ172" s="1">
        <v>0</v>
      </c>
      <c r="AR172" s="1">
        <v>0</v>
      </c>
      <c r="AS172" s="1">
        <v>0</v>
      </c>
    </row>
    <row r="173" spans="1:45">
      <c r="A173" s="1" t="str">
        <f>VLOOKUP(D173,epiunits!A$1:C$4000,2,FALSE)</f>
      </c>
      <c r="B173" s="1" t="str">
        <f>VLOOKUP(D173,epiunits!A$1:C$4000,3,FALSE)</f>
      </c>
      <c r="C173" s="1" t="str">
        <f>VLOOKUP(E173,Inspector!A$1:B$50,2,FALSE)</f>
      </c>
      <c r="I173" s="1" t="str">
        <f>VLOOKUP(D173,epiunits!A$1:J$4000,6,FALSE)</f>
      </c>
      <c r="J173" s="1" t="str">
        <f>VLOOKUP(D173,epiunits!A$1:J$4000,7,FALSE)</f>
      </c>
      <c r="K173" s="1" t="str">
        <f>VLOOKUP(D173,epiunits!A$1:J$4000,8,FALSE)</f>
      </c>
      <c r="L173" s="1" t="str">
        <f>VLOOKUP(D173,epiunits!A$1:J$4000,9,FALSE)</f>
      </c>
      <c r="M173" s="1" t="str">
        <f>VLOOKUP(D173,epiunits!A$1:J$4000,10,FALSE)</f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>
        <v>0</v>
      </c>
      <c r="AH173" s="1">
        <v>0</v>
      </c>
      <c r="AI173" s="1">
        <v>0</v>
      </c>
      <c r="AJ173" s="1">
        <v>0</v>
      </c>
      <c r="AK173" s="1">
        <v>0</v>
      </c>
      <c r="AL173" s="1">
        <v>0</v>
      </c>
      <c r="AM173" s="1">
        <v>0</v>
      </c>
      <c r="AN173" s="1">
        <v>0</v>
      </c>
      <c r="AO173" s="1">
        <v>0</v>
      </c>
      <c r="AP173" s="1">
        <v>0</v>
      </c>
      <c r="AQ173" s="1">
        <v>0</v>
      </c>
      <c r="AR173" s="1">
        <v>0</v>
      </c>
      <c r="AS173" s="1">
        <v>0</v>
      </c>
    </row>
    <row r="174" spans="1:45">
      <c r="A174" s="1" t="str">
        <f>VLOOKUP(D174,epiunits!A$1:C$4000,2,FALSE)</f>
      </c>
      <c r="B174" s="1" t="str">
        <f>VLOOKUP(D174,epiunits!A$1:C$4000,3,FALSE)</f>
      </c>
      <c r="C174" s="1" t="str">
        <f>VLOOKUP(E174,Inspector!A$1:B$50,2,FALSE)</f>
      </c>
      <c r="I174" s="1" t="str">
        <f>VLOOKUP(D174,epiunits!A$1:J$4000,6,FALSE)</f>
      </c>
      <c r="J174" s="1" t="str">
        <f>VLOOKUP(D174,epiunits!A$1:J$4000,7,FALSE)</f>
      </c>
      <c r="K174" s="1" t="str">
        <f>VLOOKUP(D174,epiunits!A$1:J$4000,8,FALSE)</f>
      </c>
      <c r="L174" s="1" t="str">
        <f>VLOOKUP(D174,epiunits!A$1:J$4000,9,FALSE)</f>
      </c>
      <c r="M174" s="1" t="str">
        <f>VLOOKUP(D174,epiunits!A$1:J$4000,10,FALSE)</f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0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>
        <v>0</v>
      </c>
      <c r="AJ174" s="1">
        <v>0</v>
      </c>
      <c r="AK174" s="1">
        <v>0</v>
      </c>
      <c r="AL174" s="1">
        <v>0</v>
      </c>
      <c r="AM174" s="1">
        <v>0</v>
      </c>
      <c r="AN174" s="1">
        <v>0</v>
      </c>
      <c r="AO174" s="1">
        <v>0</v>
      </c>
      <c r="AP174" s="1">
        <v>0</v>
      </c>
      <c r="AQ174" s="1">
        <v>0</v>
      </c>
      <c r="AR174" s="1">
        <v>0</v>
      </c>
      <c r="AS174" s="1">
        <v>0</v>
      </c>
    </row>
    <row r="175" spans="1:45">
      <c r="A175" s="1" t="str">
        <f>VLOOKUP(D175,epiunits!A$1:C$4000,2,FALSE)</f>
      </c>
      <c r="B175" s="1" t="str">
        <f>VLOOKUP(D175,epiunits!A$1:C$4000,3,FALSE)</f>
      </c>
      <c r="C175" s="1" t="str">
        <f>VLOOKUP(E175,Inspector!A$1:B$50,2,FALSE)</f>
      </c>
      <c r="I175" s="1" t="str">
        <f>VLOOKUP(D175,epiunits!A$1:J$4000,6,FALSE)</f>
      </c>
      <c r="J175" s="1" t="str">
        <f>VLOOKUP(D175,epiunits!A$1:J$4000,7,FALSE)</f>
      </c>
      <c r="K175" s="1" t="str">
        <f>VLOOKUP(D175,epiunits!A$1:J$4000,8,FALSE)</f>
      </c>
      <c r="L175" s="1" t="str">
        <f>VLOOKUP(D175,epiunits!A$1:J$4000,9,FALSE)</f>
      </c>
      <c r="M175" s="1" t="str">
        <f>VLOOKUP(D175,epiunits!A$1:J$4000,10,FALSE)</f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0</v>
      </c>
      <c r="AD175" s="1">
        <v>0</v>
      </c>
      <c r="AE175" s="1">
        <v>0</v>
      </c>
      <c r="AF175" s="1">
        <v>0</v>
      </c>
      <c r="AG175" s="1">
        <v>0</v>
      </c>
      <c r="AH175" s="1">
        <v>0</v>
      </c>
      <c r="AI175" s="1">
        <v>0</v>
      </c>
      <c r="AJ175" s="1">
        <v>0</v>
      </c>
      <c r="AK175" s="1">
        <v>0</v>
      </c>
      <c r="AL175" s="1">
        <v>0</v>
      </c>
      <c r="AM175" s="1">
        <v>0</v>
      </c>
      <c r="AN175" s="1">
        <v>0</v>
      </c>
      <c r="AO175" s="1">
        <v>0</v>
      </c>
      <c r="AP175" s="1">
        <v>0</v>
      </c>
      <c r="AQ175" s="1">
        <v>0</v>
      </c>
      <c r="AR175" s="1">
        <v>0</v>
      </c>
      <c r="AS175" s="1">
        <v>0</v>
      </c>
    </row>
    <row r="176" spans="1:45">
      <c r="A176" s="1" t="str">
        <f>VLOOKUP(D176,epiunits!A$1:C$4000,2,FALSE)</f>
      </c>
      <c r="B176" s="1" t="str">
        <f>VLOOKUP(D176,epiunits!A$1:C$4000,3,FALSE)</f>
      </c>
      <c r="C176" s="1" t="str">
        <f>VLOOKUP(E176,Inspector!A$1:B$50,2,FALSE)</f>
      </c>
      <c r="I176" s="1" t="str">
        <f>VLOOKUP(D176,epiunits!A$1:J$4000,6,FALSE)</f>
      </c>
      <c r="J176" s="1" t="str">
        <f>VLOOKUP(D176,epiunits!A$1:J$4000,7,FALSE)</f>
      </c>
      <c r="K176" s="1" t="str">
        <f>VLOOKUP(D176,epiunits!A$1:J$4000,8,FALSE)</f>
      </c>
      <c r="L176" s="1" t="str">
        <f>VLOOKUP(D176,epiunits!A$1:J$4000,9,FALSE)</f>
      </c>
      <c r="M176" s="1" t="str">
        <f>VLOOKUP(D176,epiunits!A$1:J$4000,10,FALSE)</f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  <c r="AG176" s="1">
        <v>0</v>
      </c>
      <c r="AH176" s="1">
        <v>0</v>
      </c>
      <c r="AI176" s="1">
        <v>0</v>
      </c>
      <c r="AJ176" s="1">
        <v>0</v>
      </c>
      <c r="AK176" s="1">
        <v>0</v>
      </c>
      <c r="AL176" s="1">
        <v>0</v>
      </c>
      <c r="AM176" s="1">
        <v>0</v>
      </c>
      <c r="AN176" s="1">
        <v>0</v>
      </c>
      <c r="AO176" s="1">
        <v>0</v>
      </c>
      <c r="AP176" s="1">
        <v>0</v>
      </c>
      <c r="AQ176" s="1">
        <v>0</v>
      </c>
      <c r="AR176" s="1">
        <v>0</v>
      </c>
      <c r="AS176" s="1">
        <v>0</v>
      </c>
    </row>
    <row r="177" spans="1:45">
      <c r="A177" s="1" t="str">
        <f>VLOOKUP(D177,epiunits!A$1:C$4000,2,FALSE)</f>
      </c>
      <c r="B177" s="1" t="str">
        <f>VLOOKUP(D177,epiunits!A$1:C$4000,3,FALSE)</f>
      </c>
      <c r="C177" s="1" t="str">
        <f>VLOOKUP(E177,Inspector!A$1:B$50,2,FALSE)</f>
      </c>
      <c r="I177" s="1" t="str">
        <f>VLOOKUP(D177,epiunits!A$1:J$4000,6,FALSE)</f>
      </c>
      <c r="J177" s="1" t="str">
        <f>VLOOKUP(D177,epiunits!A$1:J$4000,7,FALSE)</f>
      </c>
      <c r="K177" s="1" t="str">
        <f>VLOOKUP(D177,epiunits!A$1:J$4000,8,FALSE)</f>
      </c>
      <c r="L177" s="1" t="str">
        <f>VLOOKUP(D177,epiunits!A$1:J$4000,9,FALSE)</f>
      </c>
      <c r="M177" s="1" t="str">
        <f>VLOOKUP(D177,epiunits!A$1:J$4000,10,FALSE)</f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>
        <v>0</v>
      </c>
      <c r="AH177" s="1">
        <v>0</v>
      </c>
      <c r="AI177" s="1">
        <v>0</v>
      </c>
      <c r="AJ177" s="1">
        <v>0</v>
      </c>
      <c r="AK177" s="1">
        <v>0</v>
      </c>
      <c r="AL177" s="1">
        <v>0</v>
      </c>
      <c r="AM177" s="1">
        <v>0</v>
      </c>
      <c r="AN177" s="1">
        <v>0</v>
      </c>
      <c r="AO177" s="1">
        <v>0</v>
      </c>
      <c r="AP177" s="1">
        <v>0</v>
      </c>
      <c r="AQ177" s="1">
        <v>0</v>
      </c>
      <c r="AR177" s="1">
        <v>0</v>
      </c>
      <c r="AS177" s="1">
        <v>0</v>
      </c>
    </row>
    <row r="178" spans="1:45">
      <c r="A178" s="1" t="str">
        <f>VLOOKUP(D178,epiunits!A$1:C$4000,2,FALSE)</f>
      </c>
      <c r="B178" s="1" t="str">
        <f>VLOOKUP(D178,epiunits!A$1:C$4000,3,FALSE)</f>
      </c>
      <c r="C178" s="1" t="str">
        <f>VLOOKUP(E178,Inspector!A$1:B$50,2,FALSE)</f>
      </c>
      <c r="I178" s="1" t="str">
        <f>VLOOKUP(D178,epiunits!A$1:J$4000,6,FALSE)</f>
      </c>
      <c r="J178" s="1" t="str">
        <f>VLOOKUP(D178,epiunits!A$1:J$4000,7,FALSE)</f>
      </c>
      <c r="K178" s="1" t="str">
        <f>VLOOKUP(D178,epiunits!A$1:J$4000,8,FALSE)</f>
      </c>
      <c r="L178" s="1" t="str">
        <f>VLOOKUP(D178,epiunits!A$1:J$4000,9,FALSE)</f>
      </c>
      <c r="M178" s="1" t="str">
        <f>VLOOKUP(D178,epiunits!A$1:J$4000,10,FALSE)</f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  <c r="AD178" s="1">
        <v>0</v>
      </c>
      <c r="AE178" s="1">
        <v>0</v>
      </c>
      <c r="AF178" s="1">
        <v>0</v>
      </c>
      <c r="AG178" s="1">
        <v>0</v>
      </c>
      <c r="AH178" s="1">
        <v>0</v>
      </c>
      <c r="AI178" s="1">
        <v>0</v>
      </c>
      <c r="AJ178" s="1">
        <v>0</v>
      </c>
      <c r="AK178" s="1">
        <v>0</v>
      </c>
      <c r="AL178" s="1">
        <v>0</v>
      </c>
      <c r="AM178" s="1">
        <v>0</v>
      </c>
      <c r="AN178" s="1">
        <v>0</v>
      </c>
      <c r="AO178" s="1">
        <v>0</v>
      </c>
      <c r="AP178" s="1">
        <v>0</v>
      </c>
      <c r="AQ178" s="1">
        <v>0</v>
      </c>
      <c r="AR178" s="1">
        <v>0</v>
      </c>
      <c r="AS178" s="1">
        <v>0</v>
      </c>
    </row>
    <row r="179" spans="1:45">
      <c r="A179" s="1" t="str">
        <f>VLOOKUP(D179,epiunits!A$1:C$4000,2,FALSE)</f>
      </c>
      <c r="B179" s="1" t="str">
        <f>VLOOKUP(D179,epiunits!A$1:C$4000,3,FALSE)</f>
      </c>
      <c r="C179" s="1" t="str">
        <f>VLOOKUP(E179,Inspector!A$1:B$50,2,FALSE)</f>
      </c>
      <c r="I179" s="1" t="str">
        <f>VLOOKUP(D179,epiunits!A$1:J$4000,6,FALSE)</f>
      </c>
      <c r="J179" s="1" t="str">
        <f>VLOOKUP(D179,epiunits!A$1:J$4000,7,FALSE)</f>
      </c>
      <c r="K179" s="1" t="str">
        <f>VLOOKUP(D179,epiunits!A$1:J$4000,8,FALSE)</f>
      </c>
      <c r="L179" s="1" t="str">
        <f>VLOOKUP(D179,epiunits!A$1:J$4000,9,FALSE)</f>
      </c>
      <c r="M179" s="1" t="str">
        <f>VLOOKUP(D179,epiunits!A$1:J$4000,10,FALSE)</f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0</v>
      </c>
      <c r="AC179" s="1">
        <v>0</v>
      </c>
      <c r="AD179" s="1">
        <v>0</v>
      </c>
      <c r="AE179" s="1">
        <v>0</v>
      </c>
      <c r="AF179" s="1">
        <v>0</v>
      </c>
      <c r="AG179" s="1">
        <v>0</v>
      </c>
      <c r="AH179" s="1">
        <v>0</v>
      </c>
      <c r="AI179" s="1">
        <v>0</v>
      </c>
      <c r="AJ179" s="1">
        <v>0</v>
      </c>
      <c r="AK179" s="1">
        <v>0</v>
      </c>
      <c r="AL179" s="1">
        <v>0</v>
      </c>
      <c r="AM179" s="1">
        <v>0</v>
      </c>
      <c r="AN179" s="1">
        <v>0</v>
      </c>
      <c r="AO179" s="1">
        <v>0</v>
      </c>
      <c r="AP179" s="1">
        <v>0</v>
      </c>
      <c r="AQ179" s="1">
        <v>0</v>
      </c>
      <c r="AR179" s="1">
        <v>0</v>
      </c>
      <c r="AS179" s="1">
        <v>0</v>
      </c>
    </row>
    <row r="180" spans="1:45">
      <c r="A180" s="1" t="str">
        <f>VLOOKUP(D180,epiunits!A$1:C$4000,2,FALSE)</f>
      </c>
      <c r="B180" s="1" t="str">
        <f>VLOOKUP(D180,epiunits!A$1:C$4000,3,FALSE)</f>
      </c>
      <c r="C180" s="1" t="str">
        <f>VLOOKUP(E180,Inspector!A$1:B$50,2,FALSE)</f>
      </c>
      <c r="I180" s="1" t="str">
        <f>VLOOKUP(D180,epiunits!A$1:J$4000,6,FALSE)</f>
      </c>
      <c r="J180" s="1" t="str">
        <f>VLOOKUP(D180,epiunits!A$1:J$4000,7,FALSE)</f>
      </c>
      <c r="K180" s="1" t="str">
        <f>VLOOKUP(D180,epiunits!A$1:J$4000,8,FALSE)</f>
      </c>
      <c r="L180" s="1" t="str">
        <f>VLOOKUP(D180,epiunits!A$1:J$4000,9,FALSE)</f>
      </c>
      <c r="M180" s="1" t="str">
        <f>VLOOKUP(D180,epiunits!A$1:J$4000,10,FALSE)</f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0</v>
      </c>
      <c r="AC180" s="1">
        <v>0</v>
      </c>
      <c r="AD180" s="1">
        <v>0</v>
      </c>
      <c r="AE180" s="1">
        <v>0</v>
      </c>
      <c r="AF180" s="1">
        <v>0</v>
      </c>
      <c r="AG180" s="1">
        <v>0</v>
      </c>
      <c r="AH180" s="1">
        <v>0</v>
      </c>
      <c r="AI180" s="1">
        <v>0</v>
      </c>
      <c r="AJ180" s="1">
        <v>0</v>
      </c>
      <c r="AK180" s="1">
        <v>0</v>
      </c>
      <c r="AL180" s="1">
        <v>0</v>
      </c>
      <c r="AM180" s="1">
        <v>0</v>
      </c>
      <c r="AN180" s="1">
        <v>0</v>
      </c>
      <c r="AO180" s="1">
        <v>0</v>
      </c>
      <c r="AP180" s="1">
        <v>0</v>
      </c>
      <c r="AQ180" s="1">
        <v>0</v>
      </c>
      <c r="AR180" s="1">
        <v>0</v>
      </c>
      <c r="AS180" s="1">
        <v>0</v>
      </c>
    </row>
    <row r="181" spans="1:45">
      <c r="A181" s="1" t="str">
        <f>VLOOKUP(D181,epiunits!A$1:C$4000,2,FALSE)</f>
      </c>
      <c r="B181" s="1" t="str">
        <f>VLOOKUP(D181,epiunits!A$1:C$4000,3,FALSE)</f>
      </c>
      <c r="C181" s="1" t="str">
        <f>VLOOKUP(E181,Inspector!A$1:B$50,2,FALSE)</f>
      </c>
      <c r="I181" s="1" t="str">
        <f>VLOOKUP(D181,epiunits!A$1:J$4000,6,FALSE)</f>
      </c>
      <c r="J181" s="1" t="str">
        <f>VLOOKUP(D181,epiunits!A$1:J$4000,7,FALSE)</f>
      </c>
      <c r="K181" s="1" t="str">
        <f>VLOOKUP(D181,epiunits!A$1:J$4000,8,FALSE)</f>
      </c>
      <c r="L181" s="1" t="str">
        <f>VLOOKUP(D181,epiunits!A$1:J$4000,9,FALSE)</f>
      </c>
      <c r="M181" s="1" t="str">
        <f>VLOOKUP(D181,epiunits!A$1:J$4000,10,FALSE)</f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0</v>
      </c>
      <c r="AC181" s="1">
        <v>0</v>
      </c>
      <c r="AD181" s="1">
        <v>0</v>
      </c>
      <c r="AE181" s="1">
        <v>0</v>
      </c>
      <c r="AF181" s="1">
        <v>0</v>
      </c>
      <c r="AG181" s="1">
        <v>0</v>
      </c>
      <c r="AH181" s="1">
        <v>0</v>
      </c>
      <c r="AI181" s="1">
        <v>0</v>
      </c>
      <c r="AJ181" s="1">
        <v>0</v>
      </c>
      <c r="AK181" s="1">
        <v>0</v>
      </c>
      <c r="AL181" s="1">
        <v>0</v>
      </c>
      <c r="AM181" s="1">
        <v>0</v>
      </c>
      <c r="AN181" s="1">
        <v>0</v>
      </c>
      <c r="AO181" s="1">
        <v>0</v>
      </c>
      <c r="AP181" s="1">
        <v>0</v>
      </c>
      <c r="AQ181" s="1">
        <v>0</v>
      </c>
      <c r="AR181" s="1">
        <v>0</v>
      </c>
      <c r="AS181" s="1">
        <v>0</v>
      </c>
    </row>
    <row r="182" spans="1:45">
      <c r="A182" s="1" t="str">
        <f>VLOOKUP(D182,epiunits!A$1:C$4000,2,FALSE)</f>
      </c>
      <c r="B182" s="1" t="str">
        <f>VLOOKUP(D182,epiunits!A$1:C$4000,3,FALSE)</f>
      </c>
      <c r="C182" s="1" t="str">
        <f>VLOOKUP(E182,Inspector!A$1:B$50,2,FALSE)</f>
      </c>
      <c r="I182" s="1" t="str">
        <f>VLOOKUP(D182,epiunits!A$1:J$4000,6,FALSE)</f>
      </c>
      <c r="J182" s="1" t="str">
        <f>VLOOKUP(D182,epiunits!A$1:J$4000,7,FALSE)</f>
      </c>
      <c r="K182" s="1" t="str">
        <f>VLOOKUP(D182,epiunits!A$1:J$4000,8,FALSE)</f>
      </c>
      <c r="L182" s="1" t="str">
        <f>VLOOKUP(D182,epiunits!A$1:J$4000,9,FALSE)</f>
      </c>
      <c r="M182" s="1" t="str">
        <f>VLOOKUP(D182,epiunits!A$1:J$4000,10,FALSE)</f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  <c r="AC182" s="1">
        <v>0</v>
      </c>
      <c r="AD182" s="1">
        <v>0</v>
      </c>
      <c r="AE182" s="1">
        <v>0</v>
      </c>
      <c r="AF182" s="1">
        <v>0</v>
      </c>
      <c r="AG182" s="1">
        <v>0</v>
      </c>
      <c r="AH182" s="1">
        <v>0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0</v>
      </c>
      <c r="AO182" s="1">
        <v>0</v>
      </c>
      <c r="AP182" s="1">
        <v>0</v>
      </c>
      <c r="AQ182" s="1">
        <v>0</v>
      </c>
      <c r="AR182" s="1">
        <v>0</v>
      </c>
      <c r="AS182" s="1">
        <v>0</v>
      </c>
    </row>
    <row r="183" spans="1:45">
      <c r="A183" s="1" t="str">
        <f>VLOOKUP(D183,epiunits!A$1:C$4000,2,FALSE)</f>
      </c>
      <c r="B183" s="1" t="str">
        <f>VLOOKUP(D183,epiunits!A$1:C$4000,3,FALSE)</f>
      </c>
      <c r="C183" s="1" t="str">
        <f>VLOOKUP(E183,Inspector!A$1:B$50,2,FALSE)</f>
      </c>
      <c r="I183" s="1" t="str">
        <f>VLOOKUP(D183,epiunits!A$1:J$4000,6,FALSE)</f>
      </c>
      <c r="J183" s="1" t="str">
        <f>VLOOKUP(D183,epiunits!A$1:J$4000,7,FALSE)</f>
      </c>
      <c r="K183" s="1" t="str">
        <f>VLOOKUP(D183,epiunits!A$1:J$4000,8,FALSE)</f>
      </c>
      <c r="L183" s="1" t="str">
        <f>VLOOKUP(D183,epiunits!A$1:J$4000,9,FALSE)</f>
      </c>
      <c r="M183" s="1" t="str">
        <f>VLOOKUP(D183,epiunits!A$1:J$4000,10,FALSE)</f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0</v>
      </c>
      <c r="AC183" s="1">
        <v>0</v>
      </c>
      <c r="AD183" s="1">
        <v>0</v>
      </c>
      <c r="AE183" s="1">
        <v>0</v>
      </c>
      <c r="AF183" s="1">
        <v>0</v>
      </c>
      <c r="AG183" s="1">
        <v>0</v>
      </c>
      <c r="AH183" s="1">
        <v>0</v>
      </c>
      <c r="AI183" s="1">
        <v>0</v>
      </c>
      <c r="AJ183" s="1">
        <v>0</v>
      </c>
      <c r="AK183" s="1">
        <v>0</v>
      </c>
      <c r="AL183" s="1">
        <v>0</v>
      </c>
      <c r="AM183" s="1">
        <v>0</v>
      </c>
      <c r="AN183" s="1">
        <v>0</v>
      </c>
      <c r="AO183" s="1">
        <v>0</v>
      </c>
      <c r="AP183" s="1">
        <v>0</v>
      </c>
      <c r="AQ183" s="1">
        <v>0</v>
      </c>
      <c r="AR183" s="1">
        <v>0</v>
      </c>
      <c r="AS183" s="1">
        <v>0</v>
      </c>
    </row>
    <row r="184" spans="1:45">
      <c r="A184" s="1" t="str">
        <f>VLOOKUP(D184,epiunits!A$1:C$4000,2,FALSE)</f>
      </c>
      <c r="B184" s="1" t="str">
        <f>VLOOKUP(D184,epiunits!A$1:C$4000,3,FALSE)</f>
      </c>
      <c r="C184" s="1" t="str">
        <f>VLOOKUP(E184,Inspector!A$1:B$50,2,FALSE)</f>
      </c>
      <c r="I184" s="1" t="str">
        <f>VLOOKUP(D184,epiunits!A$1:J$4000,6,FALSE)</f>
      </c>
      <c r="J184" s="1" t="str">
        <f>VLOOKUP(D184,epiunits!A$1:J$4000,7,FALSE)</f>
      </c>
      <c r="K184" s="1" t="str">
        <f>VLOOKUP(D184,epiunits!A$1:J$4000,8,FALSE)</f>
      </c>
      <c r="L184" s="1" t="str">
        <f>VLOOKUP(D184,epiunits!A$1:J$4000,9,FALSE)</f>
      </c>
      <c r="M184" s="1" t="str">
        <f>VLOOKUP(D184,epiunits!A$1:J$4000,10,FALSE)</f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0</v>
      </c>
      <c r="AC184" s="1">
        <v>0</v>
      </c>
      <c r="AD184" s="1">
        <v>0</v>
      </c>
      <c r="AE184" s="1">
        <v>0</v>
      </c>
      <c r="AF184" s="1">
        <v>0</v>
      </c>
      <c r="AG184" s="1">
        <v>0</v>
      </c>
      <c r="AH184" s="1">
        <v>0</v>
      </c>
      <c r="AI184" s="1">
        <v>0</v>
      </c>
      <c r="AJ184" s="1">
        <v>0</v>
      </c>
      <c r="AK184" s="1">
        <v>0</v>
      </c>
      <c r="AL184" s="1">
        <v>0</v>
      </c>
      <c r="AM184" s="1">
        <v>0</v>
      </c>
      <c r="AN184" s="1">
        <v>0</v>
      </c>
      <c r="AO184" s="1">
        <v>0</v>
      </c>
      <c r="AP184" s="1">
        <v>0</v>
      </c>
      <c r="AQ184" s="1">
        <v>0</v>
      </c>
      <c r="AR184" s="1">
        <v>0</v>
      </c>
      <c r="AS184" s="1">
        <v>0</v>
      </c>
    </row>
    <row r="185" spans="1:45">
      <c r="A185" s="1" t="str">
        <f>VLOOKUP(D185,epiunits!A$1:C$4000,2,FALSE)</f>
      </c>
      <c r="B185" s="1" t="str">
        <f>VLOOKUP(D185,epiunits!A$1:C$4000,3,FALSE)</f>
      </c>
      <c r="C185" s="1" t="str">
        <f>VLOOKUP(E185,Inspector!A$1:B$50,2,FALSE)</f>
      </c>
      <c r="I185" s="1" t="str">
        <f>VLOOKUP(D185,epiunits!A$1:J$4000,6,FALSE)</f>
      </c>
      <c r="J185" s="1" t="str">
        <f>VLOOKUP(D185,epiunits!A$1:J$4000,7,FALSE)</f>
      </c>
      <c r="K185" s="1" t="str">
        <f>VLOOKUP(D185,epiunits!A$1:J$4000,8,FALSE)</f>
      </c>
      <c r="L185" s="1" t="str">
        <f>VLOOKUP(D185,epiunits!A$1:J$4000,9,FALSE)</f>
      </c>
      <c r="M185" s="1" t="str">
        <f>VLOOKUP(D185,epiunits!A$1:J$4000,10,FALSE)</f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  <c r="AD185" s="1">
        <v>0</v>
      </c>
      <c r="AE185" s="1">
        <v>0</v>
      </c>
      <c r="AF185" s="1">
        <v>0</v>
      </c>
      <c r="AG185" s="1">
        <v>0</v>
      </c>
      <c r="AH185" s="1">
        <v>0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">
        <v>0</v>
      </c>
      <c r="AP185" s="1">
        <v>0</v>
      </c>
      <c r="AQ185" s="1">
        <v>0</v>
      </c>
      <c r="AR185" s="1">
        <v>0</v>
      </c>
      <c r="AS185" s="1">
        <v>0</v>
      </c>
    </row>
    <row r="186" spans="1:45">
      <c r="A186" s="1" t="str">
        <f>VLOOKUP(D186,epiunits!A$1:C$4000,2,FALSE)</f>
      </c>
      <c r="B186" s="1" t="str">
        <f>VLOOKUP(D186,epiunits!A$1:C$4000,3,FALSE)</f>
      </c>
      <c r="C186" s="1" t="str">
        <f>VLOOKUP(E186,Inspector!A$1:B$50,2,FALSE)</f>
      </c>
      <c r="I186" s="1" t="str">
        <f>VLOOKUP(D186,epiunits!A$1:J$4000,6,FALSE)</f>
      </c>
      <c r="J186" s="1" t="str">
        <f>VLOOKUP(D186,epiunits!A$1:J$4000,7,FALSE)</f>
      </c>
      <c r="K186" s="1" t="str">
        <f>VLOOKUP(D186,epiunits!A$1:J$4000,8,FALSE)</f>
      </c>
      <c r="L186" s="1" t="str">
        <f>VLOOKUP(D186,epiunits!A$1:J$4000,9,FALSE)</f>
      </c>
      <c r="M186" s="1" t="str">
        <f>VLOOKUP(D186,epiunits!A$1:J$4000,10,FALSE)</f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  <c r="AD186" s="1">
        <v>0</v>
      </c>
      <c r="AE186" s="1">
        <v>0</v>
      </c>
      <c r="AF186" s="1">
        <v>0</v>
      </c>
      <c r="AG186" s="1">
        <v>0</v>
      </c>
      <c r="AH186" s="1">
        <v>0</v>
      </c>
      <c r="AI186" s="1">
        <v>0</v>
      </c>
      <c r="AJ186" s="1">
        <v>0</v>
      </c>
      <c r="AK186" s="1">
        <v>0</v>
      </c>
      <c r="AL186" s="1">
        <v>0</v>
      </c>
      <c r="AM186" s="1">
        <v>0</v>
      </c>
      <c r="AN186" s="1">
        <v>0</v>
      </c>
      <c r="AO186" s="1">
        <v>0</v>
      </c>
      <c r="AP186" s="1">
        <v>0</v>
      </c>
      <c r="AQ186" s="1">
        <v>0</v>
      </c>
      <c r="AR186" s="1">
        <v>0</v>
      </c>
      <c r="AS186" s="1">
        <v>0</v>
      </c>
    </row>
    <row r="187" spans="1:45">
      <c r="A187" s="1" t="str">
        <f>VLOOKUP(D187,epiunits!A$1:C$4000,2,FALSE)</f>
      </c>
      <c r="B187" s="1" t="str">
        <f>VLOOKUP(D187,epiunits!A$1:C$4000,3,FALSE)</f>
      </c>
      <c r="C187" s="1" t="str">
        <f>VLOOKUP(E187,Inspector!A$1:B$50,2,FALSE)</f>
      </c>
      <c r="I187" s="1" t="str">
        <f>VLOOKUP(D187,epiunits!A$1:J$4000,6,FALSE)</f>
      </c>
      <c r="J187" s="1" t="str">
        <f>VLOOKUP(D187,epiunits!A$1:J$4000,7,FALSE)</f>
      </c>
      <c r="K187" s="1" t="str">
        <f>VLOOKUP(D187,epiunits!A$1:J$4000,8,FALSE)</f>
      </c>
      <c r="L187" s="1" t="str">
        <f>VLOOKUP(D187,epiunits!A$1:J$4000,9,FALSE)</f>
      </c>
      <c r="M187" s="1" t="str">
        <f>VLOOKUP(D187,epiunits!A$1:J$4000,10,FALSE)</f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  <c r="AD187" s="1">
        <v>0</v>
      </c>
      <c r="AE187" s="1">
        <v>0</v>
      </c>
      <c r="AF187" s="1">
        <v>0</v>
      </c>
      <c r="AG187" s="1">
        <v>0</v>
      </c>
      <c r="AH187" s="1">
        <v>0</v>
      </c>
      <c r="AI187" s="1">
        <v>0</v>
      </c>
      <c r="AJ187" s="1">
        <v>0</v>
      </c>
      <c r="AK187" s="1">
        <v>0</v>
      </c>
      <c r="AL187" s="1">
        <v>0</v>
      </c>
      <c r="AM187" s="1">
        <v>0</v>
      </c>
      <c r="AN187" s="1">
        <v>0</v>
      </c>
      <c r="AO187" s="1">
        <v>0</v>
      </c>
      <c r="AP187" s="1">
        <v>0</v>
      </c>
      <c r="AQ187" s="1">
        <v>0</v>
      </c>
      <c r="AR187" s="1">
        <v>0</v>
      </c>
      <c r="AS187" s="1">
        <v>0</v>
      </c>
    </row>
    <row r="188" spans="1:45">
      <c r="A188" s="1" t="str">
        <f>VLOOKUP(D188,epiunits!A$1:C$4000,2,FALSE)</f>
      </c>
      <c r="B188" s="1" t="str">
        <f>VLOOKUP(D188,epiunits!A$1:C$4000,3,FALSE)</f>
      </c>
      <c r="C188" s="1" t="str">
        <f>VLOOKUP(E188,Inspector!A$1:B$50,2,FALSE)</f>
      </c>
      <c r="I188" s="1" t="str">
        <f>VLOOKUP(D188,epiunits!A$1:J$4000,6,FALSE)</f>
      </c>
      <c r="J188" s="1" t="str">
        <f>VLOOKUP(D188,epiunits!A$1:J$4000,7,FALSE)</f>
      </c>
      <c r="K188" s="1" t="str">
        <f>VLOOKUP(D188,epiunits!A$1:J$4000,8,FALSE)</f>
      </c>
      <c r="L188" s="1" t="str">
        <f>VLOOKUP(D188,epiunits!A$1:J$4000,9,FALSE)</f>
      </c>
      <c r="M188" s="1" t="str">
        <f>VLOOKUP(D188,epiunits!A$1:J$4000,10,FALSE)</f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0</v>
      </c>
      <c r="AC188" s="1">
        <v>0</v>
      </c>
      <c r="AD188" s="1">
        <v>0</v>
      </c>
      <c r="AE188" s="1">
        <v>0</v>
      </c>
      <c r="AF188" s="1">
        <v>0</v>
      </c>
      <c r="AG188" s="1">
        <v>0</v>
      </c>
      <c r="AH188" s="1">
        <v>0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">
        <v>0</v>
      </c>
      <c r="AP188" s="1">
        <v>0</v>
      </c>
      <c r="AQ188" s="1">
        <v>0</v>
      </c>
      <c r="AR188" s="1">
        <v>0</v>
      </c>
      <c r="AS188" s="1">
        <v>0</v>
      </c>
    </row>
    <row r="189" spans="1:45">
      <c r="A189" s="1" t="str">
        <f>VLOOKUP(D189,epiunits!A$1:C$4000,2,FALSE)</f>
      </c>
      <c r="B189" s="1" t="str">
        <f>VLOOKUP(D189,epiunits!A$1:C$4000,3,FALSE)</f>
      </c>
      <c r="C189" s="1" t="str">
        <f>VLOOKUP(E189,Inspector!A$1:B$50,2,FALSE)</f>
      </c>
      <c r="I189" s="1" t="str">
        <f>VLOOKUP(D189,epiunits!A$1:J$4000,6,FALSE)</f>
      </c>
      <c r="J189" s="1" t="str">
        <f>VLOOKUP(D189,epiunits!A$1:J$4000,7,FALSE)</f>
      </c>
      <c r="K189" s="1" t="str">
        <f>VLOOKUP(D189,epiunits!A$1:J$4000,8,FALSE)</f>
      </c>
      <c r="L189" s="1" t="str">
        <f>VLOOKUP(D189,epiunits!A$1:J$4000,9,FALSE)</f>
      </c>
      <c r="M189" s="1" t="str">
        <f>VLOOKUP(D189,epiunits!A$1:J$4000,10,FALSE)</f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0</v>
      </c>
      <c r="AD189" s="1">
        <v>0</v>
      </c>
      <c r="AE189" s="1">
        <v>0</v>
      </c>
      <c r="AF189" s="1">
        <v>0</v>
      </c>
      <c r="AG189" s="1">
        <v>0</v>
      </c>
      <c r="AH189" s="1">
        <v>0</v>
      </c>
      <c r="AI189" s="1">
        <v>0</v>
      </c>
      <c r="AJ189" s="1">
        <v>0</v>
      </c>
      <c r="AK189" s="1">
        <v>0</v>
      </c>
      <c r="AL189" s="1">
        <v>0</v>
      </c>
      <c r="AM189" s="1">
        <v>0</v>
      </c>
      <c r="AN189" s="1">
        <v>0</v>
      </c>
      <c r="AO189" s="1">
        <v>0</v>
      </c>
      <c r="AP189" s="1">
        <v>0</v>
      </c>
      <c r="AQ189" s="1">
        <v>0</v>
      </c>
      <c r="AR189" s="1">
        <v>0</v>
      </c>
      <c r="AS189" s="1">
        <v>0</v>
      </c>
    </row>
    <row r="190" spans="1:45">
      <c r="A190" s="1" t="str">
        <f>VLOOKUP(D190,epiunits!A$1:C$4000,2,FALSE)</f>
      </c>
      <c r="B190" s="1" t="str">
        <f>VLOOKUP(D190,epiunits!A$1:C$4000,3,FALSE)</f>
      </c>
      <c r="C190" s="1" t="str">
        <f>VLOOKUP(E190,Inspector!A$1:B$50,2,FALSE)</f>
      </c>
      <c r="I190" s="1" t="str">
        <f>VLOOKUP(D190,epiunits!A$1:J$4000,6,FALSE)</f>
      </c>
      <c r="J190" s="1" t="str">
        <f>VLOOKUP(D190,epiunits!A$1:J$4000,7,FALSE)</f>
      </c>
      <c r="K190" s="1" t="str">
        <f>VLOOKUP(D190,epiunits!A$1:J$4000,8,FALSE)</f>
      </c>
      <c r="L190" s="1" t="str">
        <f>VLOOKUP(D190,epiunits!A$1:J$4000,9,FALSE)</f>
      </c>
      <c r="M190" s="1" t="str">
        <f>VLOOKUP(D190,epiunits!A$1:J$4000,10,FALSE)</f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 s="1">
        <v>0</v>
      </c>
      <c r="AD190" s="1">
        <v>0</v>
      </c>
      <c r="AE190" s="1">
        <v>0</v>
      </c>
      <c r="AF190" s="1">
        <v>0</v>
      </c>
      <c r="AG190" s="1">
        <v>0</v>
      </c>
      <c r="AH190" s="1">
        <v>0</v>
      </c>
      <c r="AI190" s="1">
        <v>0</v>
      </c>
      <c r="AJ190" s="1">
        <v>0</v>
      </c>
      <c r="AK190" s="1">
        <v>0</v>
      </c>
      <c r="AL190" s="1">
        <v>0</v>
      </c>
      <c r="AM190" s="1">
        <v>0</v>
      </c>
      <c r="AN190" s="1">
        <v>0</v>
      </c>
      <c r="AO190" s="1">
        <v>0</v>
      </c>
      <c r="AP190" s="1">
        <v>0</v>
      </c>
      <c r="AQ190" s="1">
        <v>0</v>
      </c>
      <c r="AR190" s="1">
        <v>0</v>
      </c>
      <c r="AS190" s="1">
        <v>0</v>
      </c>
    </row>
    <row r="191" spans="1:45">
      <c r="A191" s="1" t="str">
        <f>VLOOKUP(D191,epiunits!A$1:C$4000,2,FALSE)</f>
      </c>
      <c r="B191" s="1" t="str">
        <f>VLOOKUP(D191,epiunits!A$1:C$4000,3,FALSE)</f>
      </c>
      <c r="C191" s="1" t="str">
        <f>VLOOKUP(E191,Inspector!A$1:B$50,2,FALSE)</f>
      </c>
      <c r="I191" s="1" t="str">
        <f>VLOOKUP(D191,epiunits!A$1:J$4000,6,FALSE)</f>
      </c>
      <c r="J191" s="1" t="str">
        <f>VLOOKUP(D191,epiunits!A$1:J$4000,7,FALSE)</f>
      </c>
      <c r="K191" s="1" t="str">
        <f>VLOOKUP(D191,epiunits!A$1:J$4000,8,FALSE)</f>
      </c>
      <c r="L191" s="1" t="str">
        <f>VLOOKUP(D191,epiunits!A$1:J$4000,9,FALSE)</f>
      </c>
      <c r="M191" s="1" t="str">
        <f>VLOOKUP(D191,epiunits!A$1:J$4000,10,FALSE)</f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  <c r="AC191" s="1">
        <v>0</v>
      </c>
      <c r="AD191" s="1">
        <v>0</v>
      </c>
      <c r="AE191" s="1">
        <v>0</v>
      </c>
      <c r="AF191" s="1">
        <v>0</v>
      </c>
      <c r="AG191" s="1">
        <v>0</v>
      </c>
      <c r="AH191" s="1">
        <v>0</v>
      </c>
      <c r="AI191" s="1">
        <v>0</v>
      </c>
      <c r="AJ191" s="1">
        <v>0</v>
      </c>
      <c r="AK191" s="1">
        <v>0</v>
      </c>
      <c r="AL191" s="1">
        <v>0</v>
      </c>
      <c r="AM191" s="1">
        <v>0</v>
      </c>
      <c r="AN191" s="1">
        <v>0</v>
      </c>
      <c r="AO191" s="1">
        <v>0</v>
      </c>
      <c r="AP191" s="1">
        <v>0</v>
      </c>
      <c r="AQ191" s="1">
        <v>0</v>
      </c>
      <c r="AR191" s="1">
        <v>0</v>
      </c>
      <c r="AS191" s="1">
        <v>0</v>
      </c>
    </row>
    <row r="192" spans="1:45">
      <c r="A192" s="1" t="str">
        <f>VLOOKUP(D192,epiunits!A$1:C$4000,2,FALSE)</f>
      </c>
      <c r="B192" s="1" t="str">
        <f>VLOOKUP(D192,epiunits!A$1:C$4000,3,FALSE)</f>
      </c>
      <c r="C192" s="1" t="str">
        <f>VLOOKUP(E192,Inspector!A$1:B$50,2,FALSE)</f>
      </c>
      <c r="I192" s="1" t="str">
        <f>VLOOKUP(D192,epiunits!A$1:J$4000,6,FALSE)</f>
      </c>
      <c r="J192" s="1" t="str">
        <f>VLOOKUP(D192,epiunits!A$1:J$4000,7,FALSE)</f>
      </c>
      <c r="K192" s="1" t="str">
        <f>VLOOKUP(D192,epiunits!A$1:J$4000,8,FALSE)</f>
      </c>
      <c r="L192" s="1" t="str">
        <f>VLOOKUP(D192,epiunits!A$1:J$4000,9,FALSE)</f>
      </c>
      <c r="M192" s="1" t="str">
        <f>VLOOKUP(D192,epiunits!A$1:J$4000,10,FALSE)</f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0</v>
      </c>
      <c r="AD192" s="1">
        <v>0</v>
      </c>
      <c r="AE192" s="1">
        <v>0</v>
      </c>
      <c r="AF192" s="1">
        <v>0</v>
      </c>
      <c r="AG192" s="1">
        <v>0</v>
      </c>
      <c r="AH192" s="1">
        <v>0</v>
      </c>
      <c r="AI192" s="1">
        <v>0</v>
      </c>
      <c r="AJ192" s="1">
        <v>0</v>
      </c>
      <c r="AK192" s="1">
        <v>0</v>
      </c>
      <c r="AL192" s="1">
        <v>0</v>
      </c>
      <c r="AM192" s="1">
        <v>0</v>
      </c>
      <c r="AN192" s="1">
        <v>0</v>
      </c>
      <c r="AO192" s="1">
        <v>0</v>
      </c>
      <c r="AP192" s="1">
        <v>0</v>
      </c>
      <c r="AQ192" s="1">
        <v>0</v>
      </c>
      <c r="AR192" s="1">
        <v>0</v>
      </c>
      <c r="AS192" s="1">
        <v>0</v>
      </c>
    </row>
    <row r="193" spans="1:45">
      <c r="A193" s="1" t="str">
        <f>VLOOKUP(D193,epiunits!A$1:C$4000,2,FALSE)</f>
      </c>
      <c r="B193" s="1" t="str">
        <f>VLOOKUP(D193,epiunits!A$1:C$4000,3,FALSE)</f>
      </c>
      <c r="C193" s="1" t="str">
        <f>VLOOKUP(E193,Inspector!A$1:B$50,2,FALSE)</f>
      </c>
      <c r="I193" s="1" t="str">
        <f>VLOOKUP(D193,epiunits!A$1:J$4000,6,FALSE)</f>
      </c>
      <c r="J193" s="1" t="str">
        <f>VLOOKUP(D193,epiunits!A$1:J$4000,7,FALSE)</f>
      </c>
      <c r="K193" s="1" t="str">
        <f>VLOOKUP(D193,epiunits!A$1:J$4000,8,FALSE)</f>
      </c>
      <c r="L193" s="1" t="str">
        <f>VLOOKUP(D193,epiunits!A$1:J$4000,9,FALSE)</f>
      </c>
      <c r="M193" s="1" t="str">
        <f>VLOOKUP(D193,epiunits!A$1:J$4000,10,FALSE)</f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0</v>
      </c>
      <c r="AD193" s="1">
        <v>0</v>
      </c>
      <c r="AE193" s="1">
        <v>0</v>
      </c>
      <c r="AF193" s="1">
        <v>0</v>
      </c>
      <c r="AG193" s="1">
        <v>0</v>
      </c>
      <c r="AH193" s="1">
        <v>0</v>
      </c>
      <c r="AI193" s="1">
        <v>0</v>
      </c>
      <c r="AJ193" s="1">
        <v>0</v>
      </c>
      <c r="AK193" s="1">
        <v>0</v>
      </c>
      <c r="AL193" s="1">
        <v>0</v>
      </c>
      <c r="AM193" s="1">
        <v>0</v>
      </c>
      <c r="AN193" s="1">
        <v>0</v>
      </c>
      <c r="AO193" s="1">
        <v>0</v>
      </c>
      <c r="AP193" s="1">
        <v>0</v>
      </c>
      <c r="AQ193" s="1">
        <v>0</v>
      </c>
      <c r="AR193" s="1">
        <v>0</v>
      </c>
      <c r="AS193" s="1">
        <v>0</v>
      </c>
    </row>
    <row r="194" spans="1:45">
      <c r="A194" s="1" t="str">
        <f>VLOOKUP(D194,epiunits!A$1:C$4000,2,FALSE)</f>
      </c>
      <c r="B194" s="1" t="str">
        <f>VLOOKUP(D194,epiunits!A$1:C$4000,3,FALSE)</f>
      </c>
      <c r="C194" s="1" t="str">
        <f>VLOOKUP(E194,Inspector!A$1:B$50,2,FALSE)</f>
      </c>
      <c r="I194" s="1" t="str">
        <f>VLOOKUP(D194,epiunits!A$1:J$4000,6,FALSE)</f>
      </c>
      <c r="J194" s="1" t="str">
        <f>VLOOKUP(D194,epiunits!A$1:J$4000,7,FALSE)</f>
      </c>
      <c r="K194" s="1" t="str">
        <f>VLOOKUP(D194,epiunits!A$1:J$4000,8,FALSE)</f>
      </c>
      <c r="L194" s="1" t="str">
        <f>VLOOKUP(D194,epiunits!A$1:J$4000,9,FALSE)</f>
      </c>
      <c r="M194" s="1" t="str">
        <f>VLOOKUP(D194,epiunits!A$1:J$4000,10,FALSE)</f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  <c r="AC194" s="1">
        <v>0</v>
      </c>
      <c r="AD194" s="1">
        <v>0</v>
      </c>
      <c r="AE194" s="1">
        <v>0</v>
      </c>
      <c r="AF194" s="1">
        <v>0</v>
      </c>
      <c r="AG194" s="1">
        <v>0</v>
      </c>
      <c r="AH194" s="1">
        <v>0</v>
      </c>
      <c r="AI194" s="1">
        <v>0</v>
      </c>
      <c r="AJ194" s="1">
        <v>0</v>
      </c>
      <c r="AK194" s="1">
        <v>0</v>
      </c>
      <c r="AL194" s="1">
        <v>0</v>
      </c>
      <c r="AM194" s="1">
        <v>0</v>
      </c>
      <c r="AN194" s="1">
        <v>0</v>
      </c>
      <c r="AO194" s="1">
        <v>0</v>
      </c>
      <c r="AP194" s="1">
        <v>0</v>
      </c>
      <c r="AQ194" s="1">
        <v>0</v>
      </c>
      <c r="AR194" s="1">
        <v>0</v>
      </c>
      <c r="AS194" s="1">
        <v>0</v>
      </c>
    </row>
    <row r="195" spans="1:45">
      <c r="A195" s="1" t="str">
        <f>VLOOKUP(D195,epiunits!A$1:C$4000,2,FALSE)</f>
      </c>
      <c r="B195" s="1" t="str">
        <f>VLOOKUP(D195,epiunits!A$1:C$4000,3,FALSE)</f>
      </c>
      <c r="C195" s="1" t="str">
        <f>VLOOKUP(E195,Inspector!A$1:B$50,2,FALSE)</f>
      </c>
      <c r="I195" s="1" t="str">
        <f>VLOOKUP(D195,epiunits!A$1:J$4000,6,FALSE)</f>
      </c>
      <c r="J195" s="1" t="str">
        <f>VLOOKUP(D195,epiunits!A$1:J$4000,7,FALSE)</f>
      </c>
      <c r="K195" s="1" t="str">
        <f>VLOOKUP(D195,epiunits!A$1:J$4000,8,FALSE)</f>
      </c>
      <c r="L195" s="1" t="str">
        <f>VLOOKUP(D195,epiunits!A$1:J$4000,9,FALSE)</f>
      </c>
      <c r="M195" s="1" t="str">
        <f>VLOOKUP(D195,epiunits!A$1:J$4000,10,FALSE)</f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0</v>
      </c>
      <c r="AD195" s="1">
        <v>0</v>
      </c>
      <c r="AE195" s="1">
        <v>0</v>
      </c>
      <c r="AF195" s="1">
        <v>0</v>
      </c>
      <c r="AG195" s="1">
        <v>0</v>
      </c>
      <c r="AH195" s="1">
        <v>0</v>
      </c>
      <c r="AI195" s="1">
        <v>0</v>
      </c>
      <c r="AJ195" s="1">
        <v>0</v>
      </c>
      <c r="AK195" s="1">
        <v>0</v>
      </c>
      <c r="AL195" s="1">
        <v>0</v>
      </c>
      <c r="AM195" s="1">
        <v>0</v>
      </c>
      <c r="AN195" s="1">
        <v>0</v>
      </c>
      <c r="AO195" s="1">
        <v>0</v>
      </c>
      <c r="AP195" s="1">
        <v>0</v>
      </c>
      <c r="AQ195" s="1">
        <v>0</v>
      </c>
      <c r="AR195" s="1">
        <v>0</v>
      </c>
      <c r="AS195" s="1">
        <v>0</v>
      </c>
    </row>
    <row r="196" spans="1:45">
      <c r="A196" s="1" t="str">
        <f>VLOOKUP(D196,epiunits!A$1:C$4000,2,FALSE)</f>
      </c>
      <c r="B196" s="1" t="str">
        <f>VLOOKUP(D196,epiunits!A$1:C$4000,3,FALSE)</f>
      </c>
      <c r="C196" s="1" t="str">
        <f>VLOOKUP(E196,Inspector!A$1:B$50,2,FALSE)</f>
      </c>
      <c r="I196" s="1" t="str">
        <f>VLOOKUP(D196,epiunits!A$1:J$4000,6,FALSE)</f>
      </c>
      <c r="J196" s="1" t="str">
        <f>VLOOKUP(D196,epiunits!A$1:J$4000,7,FALSE)</f>
      </c>
      <c r="K196" s="1" t="str">
        <f>VLOOKUP(D196,epiunits!A$1:J$4000,8,FALSE)</f>
      </c>
      <c r="L196" s="1" t="str">
        <f>VLOOKUP(D196,epiunits!A$1:J$4000,9,FALSE)</f>
      </c>
      <c r="M196" s="1" t="str">
        <f>VLOOKUP(D196,epiunits!A$1:J$4000,10,FALSE)</f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  <c r="AC196" s="1">
        <v>0</v>
      </c>
      <c r="AD196" s="1">
        <v>0</v>
      </c>
      <c r="AE196" s="1">
        <v>0</v>
      </c>
      <c r="AF196" s="1">
        <v>0</v>
      </c>
      <c r="AG196" s="1">
        <v>0</v>
      </c>
      <c r="AH196" s="1">
        <v>0</v>
      </c>
      <c r="AI196" s="1">
        <v>0</v>
      </c>
      <c r="AJ196" s="1">
        <v>0</v>
      </c>
      <c r="AK196" s="1">
        <v>0</v>
      </c>
      <c r="AL196" s="1">
        <v>0</v>
      </c>
      <c r="AM196" s="1">
        <v>0</v>
      </c>
      <c r="AN196" s="1">
        <v>0</v>
      </c>
      <c r="AO196" s="1">
        <v>0</v>
      </c>
      <c r="AP196" s="1">
        <v>0</v>
      </c>
      <c r="AQ196" s="1">
        <v>0</v>
      </c>
      <c r="AR196" s="1">
        <v>0</v>
      </c>
      <c r="AS196" s="1">
        <v>0</v>
      </c>
    </row>
    <row r="197" spans="1:45">
      <c r="A197" s="1" t="str">
        <f>VLOOKUP(D197,epiunits!A$1:C$4000,2,FALSE)</f>
      </c>
      <c r="B197" s="1" t="str">
        <f>VLOOKUP(D197,epiunits!A$1:C$4000,3,FALSE)</f>
      </c>
      <c r="C197" s="1" t="str">
        <f>VLOOKUP(E197,Inspector!A$1:B$50,2,FALSE)</f>
      </c>
      <c r="I197" s="1" t="str">
        <f>VLOOKUP(D197,epiunits!A$1:J$4000,6,FALSE)</f>
      </c>
      <c r="J197" s="1" t="str">
        <f>VLOOKUP(D197,epiunits!A$1:J$4000,7,FALSE)</f>
      </c>
      <c r="K197" s="1" t="str">
        <f>VLOOKUP(D197,epiunits!A$1:J$4000,8,FALSE)</f>
      </c>
      <c r="L197" s="1" t="str">
        <f>VLOOKUP(D197,epiunits!A$1:J$4000,9,FALSE)</f>
      </c>
      <c r="M197" s="1" t="str">
        <f>VLOOKUP(D197,epiunits!A$1:J$4000,10,FALSE)</f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  <c r="AC197" s="1">
        <v>0</v>
      </c>
      <c r="AD197" s="1">
        <v>0</v>
      </c>
      <c r="AE197" s="1">
        <v>0</v>
      </c>
      <c r="AF197" s="1">
        <v>0</v>
      </c>
      <c r="AG197" s="1">
        <v>0</v>
      </c>
      <c r="AH197" s="1">
        <v>0</v>
      </c>
      <c r="AI197" s="1">
        <v>0</v>
      </c>
      <c r="AJ197" s="1">
        <v>0</v>
      </c>
      <c r="AK197" s="1">
        <v>0</v>
      </c>
      <c r="AL197" s="1">
        <v>0</v>
      </c>
      <c r="AM197" s="1">
        <v>0</v>
      </c>
      <c r="AN197" s="1">
        <v>0</v>
      </c>
      <c r="AO197" s="1">
        <v>0</v>
      </c>
      <c r="AP197" s="1">
        <v>0</v>
      </c>
      <c r="AQ197" s="1">
        <v>0</v>
      </c>
      <c r="AR197" s="1">
        <v>0</v>
      </c>
      <c r="AS197" s="1">
        <v>0</v>
      </c>
    </row>
    <row r="198" spans="1:45">
      <c r="A198" s="1" t="str">
        <f>VLOOKUP(D198,epiunits!A$1:C$4000,2,FALSE)</f>
      </c>
      <c r="B198" s="1" t="str">
        <f>VLOOKUP(D198,epiunits!A$1:C$4000,3,FALSE)</f>
      </c>
      <c r="C198" s="1" t="str">
        <f>VLOOKUP(E198,Inspector!A$1:B$50,2,FALSE)</f>
      </c>
      <c r="I198" s="1" t="str">
        <f>VLOOKUP(D198,epiunits!A$1:J$4000,6,FALSE)</f>
      </c>
      <c r="J198" s="1" t="str">
        <f>VLOOKUP(D198,epiunits!A$1:J$4000,7,FALSE)</f>
      </c>
      <c r="K198" s="1" t="str">
        <f>VLOOKUP(D198,epiunits!A$1:J$4000,8,FALSE)</f>
      </c>
      <c r="L198" s="1" t="str">
        <f>VLOOKUP(D198,epiunits!A$1:J$4000,9,FALSE)</f>
      </c>
      <c r="M198" s="1" t="str">
        <f>VLOOKUP(D198,epiunits!A$1:J$4000,10,FALSE)</f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  <c r="AB198" s="1">
        <v>0</v>
      </c>
      <c r="AC198" s="1">
        <v>0</v>
      </c>
      <c r="AD198" s="1">
        <v>0</v>
      </c>
      <c r="AE198" s="1">
        <v>0</v>
      </c>
      <c r="AF198" s="1">
        <v>0</v>
      </c>
      <c r="AG198" s="1">
        <v>0</v>
      </c>
      <c r="AH198" s="1">
        <v>0</v>
      </c>
      <c r="AI198" s="1">
        <v>0</v>
      </c>
      <c r="AJ198" s="1">
        <v>0</v>
      </c>
      <c r="AK198" s="1">
        <v>0</v>
      </c>
      <c r="AL198" s="1">
        <v>0</v>
      </c>
      <c r="AM198" s="1">
        <v>0</v>
      </c>
      <c r="AN198" s="1">
        <v>0</v>
      </c>
      <c r="AO198" s="1">
        <v>0</v>
      </c>
      <c r="AP198" s="1">
        <v>0</v>
      </c>
      <c r="AQ198" s="1">
        <v>0</v>
      </c>
      <c r="AR198" s="1">
        <v>0</v>
      </c>
      <c r="AS198" s="1">
        <v>0</v>
      </c>
    </row>
    <row r="199" spans="1:45">
      <c r="A199" s="1" t="str">
        <f>VLOOKUP(D199,epiunits!A$1:C$4000,2,FALSE)</f>
      </c>
      <c r="B199" s="1" t="str">
        <f>VLOOKUP(D199,epiunits!A$1:C$4000,3,FALSE)</f>
      </c>
      <c r="C199" s="1" t="str">
        <f>VLOOKUP(E199,Inspector!A$1:B$50,2,FALSE)</f>
      </c>
      <c r="I199" s="1" t="str">
        <f>VLOOKUP(D199,epiunits!A$1:J$4000,6,FALSE)</f>
      </c>
      <c r="J199" s="1" t="str">
        <f>VLOOKUP(D199,epiunits!A$1:J$4000,7,FALSE)</f>
      </c>
      <c r="K199" s="1" t="str">
        <f>VLOOKUP(D199,epiunits!A$1:J$4000,8,FALSE)</f>
      </c>
      <c r="L199" s="1" t="str">
        <f>VLOOKUP(D199,epiunits!A$1:J$4000,9,FALSE)</f>
      </c>
      <c r="M199" s="1" t="str">
        <f>VLOOKUP(D199,epiunits!A$1:J$4000,10,FALSE)</f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0</v>
      </c>
      <c r="AC199" s="1">
        <v>0</v>
      </c>
      <c r="AD199" s="1">
        <v>0</v>
      </c>
      <c r="AE199" s="1">
        <v>0</v>
      </c>
      <c r="AF199" s="1">
        <v>0</v>
      </c>
      <c r="AG199" s="1">
        <v>0</v>
      </c>
      <c r="AH199" s="1">
        <v>0</v>
      </c>
      <c r="AI199" s="1">
        <v>0</v>
      </c>
      <c r="AJ199" s="1">
        <v>0</v>
      </c>
      <c r="AK199" s="1">
        <v>0</v>
      </c>
      <c r="AL199" s="1">
        <v>0</v>
      </c>
      <c r="AM199" s="1">
        <v>0</v>
      </c>
      <c r="AN199" s="1">
        <v>0</v>
      </c>
      <c r="AO199" s="1">
        <v>0</v>
      </c>
      <c r="AP199" s="1">
        <v>0</v>
      </c>
      <c r="AQ199" s="1">
        <v>0</v>
      </c>
      <c r="AR199" s="1">
        <v>0</v>
      </c>
      <c r="AS199" s="1">
        <v>0</v>
      </c>
    </row>
    <row r="200" spans="1:45">
      <c r="A200" s="1" t="str">
        <f>VLOOKUP(D200,epiunits!A$1:C$4000,2,FALSE)</f>
      </c>
      <c r="B200" s="1" t="str">
        <f>VLOOKUP(D200,epiunits!A$1:C$4000,3,FALSE)</f>
      </c>
      <c r="C200" s="1" t="str">
        <f>VLOOKUP(E200,Inspector!A$1:B$50,2,FALSE)</f>
      </c>
      <c r="I200" s="1" t="str">
        <f>VLOOKUP(D200,epiunits!A$1:J$4000,6,FALSE)</f>
      </c>
      <c r="J200" s="1" t="str">
        <f>VLOOKUP(D200,epiunits!A$1:J$4000,7,FALSE)</f>
      </c>
      <c r="K200" s="1" t="str">
        <f>VLOOKUP(D200,epiunits!A$1:J$4000,8,FALSE)</f>
      </c>
      <c r="L200" s="1" t="str">
        <f>VLOOKUP(D200,epiunits!A$1:J$4000,9,FALSE)</f>
      </c>
      <c r="M200" s="1" t="str">
        <f>VLOOKUP(D200,epiunits!A$1:J$4000,10,FALSE)</f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  <c r="AD200" s="1">
        <v>0</v>
      </c>
      <c r="AE200" s="1">
        <v>0</v>
      </c>
      <c r="AF200" s="1">
        <v>0</v>
      </c>
      <c r="AG200" s="1">
        <v>0</v>
      </c>
      <c r="AH200" s="1">
        <v>0</v>
      </c>
      <c r="AI200" s="1">
        <v>0</v>
      </c>
      <c r="AJ200" s="1">
        <v>0</v>
      </c>
      <c r="AK200" s="1">
        <v>0</v>
      </c>
      <c r="AL200" s="1">
        <v>0</v>
      </c>
      <c r="AM200" s="1">
        <v>0</v>
      </c>
      <c r="AN200" s="1">
        <v>0</v>
      </c>
      <c r="AO200" s="1">
        <v>0</v>
      </c>
      <c r="AP200" s="1">
        <v>0</v>
      </c>
      <c r="AQ200" s="1">
        <v>0</v>
      </c>
      <c r="AR200" s="1">
        <v>0</v>
      </c>
      <c r="AS200" s="1">
        <v>0</v>
      </c>
    </row>
    <row r="201" spans="1:45">
      <c r="A201" s="1" t="str">
        <f>VLOOKUP(D201,epiunits!A$1:C$4000,2,FALSE)</f>
      </c>
      <c r="B201" s="1" t="str">
        <f>VLOOKUP(D201,epiunits!A$1:C$4000,3,FALSE)</f>
      </c>
      <c r="C201" s="1" t="str">
        <f>VLOOKUP(E201,Inspector!A$1:B$50,2,FALSE)</f>
      </c>
      <c r="I201" s="1" t="str">
        <f>VLOOKUP(D201,epiunits!A$1:J$4000,6,FALSE)</f>
      </c>
      <c r="J201" s="1" t="str">
        <f>VLOOKUP(D201,epiunits!A$1:J$4000,7,FALSE)</f>
      </c>
      <c r="K201" s="1" t="str">
        <f>VLOOKUP(D201,epiunits!A$1:J$4000,8,FALSE)</f>
      </c>
      <c r="L201" s="1" t="str">
        <f>VLOOKUP(D201,epiunits!A$1:J$4000,9,FALSE)</f>
      </c>
      <c r="M201" s="1" t="str">
        <f>VLOOKUP(D201,epiunits!A$1:J$4000,10,FALSE)</f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0</v>
      </c>
      <c r="AD201" s="1">
        <v>0</v>
      </c>
      <c r="AE201" s="1">
        <v>0</v>
      </c>
      <c r="AF201" s="1">
        <v>0</v>
      </c>
      <c r="AG201" s="1">
        <v>0</v>
      </c>
      <c r="AH201" s="1">
        <v>0</v>
      </c>
      <c r="AI201" s="1">
        <v>0</v>
      </c>
      <c r="AJ201" s="1">
        <v>0</v>
      </c>
      <c r="AK201" s="1">
        <v>0</v>
      </c>
      <c r="AL201" s="1">
        <v>0</v>
      </c>
      <c r="AM201" s="1">
        <v>0</v>
      </c>
      <c r="AN201" s="1">
        <v>0</v>
      </c>
      <c r="AO201" s="1">
        <v>0</v>
      </c>
      <c r="AP201" s="1">
        <v>0</v>
      </c>
      <c r="AQ201" s="1">
        <v>0</v>
      </c>
      <c r="AR201" s="1">
        <v>0</v>
      </c>
      <c r="AS201" s="1">
        <v>0</v>
      </c>
    </row>
    <row r="202" spans="1:45">
      <c r="A202" s="1" t="str">
        <f>VLOOKUP(D202,epiunits!A$1:C$4000,2,FALSE)</f>
      </c>
      <c r="B202" s="1" t="str">
        <f>VLOOKUP(D202,epiunits!A$1:C$4000,3,FALSE)</f>
      </c>
      <c r="C202" s="1" t="str">
        <f>VLOOKUP(E202,Inspector!A$1:B$50,2,FALSE)</f>
      </c>
      <c r="I202" s="1" t="str">
        <f>VLOOKUP(D202,epiunits!A$1:J$4000,6,FALSE)</f>
      </c>
      <c r="J202" s="1" t="str">
        <f>VLOOKUP(D202,epiunits!A$1:J$4000,7,FALSE)</f>
      </c>
      <c r="K202" s="1" t="str">
        <f>VLOOKUP(D202,epiunits!A$1:J$4000,8,FALSE)</f>
      </c>
      <c r="L202" s="1" t="str">
        <f>VLOOKUP(D202,epiunits!A$1:J$4000,9,FALSE)</f>
      </c>
      <c r="M202" s="1" t="str">
        <f>VLOOKUP(D202,epiunits!A$1:J$4000,10,FALSE)</f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0</v>
      </c>
      <c r="AD202" s="1">
        <v>0</v>
      </c>
      <c r="AE202" s="1">
        <v>0</v>
      </c>
      <c r="AF202" s="1">
        <v>0</v>
      </c>
      <c r="AG202" s="1">
        <v>0</v>
      </c>
      <c r="AH202" s="1">
        <v>0</v>
      </c>
      <c r="AI202" s="1">
        <v>0</v>
      </c>
      <c r="AJ202" s="1">
        <v>0</v>
      </c>
      <c r="AK202" s="1">
        <v>0</v>
      </c>
      <c r="AL202" s="1">
        <v>0</v>
      </c>
      <c r="AM202" s="1">
        <v>0</v>
      </c>
      <c r="AN202" s="1">
        <v>0</v>
      </c>
      <c r="AO202" s="1">
        <v>0</v>
      </c>
      <c r="AP202" s="1">
        <v>0</v>
      </c>
      <c r="AQ202" s="1">
        <v>0</v>
      </c>
      <c r="AR202" s="1">
        <v>0</v>
      </c>
      <c r="AS202" s="1">
        <v>0</v>
      </c>
    </row>
    <row r="203" spans="1:45">
      <c r="A203" s="1" t="str">
        <f>VLOOKUP(D203,epiunits!A$1:C$4000,2,FALSE)</f>
      </c>
      <c r="B203" s="1" t="str">
        <f>VLOOKUP(D203,epiunits!A$1:C$4000,3,FALSE)</f>
      </c>
      <c r="C203" s="1" t="str">
        <f>VLOOKUP(E203,Inspector!A$1:B$50,2,FALSE)</f>
      </c>
      <c r="I203" s="1" t="str">
        <f>VLOOKUP(D203,epiunits!A$1:J$4000,6,FALSE)</f>
      </c>
      <c r="J203" s="1" t="str">
        <f>VLOOKUP(D203,epiunits!A$1:J$4000,7,FALSE)</f>
      </c>
      <c r="K203" s="1" t="str">
        <f>VLOOKUP(D203,epiunits!A$1:J$4000,8,FALSE)</f>
      </c>
      <c r="L203" s="1" t="str">
        <f>VLOOKUP(D203,epiunits!A$1:J$4000,9,FALSE)</f>
      </c>
      <c r="M203" s="1" t="str">
        <f>VLOOKUP(D203,epiunits!A$1:J$4000,10,FALSE)</f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0</v>
      </c>
      <c r="AD203" s="1">
        <v>0</v>
      </c>
      <c r="AE203" s="1">
        <v>0</v>
      </c>
      <c r="AF203" s="1">
        <v>0</v>
      </c>
      <c r="AG203" s="1">
        <v>0</v>
      </c>
      <c r="AH203" s="1">
        <v>0</v>
      </c>
      <c r="AI203" s="1">
        <v>0</v>
      </c>
      <c r="AJ203" s="1">
        <v>0</v>
      </c>
      <c r="AK203" s="1">
        <v>0</v>
      </c>
      <c r="AL203" s="1">
        <v>0</v>
      </c>
      <c r="AM203" s="1">
        <v>0</v>
      </c>
      <c r="AN203" s="1">
        <v>0</v>
      </c>
      <c r="AO203" s="1">
        <v>0</v>
      </c>
      <c r="AP203" s="1">
        <v>0</v>
      </c>
      <c r="AQ203" s="1">
        <v>0</v>
      </c>
      <c r="AR203" s="1">
        <v>0</v>
      </c>
      <c r="AS203" s="1">
        <v>0</v>
      </c>
    </row>
    <row r="204" spans="1:45">
      <c r="A204" s="1" t="str">
        <f>VLOOKUP(D204,epiunits!A$1:C$4000,2,FALSE)</f>
      </c>
      <c r="B204" s="1" t="str">
        <f>VLOOKUP(D204,epiunits!A$1:C$4000,3,FALSE)</f>
      </c>
      <c r="C204" s="1" t="str">
        <f>VLOOKUP(E204,Inspector!A$1:B$50,2,FALSE)</f>
      </c>
      <c r="I204" s="1" t="str">
        <f>VLOOKUP(D204,epiunits!A$1:J$4000,6,FALSE)</f>
      </c>
      <c r="J204" s="1" t="str">
        <f>VLOOKUP(D204,epiunits!A$1:J$4000,7,FALSE)</f>
      </c>
      <c r="K204" s="1" t="str">
        <f>VLOOKUP(D204,epiunits!A$1:J$4000,8,FALSE)</f>
      </c>
      <c r="L204" s="1" t="str">
        <f>VLOOKUP(D204,epiunits!A$1:J$4000,9,FALSE)</f>
      </c>
      <c r="M204" s="1" t="str">
        <f>VLOOKUP(D204,epiunits!A$1:J$4000,10,FALSE)</f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0</v>
      </c>
      <c r="AD204" s="1">
        <v>0</v>
      </c>
      <c r="AE204" s="1">
        <v>0</v>
      </c>
      <c r="AF204" s="1">
        <v>0</v>
      </c>
      <c r="AG204" s="1">
        <v>0</v>
      </c>
      <c r="AH204" s="1">
        <v>0</v>
      </c>
      <c r="AI204" s="1">
        <v>0</v>
      </c>
      <c r="AJ204" s="1">
        <v>0</v>
      </c>
      <c r="AK204" s="1">
        <v>0</v>
      </c>
      <c r="AL204" s="1">
        <v>0</v>
      </c>
      <c r="AM204" s="1">
        <v>0</v>
      </c>
      <c r="AN204" s="1">
        <v>0</v>
      </c>
      <c r="AO204" s="1">
        <v>0</v>
      </c>
      <c r="AP204" s="1">
        <v>0</v>
      </c>
      <c r="AQ204" s="1">
        <v>0</v>
      </c>
      <c r="AR204" s="1">
        <v>0</v>
      </c>
      <c r="AS204" s="1">
        <v>0</v>
      </c>
    </row>
    <row r="205" spans="1:45">
      <c r="A205" s="1" t="str">
        <f>VLOOKUP(D205,epiunits!A$1:C$4000,2,FALSE)</f>
      </c>
      <c r="B205" s="1" t="str">
        <f>VLOOKUP(D205,epiunits!A$1:C$4000,3,FALSE)</f>
      </c>
      <c r="C205" s="1" t="str">
        <f>VLOOKUP(E205,Inspector!A$1:B$50,2,FALSE)</f>
      </c>
      <c r="I205" s="1" t="str">
        <f>VLOOKUP(D205,epiunits!A$1:J$4000,6,FALSE)</f>
      </c>
      <c r="J205" s="1" t="str">
        <f>VLOOKUP(D205,epiunits!A$1:J$4000,7,FALSE)</f>
      </c>
      <c r="K205" s="1" t="str">
        <f>VLOOKUP(D205,epiunits!A$1:J$4000,8,FALSE)</f>
      </c>
      <c r="L205" s="1" t="str">
        <f>VLOOKUP(D205,epiunits!A$1:J$4000,9,FALSE)</f>
      </c>
      <c r="M205" s="1" t="str">
        <f>VLOOKUP(D205,epiunits!A$1:J$4000,10,FALSE)</f>
      </c>
      <c r="N205" s="1">
        <v>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0</v>
      </c>
      <c r="AD205" s="1">
        <v>0</v>
      </c>
      <c r="AE205" s="1">
        <v>0</v>
      </c>
      <c r="AF205" s="1">
        <v>0</v>
      </c>
      <c r="AG205" s="1">
        <v>0</v>
      </c>
      <c r="AH205" s="1">
        <v>0</v>
      </c>
      <c r="AI205" s="1">
        <v>0</v>
      </c>
      <c r="AJ205" s="1">
        <v>0</v>
      </c>
      <c r="AK205" s="1">
        <v>0</v>
      </c>
      <c r="AL205" s="1">
        <v>0</v>
      </c>
      <c r="AM205" s="1">
        <v>0</v>
      </c>
      <c r="AN205" s="1">
        <v>0</v>
      </c>
      <c r="AO205" s="1">
        <v>0</v>
      </c>
      <c r="AP205" s="1">
        <v>0</v>
      </c>
      <c r="AQ205" s="1">
        <v>0</v>
      </c>
      <c r="AR205" s="1">
        <v>0</v>
      </c>
      <c r="AS205" s="1">
        <v>0</v>
      </c>
    </row>
    <row r="206" spans="1:45">
      <c r="A206" s="1" t="str">
        <f>VLOOKUP(D206,epiunits!A$1:C$4000,2,FALSE)</f>
      </c>
      <c r="B206" s="1" t="str">
        <f>VLOOKUP(D206,epiunits!A$1:C$4000,3,FALSE)</f>
      </c>
      <c r="C206" s="1" t="str">
        <f>VLOOKUP(E206,Inspector!A$1:B$50,2,FALSE)</f>
      </c>
      <c r="I206" s="1" t="str">
        <f>VLOOKUP(D206,epiunits!A$1:J$4000,6,FALSE)</f>
      </c>
      <c r="J206" s="1" t="str">
        <f>VLOOKUP(D206,epiunits!A$1:J$4000,7,FALSE)</f>
      </c>
      <c r="K206" s="1" t="str">
        <f>VLOOKUP(D206,epiunits!A$1:J$4000,8,FALSE)</f>
      </c>
      <c r="L206" s="1" t="str">
        <f>VLOOKUP(D206,epiunits!A$1:J$4000,9,FALSE)</f>
      </c>
      <c r="M206" s="1" t="str">
        <f>VLOOKUP(D206,epiunits!A$1:J$4000,10,FALSE)</f>
      </c>
      <c r="N206" s="1">
        <v>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0</v>
      </c>
      <c r="AD206" s="1">
        <v>0</v>
      </c>
      <c r="AE206" s="1">
        <v>0</v>
      </c>
      <c r="AF206" s="1">
        <v>0</v>
      </c>
      <c r="AG206" s="1">
        <v>0</v>
      </c>
      <c r="AH206" s="1">
        <v>0</v>
      </c>
      <c r="AI206" s="1">
        <v>0</v>
      </c>
      <c r="AJ206" s="1">
        <v>0</v>
      </c>
      <c r="AK206" s="1">
        <v>0</v>
      </c>
      <c r="AL206" s="1">
        <v>0</v>
      </c>
      <c r="AM206" s="1">
        <v>0</v>
      </c>
      <c r="AN206" s="1">
        <v>0</v>
      </c>
      <c r="AO206" s="1">
        <v>0</v>
      </c>
      <c r="AP206" s="1">
        <v>0</v>
      </c>
      <c r="AQ206" s="1">
        <v>0</v>
      </c>
      <c r="AR206" s="1">
        <v>0</v>
      </c>
      <c r="AS206" s="1">
        <v>0</v>
      </c>
    </row>
    <row r="207" spans="1:45">
      <c r="A207" s="1" t="str">
        <f>VLOOKUP(D207,epiunits!A$1:C$4000,2,FALSE)</f>
      </c>
      <c r="B207" s="1" t="str">
        <f>VLOOKUP(D207,epiunits!A$1:C$4000,3,FALSE)</f>
      </c>
      <c r="C207" s="1" t="str">
        <f>VLOOKUP(E207,Inspector!A$1:B$50,2,FALSE)</f>
      </c>
      <c r="I207" s="1" t="str">
        <f>VLOOKUP(D207,epiunits!A$1:J$4000,6,FALSE)</f>
      </c>
      <c r="J207" s="1" t="str">
        <f>VLOOKUP(D207,epiunits!A$1:J$4000,7,FALSE)</f>
      </c>
      <c r="K207" s="1" t="str">
        <f>VLOOKUP(D207,epiunits!A$1:J$4000,8,FALSE)</f>
      </c>
      <c r="L207" s="1" t="str">
        <f>VLOOKUP(D207,epiunits!A$1:J$4000,9,FALSE)</f>
      </c>
      <c r="M207" s="1" t="str">
        <f>VLOOKUP(D207,epiunits!A$1:J$4000,10,FALSE)</f>
      </c>
      <c r="N207" s="1">
        <v>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0</v>
      </c>
      <c r="AD207" s="1">
        <v>0</v>
      </c>
      <c r="AE207" s="1">
        <v>0</v>
      </c>
      <c r="AF207" s="1">
        <v>0</v>
      </c>
      <c r="AG207" s="1">
        <v>0</v>
      </c>
      <c r="AH207" s="1">
        <v>0</v>
      </c>
      <c r="AI207" s="1">
        <v>0</v>
      </c>
      <c r="AJ207" s="1">
        <v>0</v>
      </c>
      <c r="AK207" s="1">
        <v>0</v>
      </c>
      <c r="AL207" s="1">
        <v>0</v>
      </c>
      <c r="AM207" s="1">
        <v>0</v>
      </c>
      <c r="AN207" s="1">
        <v>0</v>
      </c>
      <c r="AO207" s="1">
        <v>0</v>
      </c>
      <c r="AP207" s="1">
        <v>0</v>
      </c>
      <c r="AQ207" s="1">
        <v>0</v>
      </c>
      <c r="AR207" s="1">
        <v>0</v>
      </c>
      <c r="AS207" s="1">
        <v>0</v>
      </c>
    </row>
    <row r="208" spans="1:45">
      <c r="A208" s="1" t="str">
        <f>VLOOKUP(D208,epiunits!A$1:C$4000,2,FALSE)</f>
      </c>
      <c r="B208" s="1" t="str">
        <f>VLOOKUP(D208,epiunits!A$1:C$4000,3,FALSE)</f>
      </c>
      <c r="C208" s="1" t="str">
        <f>VLOOKUP(E208,Inspector!A$1:B$50,2,FALSE)</f>
      </c>
      <c r="I208" s="1" t="str">
        <f>VLOOKUP(D208,epiunits!A$1:J$4000,6,FALSE)</f>
      </c>
      <c r="J208" s="1" t="str">
        <f>VLOOKUP(D208,epiunits!A$1:J$4000,7,FALSE)</f>
      </c>
      <c r="K208" s="1" t="str">
        <f>VLOOKUP(D208,epiunits!A$1:J$4000,8,FALSE)</f>
      </c>
      <c r="L208" s="1" t="str">
        <f>VLOOKUP(D208,epiunits!A$1:J$4000,9,FALSE)</f>
      </c>
      <c r="M208" s="1" t="str">
        <f>VLOOKUP(D208,epiunits!A$1:J$4000,10,FALSE)</f>
      </c>
      <c r="N208" s="1">
        <v>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0</v>
      </c>
      <c r="AD208" s="1">
        <v>0</v>
      </c>
      <c r="AE208" s="1">
        <v>0</v>
      </c>
      <c r="AF208" s="1">
        <v>0</v>
      </c>
      <c r="AG208" s="1">
        <v>0</v>
      </c>
      <c r="AH208" s="1">
        <v>0</v>
      </c>
      <c r="AI208" s="1">
        <v>0</v>
      </c>
      <c r="AJ208" s="1">
        <v>0</v>
      </c>
      <c r="AK208" s="1">
        <v>0</v>
      </c>
      <c r="AL208" s="1">
        <v>0</v>
      </c>
      <c r="AM208" s="1">
        <v>0</v>
      </c>
      <c r="AN208" s="1">
        <v>0</v>
      </c>
      <c r="AO208" s="1">
        <v>0</v>
      </c>
      <c r="AP208" s="1">
        <v>0</v>
      </c>
      <c r="AQ208" s="1">
        <v>0</v>
      </c>
      <c r="AR208" s="1">
        <v>0</v>
      </c>
      <c r="AS208" s="1">
        <v>0</v>
      </c>
    </row>
    <row r="209" spans="1:45">
      <c r="A209" s="1" t="str">
        <f>VLOOKUP(D209,epiunits!A$1:C$4000,2,FALSE)</f>
      </c>
      <c r="B209" s="1" t="str">
        <f>VLOOKUP(D209,epiunits!A$1:C$4000,3,FALSE)</f>
      </c>
      <c r="C209" s="1" t="str">
        <f>VLOOKUP(E209,Inspector!A$1:B$50,2,FALSE)</f>
      </c>
      <c r="I209" s="1" t="str">
        <f>VLOOKUP(D209,epiunits!A$1:J$4000,6,FALSE)</f>
      </c>
      <c r="J209" s="1" t="str">
        <f>VLOOKUP(D209,epiunits!A$1:J$4000,7,FALSE)</f>
      </c>
      <c r="K209" s="1" t="str">
        <f>VLOOKUP(D209,epiunits!A$1:J$4000,8,FALSE)</f>
      </c>
      <c r="L209" s="1" t="str">
        <f>VLOOKUP(D209,epiunits!A$1:J$4000,9,FALSE)</f>
      </c>
      <c r="M209" s="1" t="str">
        <f>VLOOKUP(D209,epiunits!A$1:J$4000,10,FALSE)</f>
      </c>
      <c r="N209" s="1">
        <v>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1">
        <v>0</v>
      </c>
      <c r="AC209" s="1">
        <v>0</v>
      </c>
      <c r="AD209" s="1">
        <v>0</v>
      </c>
      <c r="AE209" s="1">
        <v>0</v>
      </c>
      <c r="AF209" s="1">
        <v>0</v>
      </c>
      <c r="AG209" s="1">
        <v>0</v>
      </c>
      <c r="AH209" s="1">
        <v>0</v>
      </c>
      <c r="AI209" s="1">
        <v>0</v>
      </c>
      <c r="AJ209" s="1">
        <v>0</v>
      </c>
      <c r="AK209" s="1">
        <v>0</v>
      </c>
      <c r="AL209" s="1">
        <v>0</v>
      </c>
      <c r="AM209" s="1">
        <v>0</v>
      </c>
      <c r="AN209" s="1">
        <v>0</v>
      </c>
      <c r="AO209" s="1">
        <v>0</v>
      </c>
      <c r="AP209" s="1">
        <v>0</v>
      </c>
      <c r="AQ209" s="1">
        <v>0</v>
      </c>
      <c r="AR209" s="1">
        <v>0</v>
      </c>
      <c r="AS209" s="1">
        <v>0</v>
      </c>
    </row>
    <row r="210" spans="1:45">
      <c r="A210" s="1" t="str">
        <f>VLOOKUP(D210,epiunits!A$1:C$4000,2,FALSE)</f>
      </c>
      <c r="B210" s="1" t="str">
        <f>VLOOKUP(D210,epiunits!A$1:C$4000,3,FALSE)</f>
      </c>
      <c r="C210" s="1" t="str">
        <f>VLOOKUP(E210,Inspector!A$1:B$50,2,FALSE)</f>
      </c>
      <c r="I210" s="1" t="str">
        <f>VLOOKUP(D210,epiunits!A$1:J$4000,6,FALSE)</f>
      </c>
      <c r="J210" s="1" t="str">
        <f>VLOOKUP(D210,epiunits!A$1:J$4000,7,FALSE)</f>
      </c>
      <c r="K210" s="1" t="str">
        <f>VLOOKUP(D210,epiunits!A$1:J$4000,8,FALSE)</f>
      </c>
      <c r="L210" s="1" t="str">
        <f>VLOOKUP(D210,epiunits!A$1:J$4000,9,FALSE)</f>
      </c>
      <c r="M210" s="1" t="str">
        <f>VLOOKUP(D210,epiunits!A$1:J$4000,10,FALSE)</f>
      </c>
      <c r="N210" s="1">
        <v>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0</v>
      </c>
      <c r="AC210" s="1">
        <v>0</v>
      </c>
      <c r="AD210" s="1">
        <v>0</v>
      </c>
      <c r="AE210" s="1">
        <v>0</v>
      </c>
      <c r="AF210" s="1">
        <v>0</v>
      </c>
      <c r="AG210" s="1">
        <v>0</v>
      </c>
      <c r="AH210" s="1">
        <v>0</v>
      </c>
      <c r="AI210" s="1">
        <v>0</v>
      </c>
      <c r="AJ210" s="1">
        <v>0</v>
      </c>
      <c r="AK210" s="1">
        <v>0</v>
      </c>
      <c r="AL210" s="1">
        <v>0</v>
      </c>
      <c r="AM210" s="1">
        <v>0</v>
      </c>
      <c r="AN210" s="1">
        <v>0</v>
      </c>
      <c r="AO210" s="1">
        <v>0</v>
      </c>
      <c r="AP210" s="1">
        <v>0</v>
      </c>
      <c r="AQ210" s="1">
        <v>0</v>
      </c>
      <c r="AR210" s="1">
        <v>0</v>
      </c>
      <c r="AS210" s="1">
        <v>0</v>
      </c>
    </row>
    <row r="211" spans="1:45">
      <c r="A211" s="1" t="str">
        <f>VLOOKUP(D211,epiunits!A$1:C$4000,2,FALSE)</f>
      </c>
      <c r="B211" s="1" t="str">
        <f>VLOOKUP(D211,epiunits!A$1:C$4000,3,FALSE)</f>
      </c>
      <c r="C211" s="1" t="str">
        <f>VLOOKUP(E211,Inspector!A$1:B$50,2,FALSE)</f>
      </c>
      <c r="I211" s="1" t="str">
        <f>VLOOKUP(D211,epiunits!A$1:J$4000,6,FALSE)</f>
      </c>
      <c r="J211" s="1" t="str">
        <f>VLOOKUP(D211,epiunits!A$1:J$4000,7,FALSE)</f>
      </c>
      <c r="K211" s="1" t="str">
        <f>VLOOKUP(D211,epiunits!A$1:J$4000,8,FALSE)</f>
      </c>
      <c r="L211" s="1" t="str">
        <f>VLOOKUP(D211,epiunits!A$1:J$4000,9,FALSE)</f>
      </c>
      <c r="M211" s="1" t="str">
        <f>VLOOKUP(D211,epiunits!A$1:J$4000,10,FALSE)</f>
      </c>
      <c r="N211" s="1">
        <v>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0</v>
      </c>
      <c r="AC211" s="1">
        <v>0</v>
      </c>
      <c r="AD211" s="1">
        <v>0</v>
      </c>
      <c r="AE211" s="1">
        <v>0</v>
      </c>
      <c r="AF211" s="1">
        <v>0</v>
      </c>
      <c r="AG211" s="1">
        <v>0</v>
      </c>
      <c r="AH211" s="1">
        <v>0</v>
      </c>
      <c r="AI211" s="1">
        <v>0</v>
      </c>
      <c r="AJ211" s="1">
        <v>0</v>
      </c>
      <c r="AK211" s="1">
        <v>0</v>
      </c>
      <c r="AL211" s="1">
        <v>0</v>
      </c>
      <c r="AM211" s="1">
        <v>0</v>
      </c>
      <c r="AN211" s="1">
        <v>0</v>
      </c>
      <c r="AO211" s="1">
        <v>0</v>
      </c>
      <c r="AP211" s="1">
        <v>0</v>
      </c>
      <c r="AQ211" s="1">
        <v>0</v>
      </c>
      <c r="AR211" s="1">
        <v>0</v>
      </c>
      <c r="AS211" s="1">
        <v>0</v>
      </c>
    </row>
    <row r="212" spans="1:45">
      <c r="A212" s="1" t="str">
        <f>VLOOKUP(D212,epiunits!A$1:C$4000,2,FALSE)</f>
      </c>
      <c r="B212" s="1" t="str">
        <f>VLOOKUP(D212,epiunits!A$1:C$4000,3,FALSE)</f>
      </c>
      <c r="C212" s="1" t="str">
        <f>VLOOKUP(E212,Inspector!A$1:B$50,2,FALSE)</f>
      </c>
      <c r="I212" s="1" t="str">
        <f>VLOOKUP(D212,epiunits!A$1:J$4000,6,FALSE)</f>
      </c>
      <c r="J212" s="1" t="str">
        <f>VLOOKUP(D212,epiunits!A$1:J$4000,7,FALSE)</f>
      </c>
      <c r="K212" s="1" t="str">
        <f>VLOOKUP(D212,epiunits!A$1:J$4000,8,FALSE)</f>
      </c>
      <c r="L212" s="1" t="str">
        <f>VLOOKUP(D212,epiunits!A$1:J$4000,9,FALSE)</f>
      </c>
      <c r="M212" s="1" t="str">
        <f>VLOOKUP(D212,epiunits!A$1:J$4000,10,FALSE)</f>
      </c>
      <c r="N212" s="1">
        <v>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0</v>
      </c>
      <c r="AC212" s="1">
        <v>0</v>
      </c>
      <c r="AD212" s="1">
        <v>0</v>
      </c>
      <c r="AE212" s="1">
        <v>0</v>
      </c>
      <c r="AF212" s="1">
        <v>0</v>
      </c>
      <c r="AG212" s="1">
        <v>0</v>
      </c>
      <c r="AH212" s="1">
        <v>0</v>
      </c>
      <c r="AI212" s="1">
        <v>0</v>
      </c>
      <c r="AJ212" s="1">
        <v>0</v>
      </c>
      <c r="AK212" s="1">
        <v>0</v>
      </c>
      <c r="AL212" s="1">
        <v>0</v>
      </c>
      <c r="AM212" s="1">
        <v>0</v>
      </c>
      <c r="AN212" s="1">
        <v>0</v>
      </c>
      <c r="AO212" s="1">
        <v>0</v>
      </c>
      <c r="AP212" s="1">
        <v>0</v>
      </c>
      <c r="AQ212" s="1">
        <v>0</v>
      </c>
      <c r="AR212" s="1">
        <v>0</v>
      </c>
      <c r="AS212" s="1">
        <v>0</v>
      </c>
    </row>
    <row r="213" spans="1:45">
      <c r="A213" s="1" t="str">
        <f>VLOOKUP(D213,epiunits!A$1:C$4000,2,FALSE)</f>
      </c>
      <c r="B213" s="1" t="str">
        <f>VLOOKUP(D213,epiunits!A$1:C$4000,3,FALSE)</f>
      </c>
      <c r="C213" s="1" t="str">
        <f>VLOOKUP(E213,Inspector!A$1:B$50,2,FALSE)</f>
      </c>
      <c r="I213" s="1" t="str">
        <f>VLOOKUP(D213,epiunits!A$1:J$4000,6,FALSE)</f>
      </c>
      <c r="J213" s="1" t="str">
        <f>VLOOKUP(D213,epiunits!A$1:J$4000,7,FALSE)</f>
      </c>
      <c r="K213" s="1" t="str">
        <f>VLOOKUP(D213,epiunits!A$1:J$4000,8,FALSE)</f>
      </c>
      <c r="L213" s="1" t="str">
        <f>VLOOKUP(D213,epiunits!A$1:J$4000,9,FALSE)</f>
      </c>
      <c r="M213" s="1" t="str">
        <f>VLOOKUP(D213,epiunits!A$1:J$4000,10,FALSE)</f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1">
        <v>0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0</v>
      </c>
      <c r="AI213" s="1">
        <v>0</v>
      </c>
      <c r="AJ213" s="1">
        <v>0</v>
      </c>
      <c r="AK213" s="1">
        <v>0</v>
      </c>
      <c r="AL213" s="1">
        <v>0</v>
      </c>
      <c r="AM213" s="1">
        <v>0</v>
      </c>
      <c r="AN213" s="1">
        <v>0</v>
      </c>
      <c r="AO213" s="1">
        <v>0</v>
      </c>
      <c r="AP213" s="1">
        <v>0</v>
      </c>
      <c r="AQ213" s="1">
        <v>0</v>
      </c>
      <c r="AR213" s="1">
        <v>0</v>
      </c>
      <c r="AS213" s="1">
        <v>0</v>
      </c>
    </row>
    <row r="214" spans="1:45">
      <c r="A214" s="1" t="str">
        <f>VLOOKUP(D214,epiunits!A$1:C$4000,2,FALSE)</f>
      </c>
      <c r="B214" s="1" t="str">
        <f>VLOOKUP(D214,epiunits!A$1:C$4000,3,FALSE)</f>
      </c>
      <c r="C214" s="1" t="str">
        <f>VLOOKUP(E214,Inspector!A$1:B$50,2,FALSE)</f>
      </c>
      <c r="I214" s="1" t="str">
        <f>VLOOKUP(D214,epiunits!A$1:J$4000,6,FALSE)</f>
      </c>
      <c r="J214" s="1" t="str">
        <f>VLOOKUP(D214,epiunits!A$1:J$4000,7,FALSE)</f>
      </c>
      <c r="K214" s="1" t="str">
        <f>VLOOKUP(D214,epiunits!A$1:J$4000,8,FALSE)</f>
      </c>
      <c r="L214" s="1" t="str">
        <f>VLOOKUP(D214,epiunits!A$1:J$4000,9,FALSE)</f>
      </c>
      <c r="M214" s="1" t="str">
        <f>VLOOKUP(D214,epiunits!A$1:J$4000,10,FALSE)</f>
      </c>
      <c r="N214" s="1">
        <v>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0</v>
      </c>
      <c r="AB214" s="1">
        <v>0</v>
      </c>
      <c r="AC214" s="1">
        <v>0</v>
      </c>
      <c r="AD214" s="1">
        <v>0</v>
      </c>
      <c r="AE214" s="1">
        <v>0</v>
      </c>
      <c r="AF214" s="1">
        <v>0</v>
      </c>
      <c r="AG214" s="1">
        <v>0</v>
      </c>
      <c r="AH214" s="1">
        <v>0</v>
      </c>
      <c r="AI214" s="1">
        <v>0</v>
      </c>
      <c r="AJ214" s="1">
        <v>0</v>
      </c>
      <c r="AK214" s="1">
        <v>0</v>
      </c>
      <c r="AL214" s="1">
        <v>0</v>
      </c>
      <c r="AM214" s="1">
        <v>0</v>
      </c>
      <c r="AN214" s="1">
        <v>0</v>
      </c>
      <c r="AO214" s="1">
        <v>0</v>
      </c>
      <c r="AP214" s="1">
        <v>0</v>
      </c>
      <c r="AQ214" s="1">
        <v>0</v>
      </c>
      <c r="AR214" s="1">
        <v>0</v>
      </c>
      <c r="AS214" s="1">
        <v>0</v>
      </c>
    </row>
    <row r="215" spans="1:45">
      <c r="A215" s="1" t="str">
        <f>VLOOKUP(D215,epiunits!A$1:C$4000,2,FALSE)</f>
      </c>
      <c r="B215" s="1" t="str">
        <f>VLOOKUP(D215,epiunits!A$1:C$4000,3,FALSE)</f>
      </c>
      <c r="C215" s="1" t="str">
        <f>VLOOKUP(E215,Inspector!A$1:B$50,2,FALSE)</f>
      </c>
      <c r="I215" s="1" t="str">
        <f>VLOOKUP(D215,epiunits!A$1:J$4000,6,FALSE)</f>
      </c>
      <c r="J215" s="1" t="str">
        <f>VLOOKUP(D215,epiunits!A$1:J$4000,7,FALSE)</f>
      </c>
      <c r="K215" s="1" t="str">
        <f>VLOOKUP(D215,epiunits!A$1:J$4000,8,FALSE)</f>
      </c>
      <c r="L215" s="1" t="str">
        <f>VLOOKUP(D215,epiunits!A$1:J$4000,9,FALSE)</f>
      </c>
      <c r="M215" s="1" t="str">
        <f>VLOOKUP(D215,epiunits!A$1:J$4000,10,FALSE)</f>
      </c>
      <c r="N215" s="1">
        <v>0</v>
      </c>
      <c r="O215" s="1">
        <v>0</v>
      </c>
      <c r="P215" s="1">
        <v>0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  <c r="W215" s="1">
        <v>0</v>
      </c>
      <c r="X215" s="1">
        <v>0</v>
      </c>
      <c r="Y215" s="1">
        <v>0</v>
      </c>
      <c r="Z215" s="1">
        <v>0</v>
      </c>
      <c r="AA215" s="1">
        <v>0</v>
      </c>
      <c r="AB215" s="1">
        <v>0</v>
      </c>
      <c r="AC215" s="1">
        <v>0</v>
      </c>
      <c r="AD215" s="1">
        <v>0</v>
      </c>
      <c r="AE215" s="1">
        <v>0</v>
      </c>
      <c r="AF215" s="1">
        <v>0</v>
      </c>
      <c r="AG215" s="1">
        <v>0</v>
      </c>
      <c r="AH215" s="1">
        <v>0</v>
      </c>
      <c r="AI215" s="1">
        <v>0</v>
      </c>
      <c r="AJ215" s="1">
        <v>0</v>
      </c>
      <c r="AK215" s="1">
        <v>0</v>
      </c>
      <c r="AL215" s="1">
        <v>0</v>
      </c>
      <c r="AM215" s="1">
        <v>0</v>
      </c>
      <c r="AN215" s="1">
        <v>0</v>
      </c>
      <c r="AO215" s="1">
        <v>0</v>
      </c>
      <c r="AP215" s="1">
        <v>0</v>
      </c>
      <c r="AQ215" s="1">
        <v>0</v>
      </c>
      <c r="AR215" s="1">
        <v>0</v>
      </c>
      <c r="AS215" s="1">
        <v>0</v>
      </c>
    </row>
    <row r="216" spans="1:45">
      <c r="A216" s="1" t="str">
        <f>VLOOKUP(D216,epiunits!A$1:C$4000,2,FALSE)</f>
      </c>
      <c r="B216" s="1" t="str">
        <f>VLOOKUP(D216,epiunits!A$1:C$4000,3,FALSE)</f>
      </c>
      <c r="C216" s="1" t="str">
        <f>VLOOKUP(E216,Inspector!A$1:B$50,2,FALSE)</f>
      </c>
      <c r="I216" s="1" t="str">
        <f>VLOOKUP(D216,epiunits!A$1:J$4000,6,FALSE)</f>
      </c>
      <c r="J216" s="1" t="str">
        <f>VLOOKUP(D216,epiunits!A$1:J$4000,7,FALSE)</f>
      </c>
      <c r="K216" s="1" t="str">
        <f>VLOOKUP(D216,epiunits!A$1:J$4000,8,FALSE)</f>
      </c>
      <c r="L216" s="1" t="str">
        <f>VLOOKUP(D216,epiunits!A$1:J$4000,9,FALSE)</f>
      </c>
      <c r="M216" s="1" t="str">
        <f>VLOOKUP(D216,epiunits!A$1:J$4000,10,FALSE)</f>
      </c>
      <c r="N216" s="1">
        <v>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0</v>
      </c>
      <c r="AD216" s="1">
        <v>0</v>
      </c>
      <c r="AE216" s="1">
        <v>0</v>
      </c>
      <c r="AF216" s="1">
        <v>0</v>
      </c>
      <c r="AG216" s="1">
        <v>0</v>
      </c>
      <c r="AH216" s="1">
        <v>0</v>
      </c>
      <c r="AI216" s="1">
        <v>0</v>
      </c>
      <c r="AJ216" s="1">
        <v>0</v>
      </c>
      <c r="AK216" s="1">
        <v>0</v>
      </c>
      <c r="AL216" s="1">
        <v>0</v>
      </c>
      <c r="AM216" s="1">
        <v>0</v>
      </c>
      <c r="AN216" s="1">
        <v>0</v>
      </c>
      <c r="AO216" s="1">
        <v>0</v>
      </c>
      <c r="AP216" s="1">
        <v>0</v>
      </c>
      <c r="AQ216" s="1">
        <v>0</v>
      </c>
      <c r="AR216" s="1">
        <v>0</v>
      </c>
      <c r="AS216" s="1">
        <v>0</v>
      </c>
    </row>
    <row r="217" spans="1:45">
      <c r="A217" s="1" t="str">
        <f>VLOOKUP(D217,epiunits!A$1:C$4000,2,FALSE)</f>
      </c>
      <c r="B217" s="1" t="str">
        <f>VLOOKUP(D217,epiunits!A$1:C$4000,3,FALSE)</f>
      </c>
      <c r="C217" s="1" t="str">
        <f>VLOOKUP(E217,Inspector!A$1:B$50,2,FALSE)</f>
      </c>
      <c r="I217" s="1" t="str">
        <f>VLOOKUP(D217,epiunits!A$1:J$4000,6,FALSE)</f>
      </c>
      <c r="J217" s="1" t="str">
        <f>VLOOKUP(D217,epiunits!A$1:J$4000,7,FALSE)</f>
      </c>
      <c r="K217" s="1" t="str">
        <f>VLOOKUP(D217,epiunits!A$1:J$4000,8,FALSE)</f>
      </c>
      <c r="L217" s="1" t="str">
        <f>VLOOKUP(D217,epiunits!A$1:J$4000,9,FALSE)</f>
      </c>
      <c r="M217" s="1" t="str">
        <f>VLOOKUP(D217,epiunits!A$1:J$4000,10,FALSE)</f>
      </c>
      <c r="N217" s="1">
        <v>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0</v>
      </c>
      <c r="AC217" s="1">
        <v>0</v>
      </c>
      <c r="AD217" s="1">
        <v>0</v>
      </c>
      <c r="AE217" s="1">
        <v>0</v>
      </c>
      <c r="AF217" s="1">
        <v>0</v>
      </c>
      <c r="AG217" s="1">
        <v>0</v>
      </c>
      <c r="AH217" s="1">
        <v>0</v>
      </c>
      <c r="AI217" s="1">
        <v>0</v>
      </c>
      <c r="AJ217" s="1">
        <v>0</v>
      </c>
      <c r="AK217" s="1">
        <v>0</v>
      </c>
      <c r="AL217" s="1">
        <v>0</v>
      </c>
      <c r="AM217" s="1">
        <v>0</v>
      </c>
      <c r="AN217" s="1">
        <v>0</v>
      </c>
      <c r="AO217" s="1">
        <v>0</v>
      </c>
      <c r="AP217" s="1">
        <v>0</v>
      </c>
      <c r="AQ217" s="1">
        <v>0</v>
      </c>
      <c r="AR217" s="1">
        <v>0</v>
      </c>
      <c r="AS217" s="1">
        <v>0</v>
      </c>
    </row>
    <row r="218" spans="1:45">
      <c r="A218" s="1" t="str">
        <f>VLOOKUP(D218,epiunits!A$1:C$4000,2,FALSE)</f>
      </c>
      <c r="B218" s="1" t="str">
        <f>VLOOKUP(D218,epiunits!A$1:C$4000,3,FALSE)</f>
      </c>
      <c r="C218" s="1" t="str">
        <f>VLOOKUP(E218,Inspector!A$1:B$50,2,FALSE)</f>
      </c>
      <c r="I218" s="1" t="str">
        <f>VLOOKUP(D218,epiunits!A$1:J$4000,6,FALSE)</f>
      </c>
      <c r="J218" s="1" t="str">
        <f>VLOOKUP(D218,epiunits!A$1:J$4000,7,FALSE)</f>
      </c>
      <c r="K218" s="1" t="str">
        <f>VLOOKUP(D218,epiunits!A$1:J$4000,8,FALSE)</f>
      </c>
      <c r="L218" s="1" t="str">
        <f>VLOOKUP(D218,epiunits!A$1:J$4000,9,FALSE)</f>
      </c>
      <c r="M218" s="1" t="str">
        <f>VLOOKUP(D218,epiunits!A$1:J$4000,10,FALSE)</f>
      </c>
      <c r="N218" s="1">
        <v>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1">
        <v>0</v>
      </c>
      <c r="AC218" s="1">
        <v>0</v>
      </c>
      <c r="AD218" s="1">
        <v>0</v>
      </c>
      <c r="AE218" s="1">
        <v>0</v>
      </c>
      <c r="AF218" s="1">
        <v>0</v>
      </c>
      <c r="AG218" s="1">
        <v>0</v>
      </c>
      <c r="AH218" s="1">
        <v>0</v>
      </c>
      <c r="AI218" s="1">
        <v>0</v>
      </c>
      <c r="AJ218" s="1">
        <v>0</v>
      </c>
      <c r="AK218" s="1">
        <v>0</v>
      </c>
      <c r="AL218" s="1">
        <v>0</v>
      </c>
      <c r="AM218" s="1">
        <v>0</v>
      </c>
      <c r="AN218" s="1">
        <v>0</v>
      </c>
      <c r="AO218" s="1">
        <v>0</v>
      </c>
      <c r="AP218" s="1">
        <v>0</v>
      </c>
      <c r="AQ218" s="1">
        <v>0</v>
      </c>
      <c r="AR218" s="1">
        <v>0</v>
      </c>
      <c r="AS218" s="1">
        <v>0</v>
      </c>
    </row>
    <row r="219" spans="1:45">
      <c r="A219" s="1" t="str">
        <f>VLOOKUP(D219,epiunits!A$1:C$4000,2,FALSE)</f>
      </c>
      <c r="B219" s="1" t="str">
        <f>VLOOKUP(D219,epiunits!A$1:C$4000,3,FALSE)</f>
      </c>
      <c r="C219" s="1" t="str">
        <f>VLOOKUP(E219,Inspector!A$1:B$50,2,FALSE)</f>
      </c>
      <c r="I219" s="1" t="str">
        <f>VLOOKUP(D219,epiunits!A$1:J$4000,6,FALSE)</f>
      </c>
      <c r="J219" s="1" t="str">
        <f>VLOOKUP(D219,epiunits!A$1:J$4000,7,FALSE)</f>
      </c>
      <c r="K219" s="1" t="str">
        <f>VLOOKUP(D219,epiunits!A$1:J$4000,8,FALSE)</f>
      </c>
      <c r="L219" s="1" t="str">
        <f>VLOOKUP(D219,epiunits!A$1:J$4000,9,FALSE)</f>
      </c>
      <c r="M219" s="1" t="str">
        <f>VLOOKUP(D219,epiunits!A$1:J$4000,10,FALSE)</f>
      </c>
      <c r="N219" s="1">
        <v>0</v>
      </c>
      <c r="O219" s="1">
        <v>0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  <c r="W219" s="1">
        <v>0</v>
      </c>
      <c r="X219" s="1">
        <v>0</v>
      </c>
      <c r="Y219" s="1">
        <v>0</v>
      </c>
      <c r="Z219" s="1">
        <v>0</v>
      </c>
      <c r="AA219" s="1">
        <v>0</v>
      </c>
      <c r="AB219" s="1">
        <v>0</v>
      </c>
      <c r="AC219" s="1">
        <v>0</v>
      </c>
      <c r="AD219" s="1">
        <v>0</v>
      </c>
      <c r="AE219" s="1">
        <v>0</v>
      </c>
      <c r="AF219" s="1">
        <v>0</v>
      </c>
      <c r="AG219" s="1">
        <v>0</v>
      </c>
      <c r="AH219" s="1">
        <v>0</v>
      </c>
      <c r="AI219" s="1">
        <v>0</v>
      </c>
      <c r="AJ219" s="1">
        <v>0</v>
      </c>
      <c r="AK219" s="1">
        <v>0</v>
      </c>
      <c r="AL219" s="1">
        <v>0</v>
      </c>
      <c r="AM219" s="1">
        <v>0</v>
      </c>
      <c r="AN219" s="1">
        <v>0</v>
      </c>
      <c r="AO219" s="1">
        <v>0</v>
      </c>
      <c r="AP219" s="1">
        <v>0</v>
      </c>
      <c r="AQ219" s="1">
        <v>0</v>
      </c>
      <c r="AR219" s="1">
        <v>0</v>
      </c>
      <c r="AS219" s="1">
        <v>0</v>
      </c>
    </row>
    <row r="220" spans="1:45">
      <c r="A220" s="1" t="str">
        <f>VLOOKUP(D220,epiunits!A$1:C$4000,2,FALSE)</f>
      </c>
      <c r="B220" s="1" t="str">
        <f>VLOOKUP(D220,epiunits!A$1:C$4000,3,FALSE)</f>
      </c>
      <c r="C220" s="1" t="str">
        <f>VLOOKUP(E220,Inspector!A$1:B$50,2,FALSE)</f>
      </c>
      <c r="I220" s="1" t="str">
        <f>VLOOKUP(D220,epiunits!A$1:J$4000,6,FALSE)</f>
      </c>
      <c r="J220" s="1" t="str">
        <f>VLOOKUP(D220,epiunits!A$1:J$4000,7,FALSE)</f>
      </c>
      <c r="K220" s="1" t="str">
        <f>VLOOKUP(D220,epiunits!A$1:J$4000,8,FALSE)</f>
      </c>
      <c r="L220" s="1" t="str">
        <f>VLOOKUP(D220,epiunits!A$1:J$4000,9,FALSE)</f>
      </c>
      <c r="M220" s="1" t="str">
        <f>VLOOKUP(D220,epiunits!A$1:J$4000,10,FALSE)</f>
      </c>
      <c r="N220" s="1">
        <v>0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  <c r="W220" s="1">
        <v>0</v>
      </c>
      <c r="X220" s="1">
        <v>0</v>
      </c>
      <c r="Y220" s="1">
        <v>0</v>
      </c>
      <c r="Z220" s="1">
        <v>0</v>
      </c>
      <c r="AA220" s="1">
        <v>0</v>
      </c>
      <c r="AB220" s="1">
        <v>0</v>
      </c>
      <c r="AC220" s="1">
        <v>0</v>
      </c>
      <c r="AD220" s="1">
        <v>0</v>
      </c>
      <c r="AE220" s="1">
        <v>0</v>
      </c>
      <c r="AF220" s="1">
        <v>0</v>
      </c>
      <c r="AG220" s="1">
        <v>0</v>
      </c>
      <c r="AH220" s="1">
        <v>0</v>
      </c>
      <c r="AI220" s="1">
        <v>0</v>
      </c>
      <c r="AJ220" s="1">
        <v>0</v>
      </c>
      <c r="AK220" s="1">
        <v>0</v>
      </c>
      <c r="AL220" s="1">
        <v>0</v>
      </c>
      <c r="AM220" s="1">
        <v>0</v>
      </c>
      <c r="AN220" s="1">
        <v>0</v>
      </c>
      <c r="AO220" s="1">
        <v>0</v>
      </c>
      <c r="AP220" s="1">
        <v>0</v>
      </c>
      <c r="AQ220" s="1">
        <v>0</v>
      </c>
      <c r="AR220" s="1">
        <v>0</v>
      </c>
      <c r="AS220" s="1">
        <v>0</v>
      </c>
    </row>
    <row r="221" spans="1:45">
      <c r="A221" s="1" t="str">
        <f>VLOOKUP(D221,epiunits!A$1:C$4000,2,FALSE)</f>
      </c>
      <c r="B221" s="1" t="str">
        <f>VLOOKUP(D221,epiunits!A$1:C$4000,3,FALSE)</f>
      </c>
      <c r="C221" s="1" t="str">
        <f>VLOOKUP(E221,Inspector!A$1:B$50,2,FALSE)</f>
      </c>
      <c r="I221" s="1" t="str">
        <f>VLOOKUP(D221,epiunits!A$1:J$4000,6,FALSE)</f>
      </c>
      <c r="J221" s="1" t="str">
        <f>VLOOKUP(D221,epiunits!A$1:J$4000,7,FALSE)</f>
      </c>
      <c r="K221" s="1" t="str">
        <f>VLOOKUP(D221,epiunits!A$1:J$4000,8,FALSE)</f>
      </c>
      <c r="L221" s="1" t="str">
        <f>VLOOKUP(D221,epiunits!A$1:J$4000,9,FALSE)</f>
      </c>
      <c r="M221" s="1" t="str">
        <f>VLOOKUP(D221,epiunits!A$1:J$4000,10,FALSE)</f>
      </c>
      <c r="N221" s="1">
        <v>0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0</v>
      </c>
      <c r="AC221" s="1">
        <v>0</v>
      </c>
      <c r="AD221" s="1">
        <v>0</v>
      </c>
      <c r="AE221" s="1">
        <v>0</v>
      </c>
      <c r="AF221" s="1">
        <v>0</v>
      </c>
      <c r="AG221" s="1">
        <v>0</v>
      </c>
      <c r="AH221" s="1">
        <v>0</v>
      </c>
      <c r="AI221" s="1">
        <v>0</v>
      </c>
      <c r="AJ221" s="1">
        <v>0</v>
      </c>
      <c r="AK221" s="1">
        <v>0</v>
      </c>
      <c r="AL221" s="1">
        <v>0</v>
      </c>
      <c r="AM221" s="1">
        <v>0</v>
      </c>
      <c r="AN221" s="1">
        <v>0</v>
      </c>
      <c r="AO221" s="1">
        <v>0</v>
      </c>
      <c r="AP221" s="1">
        <v>0</v>
      </c>
      <c r="AQ221" s="1">
        <v>0</v>
      </c>
      <c r="AR221" s="1">
        <v>0</v>
      </c>
      <c r="AS221" s="1">
        <v>0</v>
      </c>
    </row>
    <row r="222" spans="1:45">
      <c r="A222" s="1" t="str">
        <f>VLOOKUP(D222,epiunits!A$1:C$4000,2,FALSE)</f>
      </c>
      <c r="B222" s="1" t="str">
        <f>VLOOKUP(D222,epiunits!A$1:C$4000,3,FALSE)</f>
      </c>
      <c r="C222" s="1" t="str">
        <f>VLOOKUP(E222,Inspector!A$1:B$50,2,FALSE)</f>
      </c>
      <c r="I222" s="1" t="str">
        <f>VLOOKUP(D222,epiunits!A$1:J$4000,6,FALSE)</f>
      </c>
      <c r="J222" s="1" t="str">
        <f>VLOOKUP(D222,epiunits!A$1:J$4000,7,FALSE)</f>
      </c>
      <c r="K222" s="1" t="str">
        <f>VLOOKUP(D222,epiunits!A$1:J$4000,8,FALSE)</f>
      </c>
      <c r="L222" s="1" t="str">
        <f>VLOOKUP(D222,epiunits!A$1:J$4000,9,FALSE)</f>
      </c>
      <c r="M222" s="1" t="str">
        <f>VLOOKUP(D222,epiunits!A$1:J$4000,10,FALSE)</f>
      </c>
      <c r="N222" s="1">
        <v>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0</v>
      </c>
      <c r="AC222" s="1">
        <v>0</v>
      </c>
      <c r="AD222" s="1">
        <v>0</v>
      </c>
      <c r="AE222" s="1">
        <v>0</v>
      </c>
      <c r="AF222" s="1">
        <v>0</v>
      </c>
      <c r="AG222" s="1">
        <v>0</v>
      </c>
      <c r="AH222" s="1">
        <v>0</v>
      </c>
      <c r="AI222" s="1">
        <v>0</v>
      </c>
      <c r="AJ222" s="1">
        <v>0</v>
      </c>
      <c r="AK222" s="1">
        <v>0</v>
      </c>
      <c r="AL222" s="1">
        <v>0</v>
      </c>
      <c r="AM222" s="1">
        <v>0</v>
      </c>
      <c r="AN222" s="1">
        <v>0</v>
      </c>
      <c r="AO222" s="1">
        <v>0</v>
      </c>
      <c r="AP222" s="1">
        <v>0</v>
      </c>
      <c r="AQ222" s="1">
        <v>0</v>
      </c>
      <c r="AR222" s="1">
        <v>0</v>
      </c>
      <c r="AS222" s="1">
        <v>0</v>
      </c>
    </row>
    <row r="223" spans="1:45">
      <c r="A223" s="1" t="str">
        <f>VLOOKUP(D223,epiunits!A$1:C$4000,2,FALSE)</f>
      </c>
      <c r="B223" s="1" t="str">
        <f>VLOOKUP(D223,epiunits!A$1:C$4000,3,FALSE)</f>
      </c>
      <c r="C223" s="1" t="str">
        <f>VLOOKUP(E223,Inspector!A$1:B$50,2,FALSE)</f>
      </c>
      <c r="I223" s="1" t="str">
        <f>VLOOKUP(D223,epiunits!A$1:J$4000,6,FALSE)</f>
      </c>
      <c r="J223" s="1" t="str">
        <f>VLOOKUP(D223,epiunits!A$1:J$4000,7,FALSE)</f>
      </c>
      <c r="K223" s="1" t="str">
        <f>VLOOKUP(D223,epiunits!A$1:J$4000,8,FALSE)</f>
      </c>
      <c r="L223" s="1" t="str">
        <f>VLOOKUP(D223,epiunits!A$1:J$4000,9,FALSE)</f>
      </c>
      <c r="M223" s="1" t="str">
        <f>VLOOKUP(D223,epiunits!A$1:J$4000,10,FALSE)</f>
      </c>
      <c r="N223" s="1">
        <v>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0</v>
      </c>
      <c r="AC223" s="1">
        <v>0</v>
      </c>
      <c r="AD223" s="1">
        <v>0</v>
      </c>
      <c r="AE223" s="1">
        <v>0</v>
      </c>
      <c r="AF223" s="1">
        <v>0</v>
      </c>
      <c r="AG223" s="1">
        <v>0</v>
      </c>
      <c r="AH223" s="1">
        <v>0</v>
      </c>
      <c r="AI223" s="1">
        <v>0</v>
      </c>
      <c r="AJ223" s="1">
        <v>0</v>
      </c>
      <c r="AK223" s="1">
        <v>0</v>
      </c>
      <c r="AL223" s="1">
        <v>0</v>
      </c>
      <c r="AM223" s="1">
        <v>0</v>
      </c>
      <c r="AN223" s="1">
        <v>0</v>
      </c>
      <c r="AO223" s="1">
        <v>0</v>
      </c>
      <c r="AP223" s="1">
        <v>0</v>
      </c>
      <c r="AQ223" s="1">
        <v>0</v>
      </c>
      <c r="AR223" s="1">
        <v>0</v>
      </c>
      <c r="AS223" s="1">
        <v>0</v>
      </c>
    </row>
    <row r="224" spans="1:45">
      <c r="A224" s="1" t="str">
        <f>VLOOKUP(D224,epiunits!A$1:C$4000,2,FALSE)</f>
      </c>
      <c r="B224" s="1" t="str">
        <f>VLOOKUP(D224,epiunits!A$1:C$4000,3,FALSE)</f>
      </c>
      <c r="C224" s="1" t="str">
        <f>VLOOKUP(E224,Inspector!A$1:B$50,2,FALSE)</f>
      </c>
      <c r="I224" s="1" t="str">
        <f>VLOOKUP(D224,epiunits!A$1:J$4000,6,FALSE)</f>
      </c>
      <c r="J224" s="1" t="str">
        <f>VLOOKUP(D224,epiunits!A$1:J$4000,7,FALSE)</f>
      </c>
      <c r="K224" s="1" t="str">
        <f>VLOOKUP(D224,epiunits!A$1:J$4000,8,FALSE)</f>
      </c>
      <c r="L224" s="1" t="str">
        <f>VLOOKUP(D224,epiunits!A$1:J$4000,9,FALSE)</f>
      </c>
      <c r="M224" s="1" t="str">
        <f>VLOOKUP(D224,epiunits!A$1:J$4000,10,FALSE)</f>
      </c>
      <c r="N224" s="1">
        <v>0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>
        <v>0</v>
      </c>
      <c r="AC224" s="1">
        <v>0</v>
      </c>
      <c r="AD224" s="1">
        <v>0</v>
      </c>
      <c r="AE224" s="1">
        <v>0</v>
      </c>
      <c r="AF224" s="1">
        <v>0</v>
      </c>
      <c r="AG224" s="1">
        <v>0</v>
      </c>
      <c r="AH224" s="1">
        <v>0</v>
      </c>
      <c r="AI224" s="1">
        <v>0</v>
      </c>
      <c r="AJ224" s="1">
        <v>0</v>
      </c>
      <c r="AK224" s="1">
        <v>0</v>
      </c>
      <c r="AL224" s="1">
        <v>0</v>
      </c>
      <c r="AM224" s="1">
        <v>0</v>
      </c>
      <c r="AN224" s="1">
        <v>0</v>
      </c>
      <c r="AO224" s="1">
        <v>0</v>
      </c>
      <c r="AP224" s="1">
        <v>0</v>
      </c>
      <c r="AQ224" s="1">
        <v>0</v>
      </c>
      <c r="AR224" s="1">
        <v>0</v>
      </c>
      <c r="AS224" s="1">
        <v>0</v>
      </c>
    </row>
    <row r="225" spans="1:45">
      <c r="A225" s="1" t="str">
        <f>VLOOKUP(D225,epiunits!A$1:C$4000,2,FALSE)</f>
      </c>
      <c r="B225" s="1" t="str">
        <f>VLOOKUP(D225,epiunits!A$1:C$4000,3,FALSE)</f>
      </c>
      <c r="C225" s="1" t="str">
        <f>VLOOKUP(E225,Inspector!A$1:B$50,2,FALSE)</f>
      </c>
      <c r="I225" s="1" t="str">
        <f>VLOOKUP(D225,epiunits!A$1:J$4000,6,FALSE)</f>
      </c>
      <c r="J225" s="1" t="str">
        <f>VLOOKUP(D225,epiunits!A$1:J$4000,7,FALSE)</f>
      </c>
      <c r="K225" s="1" t="str">
        <f>VLOOKUP(D225,epiunits!A$1:J$4000,8,FALSE)</f>
      </c>
      <c r="L225" s="1" t="str">
        <f>VLOOKUP(D225,epiunits!A$1:J$4000,9,FALSE)</f>
      </c>
      <c r="M225" s="1" t="str">
        <f>VLOOKUP(D225,epiunits!A$1:J$4000,10,FALSE)</f>
      </c>
      <c r="N225" s="1">
        <v>0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1">
        <v>0</v>
      </c>
      <c r="AC225" s="1">
        <v>0</v>
      </c>
      <c r="AD225" s="1">
        <v>0</v>
      </c>
      <c r="AE225" s="1">
        <v>0</v>
      </c>
      <c r="AF225" s="1">
        <v>0</v>
      </c>
      <c r="AG225" s="1">
        <v>0</v>
      </c>
      <c r="AH225" s="1">
        <v>0</v>
      </c>
      <c r="AI225" s="1">
        <v>0</v>
      </c>
      <c r="AJ225" s="1">
        <v>0</v>
      </c>
      <c r="AK225" s="1">
        <v>0</v>
      </c>
      <c r="AL225" s="1">
        <v>0</v>
      </c>
      <c r="AM225" s="1">
        <v>0</v>
      </c>
      <c r="AN225" s="1">
        <v>0</v>
      </c>
      <c r="AO225" s="1">
        <v>0</v>
      </c>
      <c r="AP225" s="1">
        <v>0</v>
      </c>
      <c r="AQ225" s="1">
        <v>0</v>
      </c>
      <c r="AR225" s="1">
        <v>0</v>
      </c>
      <c r="AS225" s="1">
        <v>0</v>
      </c>
    </row>
    <row r="226" spans="1:45">
      <c r="A226" s="1" t="str">
        <f>VLOOKUP(D226,epiunits!A$1:C$4000,2,FALSE)</f>
      </c>
      <c r="B226" s="1" t="str">
        <f>VLOOKUP(D226,epiunits!A$1:C$4000,3,FALSE)</f>
      </c>
      <c r="C226" s="1" t="str">
        <f>VLOOKUP(E226,Inspector!A$1:B$50,2,FALSE)</f>
      </c>
      <c r="I226" s="1" t="str">
        <f>VLOOKUP(D226,epiunits!A$1:J$4000,6,FALSE)</f>
      </c>
      <c r="J226" s="1" t="str">
        <f>VLOOKUP(D226,epiunits!A$1:J$4000,7,FALSE)</f>
      </c>
      <c r="K226" s="1" t="str">
        <f>VLOOKUP(D226,epiunits!A$1:J$4000,8,FALSE)</f>
      </c>
      <c r="L226" s="1" t="str">
        <f>VLOOKUP(D226,epiunits!A$1:J$4000,9,FALSE)</f>
      </c>
      <c r="M226" s="1" t="str">
        <f>VLOOKUP(D226,epiunits!A$1:J$4000,10,FALSE)</f>
      </c>
      <c r="N226" s="1">
        <v>0</v>
      </c>
      <c r="O226" s="1">
        <v>0</v>
      </c>
      <c r="P226" s="1">
        <v>0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0</v>
      </c>
      <c r="AC226" s="1">
        <v>0</v>
      </c>
      <c r="AD226" s="1">
        <v>0</v>
      </c>
      <c r="AE226" s="1">
        <v>0</v>
      </c>
      <c r="AF226" s="1">
        <v>0</v>
      </c>
      <c r="AG226" s="1">
        <v>0</v>
      </c>
      <c r="AH226" s="1">
        <v>0</v>
      </c>
      <c r="AI226" s="1">
        <v>0</v>
      </c>
      <c r="AJ226" s="1">
        <v>0</v>
      </c>
      <c r="AK226" s="1">
        <v>0</v>
      </c>
      <c r="AL226" s="1">
        <v>0</v>
      </c>
      <c r="AM226" s="1">
        <v>0</v>
      </c>
      <c r="AN226" s="1">
        <v>0</v>
      </c>
      <c r="AO226" s="1">
        <v>0</v>
      </c>
      <c r="AP226" s="1">
        <v>0</v>
      </c>
      <c r="AQ226" s="1">
        <v>0</v>
      </c>
      <c r="AR226" s="1">
        <v>0</v>
      </c>
      <c r="AS226" s="1">
        <v>0</v>
      </c>
    </row>
    <row r="227" spans="1:45">
      <c r="A227" s="1" t="str">
        <f>VLOOKUP(D227,epiunits!A$1:C$4000,2,FALSE)</f>
      </c>
      <c r="B227" s="1" t="str">
        <f>VLOOKUP(D227,epiunits!A$1:C$4000,3,FALSE)</f>
      </c>
      <c r="C227" s="1" t="str">
        <f>VLOOKUP(E227,Inspector!A$1:B$50,2,FALSE)</f>
      </c>
      <c r="I227" s="1" t="str">
        <f>VLOOKUP(D227,epiunits!A$1:J$4000,6,FALSE)</f>
      </c>
      <c r="J227" s="1" t="str">
        <f>VLOOKUP(D227,epiunits!A$1:J$4000,7,FALSE)</f>
      </c>
      <c r="K227" s="1" t="str">
        <f>VLOOKUP(D227,epiunits!A$1:J$4000,8,FALSE)</f>
      </c>
      <c r="L227" s="1" t="str">
        <f>VLOOKUP(D227,epiunits!A$1:J$4000,9,FALSE)</f>
      </c>
      <c r="M227" s="1" t="str">
        <f>VLOOKUP(D227,epiunits!A$1:J$4000,10,FALSE)</f>
      </c>
      <c r="N227" s="1">
        <v>0</v>
      </c>
      <c r="O227" s="1">
        <v>0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0</v>
      </c>
      <c r="AC227" s="1">
        <v>0</v>
      </c>
      <c r="AD227" s="1">
        <v>0</v>
      </c>
      <c r="AE227" s="1">
        <v>0</v>
      </c>
      <c r="AF227" s="1">
        <v>0</v>
      </c>
      <c r="AG227" s="1">
        <v>0</v>
      </c>
      <c r="AH227" s="1">
        <v>0</v>
      </c>
      <c r="AI227" s="1">
        <v>0</v>
      </c>
      <c r="AJ227" s="1">
        <v>0</v>
      </c>
      <c r="AK227" s="1">
        <v>0</v>
      </c>
      <c r="AL227" s="1">
        <v>0</v>
      </c>
      <c r="AM227" s="1">
        <v>0</v>
      </c>
      <c r="AN227" s="1">
        <v>0</v>
      </c>
      <c r="AO227" s="1">
        <v>0</v>
      </c>
      <c r="AP227" s="1">
        <v>0</v>
      </c>
      <c r="AQ227" s="1">
        <v>0</v>
      </c>
      <c r="AR227" s="1">
        <v>0</v>
      </c>
      <c r="AS227" s="1">
        <v>0</v>
      </c>
    </row>
    <row r="228" spans="1:45">
      <c r="A228" s="1" t="str">
        <f>VLOOKUP(D228,epiunits!A$1:C$4000,2,FALSE)</f>
      </c>
      <c r="B228" s="1" t="str">
        <f>VLOOKUP(D228,epiunits!A$1:C$4000,3,FALSE)</f>
      </c>
      <c r="C228" s="1" t="str">
        <f>VLOOKUP(E228,Inspector!A$1:B$50,2,FALSE)</f>
      </c>
      <c r="I228" s="1" t="str">
        <f>VLOOKUP(D228,epiunits!A$1:J$4000,6,FALSE)</f>
      </c>
      <c r="J228" s="1" t="str">
        <f>VLOOKUP(D228,epiunits!A$1:J$4000,7,FALSE)</f>
      </c>
      <c r="K228" s="1" t="str">
        <f>VLOOKUP(D228,epiunits!A$1:J$4000,8,FALSE)</f>
      </c>
      <c r="L228" s="1" t="str">
        <f>VLOOKUP(D228,epiunits!A$1:J$4000,9,FALSE)</f>
      </c>
      <c r="M228" s="1" t="str">
        <f>VLOOKUP(D228,epiunits!A$1:J$4000,10,FALSE)</f>
      </c>
      <c r="N228" s="1">
        <v>0</v>
      </c>
      <c r="O228" s="1">
        <v>0</v>
      </c>
      <c r="P228" s="1">
        <v>0</v>
      </c>
      <c r="Q228" s="1">
        <v>0</v>
      </c>
      <c r="R228" s="1">
        <v>0</v>
      </c>
      <c r="S228" s="1">
        <v>0</v>
      </c>
      <c r="T228" s="1">
        <v>0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>
        <v>0</v>
      </c>
      <c r="AD228" s="1">
        <v>0</v>
      </c>
      <c r="AE228" s="1">
        <v>0</v>
      </c>
      <c r="AF228" s="1">
        <v>0</v>
      </c>
      <c r="AG228" s="1">
        <v>0</v>
      </c>
      <c r="AH228" s="1">
        <v>0</v>
      </c>
      <c r="AI228" s="1">
        <v>0</v>
      </c>
      <c r="AJ228" s="1">
        <v>0</v>
      </c>
      <c r="AK228" s="1">
        <v>0</v>
      </c>
      <c r="AL228" s="1">
        <v>0</v>
      </c>
      <c r="AM228" s="1">
        <v>0</v>
      </c>
      <c r="AN228" s="1">
        <v>0</v>
      </c>
      <c r="AO228" s="1">
        <v>0</v>
      </c>
      <c r="AP228" s="1">
        <v>0</v>
      </c>
      <c r="AQ228" s="1">
        <v>0</v>
      </c>
      <c r="AR228" s="1">
        <v>0</v>
      </c>
      <c r="AS228" s="1">
        <v>0</v>
      </c>
    </row>
    <row r="229" spans="1:45">
      <c r="A229" s="1" t="str">
        <f>VLOOKUP(D229,epiunits!A$1:C$4000,2,FALSE)</f>
      </c>
      <c r="B229" s="1" t="str">
        <f>VLOOKUP(D229,epiunits!A$1:C$4000,3,FALSE)</f>
      </c>
      <c r="C229" s="1" t="str">
        <f>VLOOKUP(E229,Inspector!A$1:B$50,2,FALSE)</f>
      </c>
      <c r="I229" s="1" t="str">
        <f>VLOOKUP(D229,epiunits!A$1:J$4000,6,FALSE)</f>
      </c>
      <c r="J229" s="1" t="str">
        <f>VLOOKUP(D229,epiunits!A$1:J$4000,7,FALSE)</f>
      </c>
      <c r="K229" s="1" t="str">
        <f>VLOOKUP(D229,epiunits!A$1:J$4000,8,FALSE)</f>
      </c>
      <c r="L229" s="1" t="str">
        <f>VLOOKUP(D229,epiunits!A$1:J$4000,9,FALSE)</f>
      </c>
      <c r="M229" s="1" t="str">
        <f>VLOOKUP(D229,epiunits!A$1:J$4000,10,FALSE)</f>
      </c>
      <c r="N229" s="1">
        <v>0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1">
        <v>0</v>
      </c>
      <c r="AC229" s="1">
        <v>0</v>
      </c>
      <c r="AD229" s="1">
        <v>0</v>
      </c>
      <c r="AE229" s="1">
        <v>0</v>
      </c>
      <c r="AF229" s="1">
        <v>0</v>
      </c>
      <c r="AG229" s="1">
        <v>0</v>
      </c>
      <c r="AH229" s="1">
        <v>0</v>
      </c>
      <c r="AI229" s="1">
        <v>0</v>
      </c>
      <c r="AJ229" s="1">
        <v>0</v>
      </c>
      <c r="AK229" s="1">
        <v>0</v>
      </c>
      <c r="AL229" s="1">
        <v>0</v>
      </c>
      <c r="AM229" s="1">
        <v>0</v>
      </c>
      <c r="AN229" s="1">
        <v>0</v>
      </c>
      <c r="AO229" s="1">
        <v>0</v>
      </c>
      <c r="AP229" s="1">
        <v>0</v>
      </c>
      <c r="AQ229" s="1">
        <v>0</v>
      </c>
      <c r="AR229" s="1">
        <v>0</v>
      </c>
      <c r="AS229" s="1">
        <v>0</v>
      </c>
    </row>
    <row r="230" spans="1:45">
      <c r="A230" s="1" t="str">
        <f>VLOOKUP(D230,epiunits!A$1:C$4000,2,FALSE)</f>
      </c>
      <c r="B230" s="1" t="str">
        <f>VLOOKUP(D230,epiunits!A$1:C$4000,3,FALSE)</f>
      </c>
      <c r="C230" s="1" t="str">
        <f>VLOOKUP(E230,Inspector!A$1:B$50,2,FALSE)</f>
      </c>
      <c r="I230" s="1" t="str">
        <f>VLOOKUP(D230,epiunits!A$1:J$4000,6,FALSE)</f>
      </c>
      <c r="J230" s="1" t="str">
        <f>VLOOKUP(D230,epiunits!A$1:J$4000,7,FALSE)</f>
      </c>
      <c r="K230" s="1" t="str">
        <f>VLOOKUP(D230,epiunits!A$1:J$4000,8,FALSE)</f>
      </c>
      <c r="L230" s="1" t="str">
        <f>VLOOKUP(D230,epiunits!A$1:J$4000,9,FALSE)</f>
      </c>
      <c r="M230" s="1" t="str">
        <f>VLOOKUP(D230,epiunits!A$1:J$4000,10,FALSE)</f>
      </c>
      <c r="N230" s="1">
        <v>0</v>
      </c>
      <c r="O230" s="1">
        <v>0</v>
      </c>
      <c r="P230" s="1">
        <v>0</v>
      </c>
      <c r="Q230" s="1">
        <v>0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1">
        <v>0</v>
      </c>
      <c r="AC230" s="1">
        <v>0</v>
      </c>
      <c r="AD230" s="1">
        <v>0</v>
      </c>
      <c r="AE230" s="1">
        <v>0</v>
      </c>
      <c r="AF230" s="1">
        <v>0</v>
      </c>
      <c r="AG230" s="1">
        <v>0</v>
      </c>
      <c r="AH230" s="1">
        <v>0</v>
      </c>
      <c r="AI230" s="1">
        <v>0</v>
      </c>
      <c r="AJ230" s="1">
        <v>0</v>
      </c>
      <c r="AK230" s="1">
        <v>0</v>
      </c>
      <c r="AL230" s="1">
        <v>0</v>
      </c>
      <c r="AM230" s="1">
        <v>0</v>
      </c>
      <c r="AN230" s="1">
        <v>0</v>
      </c>
      <c r="AO230" s="1">
        <v>0</v>
      </c>
      <c r="AP230" s="1">
        <v>0</v>
      </c>
      <c r="AQ230" s="1">
        <v>0</v>
      </c>
      <c r="AR230" s="1">
        <v>0</v>
      </c>
      <c r="AS230" s="1">
        <v>0</v>
      </c>
    </row>
    <row r="231" spans="1:45">
      <c r="A231" s="1" t="str">
        <f>VLOOKUP(D231,epiunits!A$1:C$4000,2,FALSE)</f>
      </c>
      <c r="B231" s="1" t="str">
        <f>VLOOKUP(D231,epiunits!A$1:C$4000,3,FALSE)</f>
      </c>
      <c r="C231" s="1" t="str">
        <f>VLOOKUP(E231,Inspector!A$1:B$50,2,FALSE)</f>
      </c>
      <c r="I231" s="1" t="str">
        <f>VLOOKUP(D231,epiunits!A$1:J$4000,6,FALSE)</f>
      </c>
      <c r="J231" s="1" t="str">
        <f>VLOOKUP(D231,epiunits!A$1:J$4000,7,FALSE)</f>
      </c>
      <c r="K231" s="1" t="str">
        <f>VLOOKUP(D231,epiunits!A$1:J$4000,8,FALSE)</f>
      </c>
      <c r="L231" s="1" t="str">
        <f>VLOOKUP(D231,epiunits!A$1:J$4000,9,FALSE)</f>
      </c>
      <c r="M231" s="1" t="str">
        <f>VLOOKUP(D231,epiunits!A$1:J$4000,10,FALSE)</f>
      </c>
      <c r="N231" s="1">
        <v>0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0</v>
      </c>
      <c r="Y231" s="1">
        <v>0</v>
      </c>
      <c r="Z231" s="1">
        <v>0</v>
      </c>
      <c r="AA231" s="1">
        <v>0</v>
      </c>
      <c r="AB231" s="1">
        <v>0</v>
      </c>
      <c r="AC231" s="1">
        <v>0</v>
      </c>
      <c r="AD231" s="1">
        <v>0</v>
      </c>
      <c r="AE231" s="1">
        <v>0</v>
      </c>
      <c r="AF231" s="1">
        <v>0</v>
      </c>
      <c r="AG231" s="1">
        <v>0</v>
      </c>
      <c r="AH231" s="1">
        <v>0</v>
      </c>
      <c r="AI231" s="1">
        <v>0</v>
      </c>
      <c r="AJ231" s="1">
        <v>0</v>
      </c>
      <c r="AK231" s="1">
        <v>0</v>
      </c>
      <c r="AL231" s="1">
        <v>0</v>
      </c>
      <c r="AM231" s="1">
        <v>0</v>
      </c>
      <c r="AN231" s="1">
        <v>0</v>
      </c>
      <c r="AO231" s="1">
        <v>0</v>
      </c>
      <c r="AP231" s="1">
        <v>0</v>
      </c>
      <c r="AQ231" s="1">
        <v>0</v>
      </c>
      <c r="AR231" s="1">
        <v>0</v>
      </c>
      <c r="AS231" s="1">
        <v>0</v>
      </c>
    </row>
    <row r="232" spans="1:45">
      <c r="A232" s="1" t="str">
        <f>VLOOKUP(D232,epiunits!A$1:C$4000,2,FALSE)</f>
      </c>
      <c r="B232" s="1" t="str">
        <f>VLOOKUP(D232,epiunits!A$1:C$4000,3,FALSE)</f>
      </c>
      <c r="C232" s="1" t="str">
        <f>VLOOKUP(E232,Inspector!A$1:B$50,2,FALSE)</f>
      </c>
      <c r="I232" s="1" t="str">
        <f>VLOOKUP(D232,epiunits!A$1:J$4000,6,FALSE)</f>
      </c>
      <c r="J232" s="1" t="str">
        <f>VLOOKUP(D232,epiunits!A$1:J$4000,7,FALSE)</f>
      </c>
      <c r="K232" s="1" t="str">
        <f>VLOOKUP(D232,epiunits!A$1:J$4000,8,FALSE)</f>
      </c>
      <c r="L232" s="1" t="str">
        <f>VLOOKUP(D232,epiunits!A$1:J$4000,9,FALSE)</f>
      </c>
      <c r="M232" s="1" t="str">
        <f>VLOOKUP(D232,epiunits!A$1:J$4000,10,FALSE)</f>
      </c>
      <c r="N232" s="1">
        <v>0</v>
      </c>
      <c r="O232" s="1">
        <v>0</v>
      </c>
      <c r="P232" s="1">
        <v>0</v>
      </c>
      <c r="Q232" s="1">
        <v>0</v>
      </c>
      <c r="R232" s="1">
        <v>0</v>
      </c>
      <c r="S232" s="1">
        <v>0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1">
        <v>0</v>
      </c>
      <c r="AC232" s="1">
        <v>0</v>
      </c>
      <c r="AD232" s="1">
        <v>0</v>
      </c>
      <c r="AE232" s="1">
        <v>0</v>
      </c>
      <c r="AF232" s="1">
        <v>0</v>
      </c>
      <c r="AG232" s="1">
        <v>0</v>
      </c>
      <c r="AH232" s="1">
        <v>0</v>
      </c>
      <c r="AI232" s="1">
        <v>0</v>
      </c>
      <c r="AJ232" s="1">
        <v>0</v>
      </c>
      <c r="AK232" s="1">
        <v>0</v>
      </c>
      <c r="AL232" s="1">
        <v>0</v>
      </c>
      <c r="AM232" s="1">
        <v>0</v>
      </c>
      <c r="AN232" s="1">
        <v>0</v>
      </c>
      <c r="AO232" s="1">
        <v>0</v>
      </c>
      <c r="AP232" s="1">
        <v>0</v>
      </c>
      <c r="AQ232" s="1">
        <v>0</v>
      </c>
      <c r="AR232" s="1">
        <v>0</v>
      </c>
      <c r="AS232" s="1">
        <v>0</v>
      </c>
    </row>
    <row r="233" spans="1:45">
      <c r="A233" s="1" t="str">
        <f>VLOOKUP(D233,epiunits!A$1:C$4000,2,FALSE)</f>
      </c>
      <c r="B233" s="1" t="str">
        <f>VLOOKUP(D233,epiunits!A$1:C$4000,3,FALSE)</f>
      </c>
      <c r="C233" s="1" t="str">
        <f>VLOOKUP(E233,Inspector!A$1:B$50,2,FALSE)</f>
      </c>
      <c r="I233" s="1" t="str">
        <f>VLOOKUP(D233,epiunits!A$1:J$4000,6,FALSE)</f>
      </c>
      <c r="J233" s="1" t="str">
        <f>VLOOKUP(D233,epiunits!A$1:J$4000,7,FALSE)</f>
      </c>
      <c r="K233" s="1" t="str">
        <f>VLOOKUP(D233,epiunits!A$1:J$4000,8,FALSE)</f>
      </c>
      <c r="L233" s="1" t="str">
        <f>VLOOKUP(D233,epiunits!A$1:J$4000,9,FALSE)</f>
      </c>
      <c r="M233" s="1" t="str">
        <f>VLOOKUP(D233,epiunits!A$1:J$4000,10,FALSE)</f>
      </c>
      <c r="N233" s="1">
        <v>0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0</v>
      </c>
      <c r="AD233" s="1">
        <v>0</v>
      </c>
      <c r="AE233" s="1">
        <v>0</v>
      </c>
      <c r="AF233" s="1">
        <v>0</v>
      </c>
      <c r="AG233" s="1">
        <v>0</v>
      </c>
      <c r="AH233" s="1">
        <v>0</v>
      </c>
      <c r="AI233" s="1">
        <v>0</v>
      </c>
      <c r="AJ233" s="1">
        <v>0</v>
      </c>
      <c r="AK233" s="1">
        <v>0</v>
      </c>
      <c r="AL233" s="1">
        <v>0</v>
      </c>
      <c r="AM233" s="1">
        <v>0</v>
      </c>
      <c r="AN233" s="1">
        <v>0</v>
      </c>
      <c r="AO233" s="1">
        <v>0</v>
      </c>
      <c r="AP233" s="1">
        <v>0</v>
      </c>
      <c r="AQ233" s="1">
        <v>0</v>
      </c>
      <c r="AR233" s="1">
        <v>0</v>
      </c>
      <c r="AS233" s="1">
        <v>0</v>
      </c>
    </row>
    <row r="234" spans="1:45">
      <c r="A234" s="1" t="str">
        <f>VLOOKUP(D234,epiunits!A$1:C$4000,2,FALSE)</f>
      </c>
      <c r="B234" s="1" t="str">
        <f>VLOOKUP(D234,epiunits!A$1:C$4000,3,FALSE)</f>
      </c>
      <c r="C234" s="1" t="str">
        <f>VLOOKUP(E234,Inspector!A$1:B$50,2,FALSE)</f>
      </c>
      <c r="I234" s="1" t="str">
        <f>VLOOKUP(D234,epiunits!A$1:J$4000,6,FALSE)</f>
      </c>
      <c r="J234" s="1" t="str">
        <f>VLOOKUP(D234,epiunits!A$1:J$4000,7,FALSE)</f>
      </c>
      <c r="K234" s="1" t="str">
        <f>VLOOKUP(D234,epiunits!A$1:J$4000,8,FALSE)</f>
      </c>
      <c r="L234" s="1" t="str">
        <f>VLOOKUP(D234,epiunits!A$1:J$4000,9,FALSE)</f>
      </c>
      <c r="M234" s="1" t="str">
        <f>VLOOKUP(D234,epiunits!A$1:J$4000,10,FALSE)</f>
      </c>
      <c r="N234" s="1">
        <v>0</v>
      </c>
      <c r="O234" s="1">
        <v>0</v>
      </c>
      <c r="P234" s="1">
        <v>0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>
        <v>0</v>
      </c>
      <c r="AD234" s="1">
        <v>0</v>
      </c>
      <c r="AE234" s="1">
        <v>0</v>
      </c>
      <c r="AF234" s="1">
        <v>0</v>
      </c>
      <c r="AG234" s="1">
        <v>0</v>
      </c>
      <c r="AH234" s="1">
        <v>0</v>
      </c>
      <c r="AI234" s="1">
        <v>0</v>
      </c>
      <c r="AJ234" s="1">
        <v>0</v>
      </c>
      <c r="AK234" s="1">
        <v>0</v>
      </c>
      <c r="AL234" s="1">
        <v>0</v>
      </c>
      <c r="AM234" s="1">
        <v>0</v>
      </c>
      <c r="AN234" s="1">
        <v>0</v>
      </c>
      <c r="AO234" s="1">
        <v>0</v>
      </c>
      <c r="AP234" s="1">
        <v>0</v>
      </c>
      <c r="AQ234" s="1">
        <v>0</v>
      </c>
      <c r="AR234" s="1">
        <v>0</v>
      </c>
      <c r="AS234" s="1">
        <v>0</v>
      </c>
    </row>
    <row r="235" spans="1:45">
      <c r="A235" s="1" t="str">
        <f>VLOOKUP(D235,epiunits!A$1:C$4000,2,FALSE)</f>
      </c>
      <c r="B235" s="1" t="str">
        <f>VLOOKUP(D235,epiunits!A$1:C$4000,3,FALSE)</f>
      </c>
      <c r="C235" s="1" t="str">
        <f>VLOOKUP(E235,Inspector!A$1:B$50,2,FALSE)</f>
      </c>
      <c r="I235" s="1" t="str">
        <f>VLOOKUP(D235,epiunits!A$1:J$4000,6,FALSE)</f>
      </c>
      <c r="J235" s="1" t="str">
        <f>VLOOKUP(D235,epiunits!A$1:J$4000,7,FALSE)</f>
      </c>
      <c r="K235" s="1" t="str">
        <f>VLOOKUP(D235,epiunits!A$1:J$4000,8,FALSE)</f>
      </c>
      <c r="L235" s="1" t="str">
        <f>VLOOKUP(D235,epiunits!A$1:J$4000,9,FALSE)</f>
      </c>
      <c r="M235" s="1" t="str">
        <f>VLOOKUP(D235,epiunits!A$1:J$4000,10,FALSE)</f>
      </c>
      <c r="N235" s="1">
        <v>0</v>
      </c>
      <c r="O235" s="1">
        <v>0</v>
      </c>
      <c r="P235" s="1">
        <v>0</v>
      </c>
      <c r="Q235" s="1">
        <v>0</v>
      </c>
      <c r="R235" s="1">
        <v>0</v>
      </c>
      <c r="S235" s="1">
        <v>0</v>
      </c>
      <c r="T235" s="1">
        <v>0</v>
      </c>
      <c r="U235" s="1">
        <v>0</v>
      </c>
      <c r="V235" s="1">
        <v>0</v>
      </c>
      <c r="W235" s="1">
        <v>0</v>
      </c>
      <c r="X235" s="1">
        <v>0</v>
      </c>
      <c r="Y235" s="1">
        <v>0</v>
      </c>
      <c r="Z235" s="1">
        <v>0</v>
      </c>
      <c r="AA235" s="1">
        <v>0</v>
      </c>
      <c r="AB235" s="1">
        <v>0</v>
      </c>
      <c r="AC235" s="1">
        <v>0</v>
      </c>
      <c r="AD235" s="1">
        <v>0</v>
      </c>
      <c r="AE235" s="1">
        <v>0</v>
      </c>
      <c r="AF235" s="1">
        <v>0</v>
      </c>
      <c r="AG235" s="1">
        <v>0</v>
      </c>
      <c r="AH235" s="1">
        <v>0</v>
      </c>
      <c r="AI235" s="1">
        <v>0</v>
      </c>
      <c r="AJ235" s="1">
        <v>0</v>
      </c>
      <c r="AK235" s="1">
        <v>0</v>
      </c>
      <c r="AL235" s="1">
        <v>0</v>
      </c>
      <c r="AM235" s="1">
        <v>0</v>
      </c>
      <c r="AN235" s="1">
        <v>0</v>
      </c>
      <c r="AO235" s="1">
        <v>0</v>
      </c>
      <c r="AP235" s="1">
        <v>0</v>
      </c>
      <c r="AQ235" s="1">
        <v>0</v>
      </c>
      <c r="AR235" s="1">
        <v>0</v>
      </c>
      <c r="AS235" s="1">
        <v>0</v>
      </c>
    </row>
    <row r="236" spans="1:45">
      <c r="A236" s="1" t="str">
        <f>VLOOKUP(D236,epiunits!A$1:C$4000,2,FALSE)</f>
      </c>
      <c r="B236" s="1" t="str">
        <f>VLOOKUP(D236,epiunits!A$1:C$4000,3,FALSE)</f>
      </c>
      <c r="C236" s="1" t="str">
        <f>VLOOKUP(E236,Inspector!A$1:B$50,2,FALSE)</f>
      </c>
      <c r="I236" s="1" t="str">
        <f>VLOOKUP(D236,epiunits!A$1:J$4000,6,FALSE)</f>
      </c>
      <c r="J236" s="1" t="str">
        <f>VLOOKUP(D236,epiunits!A$1:J$4000,7,FALSE)</f>
      </c>
      <c r="K236" s="1" t="str">
        <f>VLOOKUP(D236,epiunits!A$1:J$4000,8,FALSE)</f>
      </c>
      <c r="L236" s="1" t="str">
        <f>VLOOKUP(D236,epiunits!A$1:J$4000,9,FALSE)</f>
      </c>
      <c r="M236" s="1" t="str">
        <f>VLOOKUP(D236,epiunits!A$1:J$4000,10,FALSE)</f>
      </c>
      <c r="N236" s="1">
        <v>0</v>
      </c>
      <c r="O236" s="1">
        <v>0</v>
      </c>
      <c r="P236" s="1">
        <v>0</v>
      </c>
      <c r="Q236" s="1">
        <v>0</v>
      </c>
      <c r="R236" s="1">
        <v>0</v>
      </c>
      <c r="S236" s="1">
        <v>0</v>
      </c>
      <c r="T236" s="1">
        <v>0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0</v>
      </c>
      <c r="AC236" s="1">
        <v>0</v>
      </c>
      <c r="AD236" s="1">
        <v>0</v>
      </c>
      <c r="AE236" s="1">
        <v>0</v>
      </c>
      <c r="AF236" s="1">
        <v>0</v>
      </c>
      <c r="AG236" s="1">
        <v>0</v>
      </c>
      <c r="AH236" s="1">
        <v>0</v>
      </c>
      <c r="AI236" s="1">
        <v>0</v>
      </c>
      <c r="AJ236" s="1">
        <v>0</v>
      </c>
      <c r="AK236" s="1">
        <v>0</v>
      </c>
      <c r="AL236" s="1">
        <v>0</v>
      </c>
      <c r="AM236" s="1">
        <v>0</v>
      </c>
      <c r="AN236" s="1">
        <v>0</v>
      </c>
      <c r="AO236" s="1">
        <v>0</v>
      </c>
      <c r="AP236" s="1">
        <v>0</v>
      </c>
      <c r="AQ236" s="1">
        <v>0</v>
      </c>
      <c r="AR236" s="1">
        <v>0</v>
      </c>
      <c r="AS236" s="1">
        <v>0</v>
      </c>
    </row>
    <row r="237" spans="1:45">
      <c r="A237" s="1" t="str">
        <f>VLOOKUP(D237,epiunits!A$1:C$4000,2,FALSE)</f>
      </c>
      <c r="B237" s="1" t="str">
        <f>VLOOKUP(D237,epiunits!A$1:C$4000,3,FALSE)</f>
      </c>
      <c r="C237" s="1" t="str">
        <f>VLOOKUP(E237,Inspector!A$1:B$50,2,FALSE)</f>
      </c>
      <c r="I237" s="1" t="str">
        <f>VLOOKUP(D237,epiunits!A$1:J$4000,6,FALSE)</f>
      </c>
      <c r="J237" s="1" t="str">
        <f>VLOOKUP(D237,epiunits!A$1:J$4000,7,FALSE)</f>
      </c>
      <c r="K237" s="1" t="str">
        <f>VLOOKUP(D237,epiunits!A$1:J$4000,8,FALSE)</f>
      </c>
      <c r="L237" s="1" t="str">
        <f>VLOOKUP(D237,epiunits!A$1:J$4000,9,FALSE)</f>
      </c>
      <c r="M237" s="1" t="str">
        <f>VLOOKUP(D237,epiunits!A$1:J$4000,10,FALSE)</f>
      </c>
      <c r="N237" s="1">
        <v>0</v>
      </c>
      <c r="O237" s="1">
        <v>0</v>
      </c>
      <c r="P237" s="1">
        <v>0</v>
      </c>
      <c r="Q237" s="1">
        <v>0</v>
      </c>
      <c r="R237" s="1">
        <v>0</v>
      </c>
      <c r="S237" s="1">
        <v>0</v>
      </c>
      <c r="T237" s="1">
        <v>0</v>
      </c>
      <c r="U237" s="1">
        <v>0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>
        <v>0</v>
      </c>
      <c r="AE237" s="1">
        <v>0</v>
      </c>
      <c r="AF237" s="1">
        <v>0</v>
      </c>
      <c r="AG237" s="1">
        <v>0</v>
      </c>
      <c r="AH237" s="1">
        <v>0</v>
      </c>
      <c r="AI237" s="1">
        <v>0</v>
      </c>
      <c r="AJ237" s="1">
        <v>0</v>
      </c>
      <c r="AK237" s="1">
        <v>0</v>
      </c>
      <c r="AL237" s="1">
        <v>0</v>
      </c>
      <c r="AM237" s="1">
        <v>0</v>
      </c>
      <c r="AN237" s="1">
        <v>0</v>
      </c>
      <c r="AO237" s="1">
        <v>0</v>
      </c>
      <c r="AP237" s="1">
        <v>0</v>
      </c>
      <c r="AQ237" s="1">
        <v>0</v>
      </c>
      <c r="AR237" s="1">
        <v>0</v>
      </c>
      <c r="AS237" s="1">
        <v>0</v>
      </c>
    </row>
    <row r="238" spans="1:45">
      <c r="A238" s="1" t="str">
        <f>VLOOKUP(D238,epiunits!A$1:C$4000,2,FALSE)</f>
      </c>
      <c r="B238" s="1" t="str">
        <f>VLOOKUP(D238,epiunits!A$1:C$4000,3,FALSE)</f>
      </c>
      <c r="C238" s="1" t="str">
        <f>VLOOKUP(E238,Inspector!A$1:B$50,2,FALSE)</f>
      </c>
      <c r="I238" s="1" t="str">
        <f>VLOOKUP(D238,epiunits!A$1:J$4000,6,FALSE)</f>
      </c>
      <c r="J238" s="1" t="str">
        <f>VLOOKUP(D238,epiunits!A$1:J$4000,7,FALSE)</f>
      </c>
      <c r="K238" s="1" t="str">
        <f>VLOOKUP(D238,epiunits!A$1:J$4000,8,FALSE)</f>
      </c>
      <c r="L238" s="1" t="str">
        <f>VLOOKUP(D238,epiunits!A$1:J$4000,9,FALSE)</f>
      </c>
      <c r="M238" s="1" t="str">
        <f>VLOOKUP(D238,epiunits!A$1:J$4000,10,FALSE)</f>
      </c>
      <c r="N238" s="1">
        <v>0</v>
      </c>
      <c r="O238" s="1">
        <v>0</v>
      </c>
      <c r="P238" s="1">
        <v>0</v>
      </c>
      <c r="Q238" s="1">
        <v>0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0</v>
      </c>
      <c r="AC238" s="1">
        <v>0</v>
      </c>
      <c r="AD238" s="1">
        <v>0</v>
      </c>
      <c r="AE238" s="1">
        <v>0</v>
      </c>
      <c r="AF238" s="1">
        <v>0</v>
      </c>
      <c r="AG238" s="1">
        <v>0</v>
      </c>
      <c r="AH238" s="1">
        <v>0</v>
      </c>
      <c r="AI238" s="1">
        <v>0</v>
      </c>
      <c r="AJ238" s="1">
        <v>0</v>
      </c>
      <c r="AK238" s="1">
        <v>0</v>
      </c>
      <c r="AL238" s="1">
        <v>0</v>
      </c>
      <c r="AM238" s="1">
        <v>0</v>
      </c>
      <c r="AN238" s="1">
        <v>0</v>
      </c>
      <c r="AO238" s="1">
        <v>0</v>
      </c>
      <c r="AP238" s="1">
        <v>0</v>
      </c>
      <c r="AQ238" s="1">
        <v>0</v>
      </c>
      <c r="AR238" s="1">
        <v>0</v>
      </c>
      <c r="AS238" s="1">
        <v>0</v>
      </c>
    </row>
    <row r="239" spans="1:45">
      <c r="A239" s="1" t="str">
        <f>VLOOKUP(D239,epiunits!A$1:C$4000,2,FALSE)</f>
      </c>
      <c r="B239" s="1" t="str">
        <f>VLOOKUP(D239,epiunits!A$1:C$4000,3,FALSE)</f>
      </c>
      <c r="C239" s="1" t="str">
        <f>VLOOKUP(E239,Inspector!A$1:B$50,2,FALSE)</f>
      </c>
      <c r="I239" s="1" t="str">
        <f>VLOOKUP(D239,epiunits!A$1:J$4000,6,FALSE)</f>
      </c>
      <c r="J239" s="1" t="str">
        <f>VLOOKUP(D239,epiunits!A$1:J$4000,7,FALSE)</f>
      </c>
      <c r="K239" s="1" t="str">
        <f>VLOOKUP(D239,epiunits!A$1:J$4000,8,FALSE)</f>
      </c>
      <c r="L239" s="1" t="str">
        <f>VLOOKUP(D239,epiunits!A$1:J$4000,9,FALSE)</f>
      </c>
      <c r="M239" s="1" t="str">
        <f>VLOOKUP(D239,epiunits!A$1:J$4000,10,FALSE)</f>
      </c>
      <c r="N239" s="1">
        <v>0</v>
      </c>
      <c r="O239" s="1">
        <v>0</v>
      </c>
      <c r="P239" s="1">
        <v>0</v>
      </c>
      <c r="Q239" s="1">
        <v>0</v>
      </c>
      <c r="R239" s="1">
        <v>0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>
        <v>0</v>
      </c>
      <c r="AE239" s="1">
        <v>0</v>
      </c>
      <c r="AF239" s="1">
        <v>0</v>
      </c>
      <c r="AG239" s="1">
        <v>0</v>
      </c>
      <c r="AH239" s="1">
        <v>0</v>
      </c>
      <c r="AI239" s="1">
        <v>0</v>
      </c>
      <c r="AJ239" s="1">
        <v>0</v>
      </c>
      <c r="AK239" s="1">
        <v>0</v>
      </c>
      <c r="AL239" s="1">
        <v>0</v>
      </c>
      <c r="AM239" s="1">
        <v>0</v>
      </c>
      <c r="AN239" s="1">
        <v>0</v>
      </c>
      <c r="AO239" s="1">
        <v>0</v>
      </c>
      <c r="AP239" s="1">
        <v>0</v>
      </c>
      <c r="AQ239" s="1">
        <v>0</v>
      </c>
      <c r="AR239" s="1">
        <v>0</v>
      </c>
      <c r="AS239" s="1">
        <v>0</v>
      </c>
    </row>
    <row r="240" spans="1:45">
      <c r="A240" s="1" t="str">
        <f>VLOOKUP(D240,epiunits!A$1:C$4000,2,FALSE)</f>
      </c>
      <c r="B240" s="1" t="str">
        <f>VLOOKUP(D240,epiunits!A$1:C$4000,3,FALSE)</f>
      </c>
      <c r="C240" s="1" t="str">
        <f>VLOOKUP(E240,Inspector!A$1:B$50,2,FALSE)</f>
      </c>
      <c r="I240" s="1" t="str">
        <f>VLOOKUP(D240,epiunits!A$1:J$4000,6,FALSE)</f>
      </c>
      <c r="J240" s="1" t="str">
        <f>VLOOKUP(D240,epiunits!A$1:J$4000,7,FALSE)</f>
      </c>
      <c r="K240" s="1" t="str">
        <f>VLOOKUP(D240,epiunits!A$1:J$4000,8,FALSE)</f>
      </c>
      <c r="L240" s="1" t="str">
        <f>VLOOKUP(D240,epiunits!A$1:J$4000,9,FALSE)</f>
      </c>
      <c r="M240" s="1" t="str">
        <f>VLOOKUP(D240,epiunits!A$1:J$4000,10,FALSE)</f>
      </c>
      <c r="N240" s="1">
        <v>0</v>
      </c>
      <c r="O240" s="1">
        <v>0</v>
      </c>
      <c r="P240" s="1">
        <v>0</v>
      </c>
      <c r="Q240" s="1">
        <v>0</v>
      </c>
      <c r="R240" s="1">
        <v>0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0</v>
      </c>
      <c r="AC240" s="1">
        <v>0</v>
      </c>
      <c r="AD240" s="1">
        <v>0</v>
      </c>
      <c r="AE240" s="1">
        <v>0</v>
      </c>
      <c r="AF240" s="1">
        <v>0</v>
      </c>
      <c r="AG240" s="1">
        <v>0</v>
      </c>
      <c r="AH240" s="1">
        <v>0</v>
      </c>
      <c r="AI240" s="1">
        <v>0</v>
      </c>
      <c r="AJ240" s="1">
        <v>0</v>
      </c>
      <c r="AK240" s="1">
        <v>0</v>
      </c>
      <c r="AL240" s="1">
        <v>0</v>
      </c>
      <c r="AM240" s="1">
        <v>0</v>
      </c>
      <c r="AN240" s="1">
        <v>0</v>
      </c>
      <c r="AO240" s="1">
        <v>0</v>
      </c>
      <c r="AP240" s="1">
        <v>0</v>
      </c>
      <c r="AQ240" s="1">
        <v>0</v>
      </c>
      <c r="AR240" s="1">
        <v>0</v>
      </c>
      <c r="AS240" s="1">
        <v>0</v>
      </c>
    </row>
    <row r="241" spans="1:45">
      <c r="A241" s="1" t="str">
        <f>VLOOKUP(D241,epiunits!A$1:C$4000,2,FALSE)</f>
      </c>
      <c r="B241" s="1" t="str">
        <f>VLOOKUP(D241,epiunits!A$1:C$4000,3,FALSE)</f>
      </c>
      <c r="C241" s="1" t="str">
        <f>VLOOKUP(E241,Inspector!A$1:B$50,2,FALSE)</f>
      </c>
      <c r="I241" s="1" t="str">
        <f>VLOOKUP(D241,epiunits!A$1:J$4000,6,FALSE)</f>
      </c>
      <c r="J241" s="1" t="str">
        <f>VLOOKUP(D241,epiunits!A$1:J$4000,7,FALSE)</f>
      </c>
      <c r="K241" s="1" t="str">
        <f>VLOOKUP(D241,epiunits!A$1:J$4000,8,FALSE)</f>
      </c>
      <c r="L241" s="1" t="str">
        <f>VLOOKUP(D241,epiunits!A$1:J$4000,9,FALSE)</f>
      </c>
      <c r="M241" s="1" t="str">
        <f>VLOOKUP(D241,epiunits!A$1:J$4000,10,FALSE)</f>
      </c>
      <c r="N241" s="1">
        <v>0</v>
      </c>
      <c r="O241" s="1">
        <v>0</v>
      </c>
      <c r="P241" s="1">
        <v>0</v>
      </c>
      <c r="Q241" s="1">
        <v>0</v>
      </c>
      <c r="R241" s="1">
        <v>0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0</v>
      </c>
      <c r="AC241" s="1">
        <v>0</v>
      </c>
      <c r="AD241" s="1">
        <v>0</v>
      </c>
      <c r="AE241" s="1">
        <v>0</v>
      </c>
      <c r="AF241" s="1">
        <v>0</v>
      </c>
      <c r="AG241" s="1">
        <v>0</v>
      </c>
      <c r="AH241" s="1">
        <v>0</v>
      </c>
      <c r="AI241" s="1">
        <v>0</v>
      </c>
      <c r="AJ241" s="1">
        <v>0</v>
      </c>
      <c r="AK241" s="1">
        <v>0</v>
      </c>
      <c r="AL241" s="1">
        <v>0</v>
      </c>
      <c r="AM241" s="1">
        <v>0</v>
      </c>
      <c r="AN241" s="1">
        <v>0</v>
      </c>
      <c r="AO241" s="1">
        <v>0</v>
      </c>
      <c r="AP241" s="1">
        <v>0</v>
      </c>
      <c r="AQ241" s="1">
        <v>0</v>
      </c>
      <c r="AR241" s="1">
        <v>0</v>
      </c>
      <c r="AS241" s="1">
        <v>0</v>
      </c>
    </row>
    <row r="242" spans="1:45">
      <c r="A242" s="1" t="str">
        <f>VLOOKUP(D242,epiunits!A$1:C$4000,2,FALSE)</f>
      </c>
      <c r="B242" s="1" t="str">
        <f>VLOOKUP(D242,epiunits!A$1:C$4000,3,FALSE)</f>
      </c>
      <c r="C242" s="1" t="str">
        <f>VLOOKUP(E242,Inspector!A$1:B$50,2,FALSE)</f>
      </c>
      <c r="I242" s="1" t="str">
        <f>VLOOKUP(D242,epiunits!A$1:J$4000,6,FALSE)</f>
      </c>
      <c r="J242" s="1" t="str">
        <f>VLOOKUP(D242,epiunits!A$1:J$4000,7,FALSE)</f>
      </c>
      <c r="K242" s="1" t="str">
        <f>VLOOKUP(D242,epiunits!A$1:J$4000,8,FALSE)</f>
      </c>
      <c r="L242" s="1" t="str">
        <f>VLOOKUP(D242,epiunits!A$1:J$4000,9,FALSE)</f>
      </c>
      <c r="M242" s="1" t="str">
        <f>VLOOKUP(D242,epiunits!A$1:J$4000,10,FALSE)</f>
      </c>
      <c r="N242" s="1">
        <v>0</v>
      </c>
      <c r="O242" s="1">
        <v>0</v>
      </c>
      <c r="P242" s="1">
        <v>0</v>
      </c>
      <c r="Q242" s="1">
        <v>0</v>
      </c>
      <c r="R242" s="1">
        <v>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0</v>
      </c>
      <c r="AC242" s="1">
        <v>0</v>
      </c>
      <c r="AD242" s="1">
        <v>0</v>
      </c>
      <c r="AE242" s="1">
        <v>0</v>
      </c>
      <c r="AF242" s="1">
        <v>0</v>
      </c>
      <c r="AG242" s="1">
        <v>0</v>
      </c>
      <c r="AH242" s="1">
        <v>0</v>
      </c>
      <c r="AI242" s="1">
        <v>0</v>
      </c>
      <c r="AJ242" s="1">
        <v>0</v>
      </c>
      <c r="AK242" s="1">
        <v>0</v>
      </c>
      <c r="AL242" s="1">
        <v>0</v>
      </c>
      <c r="AM242" s="1">
        <v>0</v>
      </c>
      <c r="AN242" s="1">
        <v>0</v>
      </c>
      <c r="AO242" s="1">
        <v>0</v>
      </c>
      <c r="AP242" s="1">
        <v>0</v>
      </c>
      <c r="AQ242" s="1">
        <v>0</v>
      </c>
      <c r="AR242" s="1">
        <v>0</v>
      </c>
      <c r="AS242" s="1">
        <v>0</v>
      </c>
    </row>
    <row r="243" spans="1:45">
      <c r="A243" s="1" t="str">
        <f>VLOOKUP(D243,epiunits!A$1:C$4000,2,FALSE)</f>
      </c>
      <c r="B243" s="1" t="str">
        <f>VLOOKUP(D243,epiunits!A$1:C$4000,3,FALSE)</f>
      </c>
      <c r="C243" s="1" t="str">
        <f>VLOOKUP(E243,Inspector!A$1:B$50,2,FALSE)</f>
      </c>
      <c r="I243" s="1" t="str">
        <f>VLOOKUP(D243,epiunits!A$1:J$4000,6,FALSE)</f>
      </c>
      <c r="J243" s="1" t="str">
        <f>VLOOKUP(D243,epiunits!A$1:J$4000,7,FALSE)</f>
      </c>
      <c r="K243" s="1" t="str">
        <f>VLOOKUP(D243,epiunits!A$1:J$4000,8,FALSE)</f>
      </c>
      <c r="L243" s="1" t="str">
        <f>VLOOKUP(D243,epiunits!A$1:J$4000,9,FALSE)</f>
      </c>
      <c r="M243" s="1" t="str">
        <f>VLOOKUP(D243,epiunits!A$1:J$4000,10,FALSE)</f>
      </c>
      <c r="N243" s="1">
        <v>0</v>
      </c>
      <c r="O243" s="1">
        <v>0</v>
      </c>
      <c r="P243" s="1">
        <v>0</v>
      </c>
      <c r="Q243" s="1">
        <v>0</v>
      </c>
      <c r="R243" s="1">
        <v>0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0</v>
      </c>
      <c r="AD243" s="1">
        <v>0</v>
      </c>
      <c r="AE243" s="1">
        <v>0</v>
      </c>
      <c r="AF243" s="1">
        <v>0</v>
      </c>
      <c r="AG243" s="1">
        <v>0</v>
      </c>
      <c r="AH243" s="1">
        <v>0</v>
      </c>
      <c r="AI243" s="1">
        <v>0</v>
      </c>
      <c r="AJ243" s="1">
        <v>0</v>
      </c>
      <c r="AK243" s="1">
        <v>0</v>
      </c>
      <c r="AL243" s="1">
        <v>0</v>
      </c>
      <c r="AM243" s="1">
        <v>0</v>
      </c>
      <c r="AN243" s="1">
        <v>0</v>
      </c>
      <c r="AO243" s="1">
        <v>0</v>
      </c>
      <c r="AP243" s="1">
        <v>0</v>
      </c>
      <c r="AQ243" s="1">
        <v>0</v>
      </c>
      <c r="AR243" s="1">
        <v>0</v>
      </c>
      <c r="AS243" s="1">
        <v>0</v>
      </c>
    </row>
    <row r="244" spans="1:45">
      <c r="A244" s="1" t="str">
        <f>VLOOKUP(D244,epiunits!A$1:C$4000,2,FALSE)</f>
      </c>
      <c r="B244" s="1" t="str">
        <f>VLOOKUP(D244,epiunits!A$1:C$4000,3,FALSE)</f>
      </c>
      <c r="C244" s="1" t="str">
        <f>VLOOKUP(E244,Inspector!A$1:B$50,2,FALSE)</f>
      </c>
      <c r="I244" s="1" t="str">
        <f>VLOOKUP(D244,epiunits!A$1:J$4000,6,FALSE)</f>
      </c>
      <c r="J244" s="1" t="str">
        <f>VLOOKUP(D244,epiunits!A$1:J$4000,7,FALSE)</f>
      </c>
      <c r="K244" s="1" t="str">
        <f>VLOOKUP(D244,epiunits!A$1:J$4000,8,FALSE)</f>
      </c>
      <c r="L244" s="1" t="str">
        <f>VLOOKUP(D244,epiunits!A$1:J$4000,9,FALSE)</f>
      </c>
      <c r="M244" s="1" t="str">
        <f>VLOOKUP(D244,epiunits!A$1:J$4000,10,FALSE)</f>
      </c>
      <c r="N244" s="1">
        <v>0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0</v>
      </c>
      <c r="AD244" s="1">
        <v>0</v>
      </c>
      <c r="AE244" s="1">
        <v>0</v>
      </c>
      <c r="AF244" s="1">
        <v>0</v>
      </c>
      <c r="AG244" s="1">
        <v>0</v>
      </c>
      <c r="AH244" s="1">
        <v>0</v>
      </c>
      <c r="AI244" s="1">
        <v>0</v>
      </c>
      <c r="AJ244" s="1">
        <v>0</v>
      </c>
      <c r="AK244" s="1">
        <v>0</v>
      </c>
      <c r="AL244" s="1">
        <v>0</v>
      </c>
      <c r="AM244" s="1">
        <v>0</v>
      </c>
      <c r="AN244" s="1">
        <v>0</v>
      </c>
      <c r="AO244" s="1">
        <v>0</v>
      </c>
      <c r="AP244" s="1">
        <v>0</v>
      </c>
      <c r="AQ244" s="1">
        <v>0</v>
      </c>
      <c r="AR244" s="1">
        <v>0</v>
      </c>
      <c r="AS244" s="1">
        <v>0</v>
      </c>
    </row>
    <row r="245" spans="1:45">
      <c r="A245" s="1" t="str">
        <f>VLOOKUP(D245,epiunits!A$1:C$4000,2,FALSE)</f>
      </c>
      <c r="B245" s="1" t="str">
        <f>VLOOKUP(D245,epiunits!A$1:C$4000,3,FALSE)</f>
      </c>
      <c r="C245" s="1" t="str">
        <f>VLOOKUP(E245,Inspector!A$1:B$50,2,FALSE)</f>
      </c>
      <c r="I245" s="1" t="str">
        <f>VLOOKUP(D245,epiunits!A$1:J$4000,6,FALSE)</f>
      </c>
      <c r="J245" s="1" t="str">
        <f>VLOOKUP(D245,epiunits!A$1:J$4000,7,FALSE)</f>
      </c>
      <c r="K245" s="1" t="str">
        <f>VLOOKUP(D245,epiunits!A$1:J$4000,8,FALSE)</f>
      </c>
      <c r="L245" s="1" t="str">
        <f>VLOOKUP(D245,epiunits!A$1:J$4000,9,FALSE)</f>
      </c>
      <c r="M245" s="1" t="str">
        <f>VLOOKUP(D245,epiunits!A$1:J$4000,10,FALSE)</f>
      </c>
      <c r="N245" s="1">
        <v>0</v>
      </c>
      <c r="O245" s="1">
        <v>0</v>
      </c>
      <c r="P245" s="1">
        <v>0</v>
      </c>
      <c r="Q245" s="1">
        <v>0</v>
      </c>
      <c r="R245" s="1">
        <v>0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0</v>
      </c>
      <c r="AD245" s="1">
        <v>0</v>
      </c>
      <c r="AE245" s="1">
        <v>0</v>
      </c>
      <c r="AF245" s="1">
        <v>0</v>
      </c>
      <c r="AG245" s="1">
        <v>0</v>
      </c>
      <c r="AH245" s="1">
        <v>0</v>
      </c>
      <c r="AI245" s="1">
        <v>0</v>
      </c>
      <c r="AJ245" s="1">
        <v>0</v>
      </c>
      <c r="AK245" s="1">
        <v>0</v>
      </c>
      <c r="AL245" s="1">
        <v>0</v>
      </c>
      <c r="AM245" s="1">
        <v>0</v>
      </c>
      <c r="AN245" s="1">
        <v>0</v>
      </c>
      <c r="AO245" s="1">
        <v>0</v>
      </c>
      <c r="AP245" s="1">
        <v>0</v>
      </c>
      <c r="AQ245" s="1">
        <v>0</v>
      </c>
      <c r="AR245" s="1">
        <v>0</v>
      </c>
      <c r="AS245" s="1">
        <v>0</v>
      </c>
    </row>
    <row r="246" spans="1:45">
      <c r="A246" s="1" t="str">
        <f>VLOOKUP(D246,epiunits!A$1:C$4000,2,FALSE)</f>
      </c>
      <c r="B246" s="1" t="str">
        <f>VLOOKUP(D246,epiunits!A$1:C$4000,3,FALSE)</f>
      </c>
      <c r="C246" s="1" t="str">
        <f>VLOOKUP(E246,Inspector!A$1:B$50,2,FALSE)</f>
      </c>
      <c r="I246" s="1" t="str">
        <f>VLOOKUP(D246,epiunits!A$1:J$4000,6,FALSE)</f>
      </c>
      <c r="J246" s="1" t="str">
        <f>VLOOKUP(D246,epiunits!A$1:J$4000,7,FALSE)</f>
      </c>
      <c r="K246" s="1" t="str">
        <f>VLOOKUP(D246,epiunits!A$1:J$4000,8,FALSE)</f>
      </c>
      <c r="L246" s="1" t="str">
        <f>VLOOKUP(D246,epiunits!A$1:J$4000,9,FALSE)</f>
      </c>
      <c r="M246" s="1" t="str">
        <f>VLOOKUP(D246,epiunits!A$1:J$4000,10,FALSE)</f>
      </c>
      <c r="N246" s="1">
        <v>0</v>
      </c>
      <c r="O246" s="1">
        <v>0</v>
      </c>
      <c r="P246" s="1">
        <v>0</v>
      </c>
      <c r="Q246" s="1">
        <v>0</v>
      </c>
      <c r="R246" s="1">
        <v>0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0</v>
      </c>
      <c r="AD246" s="1">
        <v>0</v>
      </c>
      <c r="AE246" s="1">
        <v>0</v>
      </c>
      <c r="AF246" s="1">
        <v>0</v>
      </c>
      <c r="AG246" s="1">
        <v>0</v>
      </c>
      <c r="AH246" s="1">
        <v>0</v>
      </c>
      <c r="AI246" s="1">
        <v>0</v>
      </c>
      <c r="AJ246" s="1">
        <v>0</v>
      </c>
      <c r="AK246" s="1">
        <v>0</v>
      </c>
      <c r="AL246" s="1">
        <v>0</v>
      </c>
      <c r="AM246" s="1">
        <v>0</v>
      </c>
      <c r="AN246" s="1">
        <v>0</v>
      </c>
      <c r="AO246" s="1">
        <v>0</v>
      </c>
      <c r="AP246" s="1">
        <v>0</v>
      </c>
      <c r="AQ246" s="1">
        <v>0</v>
      </c>
      <c r="AR246" s="1">
        <v>0</v>
      </c>
      <c r="AS246" s="1">
        <v>0</v>
      </c>
    </row>
    <row r="247" spans="1:45">
      <c r="A247" s="1" t="str">
        <f>VLOOKUP(D247,epiunits!A$1:C$4000,2,FALSE)</f>
      </c>
      <c r="B247" s="1" t="str">
        <f>VLOOKUP(D247,epiunits!A$1:C$4000,3,FALSE)</f>
      </c>
      <c r="C247" s="1" t="str">
        <f>VLOOKUP(E247,Inspector!A$1:B$50,2,FALSE)</f>
      </c>
      <c r="I247" s="1" t="str">
        <f>VLOOKUP(D247,epiunits!A$1:J$4000,6,FALSE)</f>
      </c>
      <c r="J247" s="1" t="str">
        <f>VLOOKUP(D247,epiunits!A$1:J$4000,7,FALSE)</f>
      </c>
      <c r="K247" s="1" t="str">
        <f>VLOOKUP(D247,epiunits!A$1:J$4000,8,FALSE)</f>
      </c>
      <c r="L247" s="1" t="str">
        <f>VLOOKUP(D247,epiunits!A$1:J$4000,9,FALSE)</f>
      </c>
      <c r="M247" s="1" t="str">
        <f>VLOOKUP(D247,epiunits!A$1:J$4000,10,FALSE)</f>
      </c>
      <c r="N247" s="1">
        <v>0</v>
      </c>
      <c r="O247" s="1">
        <v>0</v>
      </c>
      <c r="P247" s="1">
        <v>0</v>
      </c>
      <c r="Q247" s="1">
        <v>0</v>
      </c>
      <c r="R247" s="1">
        <v>0</v>
      </c>
      <c r="S247" s="1">
        <v>0</v>
      </c>
      <c r="T247" s="1">
        <v>0</v>
      </c>
      <c r="U247" s="1">
        <v>0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1">
        <v>0</v>
      </c>
      <c r="AC247" s="1">
        <v>0</v>
      </c>
      <c r="AD247" s="1">
        <v>0</v>
      </c>
      <c r="AE247" s="1">
        <v>0</v>
      </c>
      <c r="AF247" s="1">
        <v>0</v>
      </c>
      <c r="AG247" s="1">
        <v>0</v>
      </c>
      <c r="AH247" s="1">
        <v>0</v>
      </c>
      <c r="AI247" s="1">
        <v>0</v>
      </c>
      <c r="AJ247" s="1">
        <v>0</v>
      </c>
      <c r="AK247" s="1">
        <v>0</v>
      </c>
      <c r="AL247" s="1">
        <v>0</v>
      </c>
      <c r="AM247" s="1">
        <v>0</v>
      </c>
      <c r="AN247" s="1">
        <v>0</v>
      </c>
      <c r="AO247" s="1">
        <v>0</v>
      </c>
      <c r="AP247" s="1">
        <v>0</v>
      </c>
      <c r="AQ247" s="1">
        <v>0</v>
      </c>
      <c r="AR247" s="1">
        <v>0</v>
      </c>
      <c r="AS247" s="1">
        <v>0</v>
      </c>
    </row>
    <row r="248" spans="1:45">
      <c r="A248" s="1" t="str">
        <f>VLOOKUP(D248,epiunits!A$1:C$4000,2,FALSE)</f>
      </c>
      <c r="B248" s="1" t="str">
        <f>VLOOKUP(D248,epiunits!A$1:C$4000,3,FALSE)</f>
      </c>
      <c r="C248" s="1" t="str">
        <f>VLOOKUP(E248,Inspector!A$1:B$50,2,FALSE)</f>
      </c>
      <c r="I248" s="1" t="str">
        <f>VLOOKUP(D248,epiunits!A$1:J$4000,6,FALSE)</f>
      </c>
      <c r="J248" s="1" t="str">
        <f>VLOOKUP(D248,epiunits!A$1:J$4000,7,FALSE)</f>
      </c>
      <c r="K248" s="1" t="str">
        <f>VLOOKUP(D248,epiunits!A$1:J$4000,8,FALSE)</f>
      </c>
      <c r="L248" s="1" t="str">
        <f>VLOOKUP(D248,epiunits!A$1:J$4000,9,FALSE)</f>
      </c>
      <c r="M248" s="1" t="str">
        <f>VLOOKUP(D248,epiunits!A$1:J$4000,10,FALSE)</f>
      </c>
      <c r="N248" s="1">
        <v>0</v>
      </c>
      <c r="O248" s="1">
        <v>0</v>
      </c>
      <c r="P248" s="1">
        <v>0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0</v>
      </c>
      <c r="AC248" s="1">
        <v>0</v>
      </c>
      <c r="AD248" s="1">
        <v>0</v>
      </c>
      <c r="AE248" s="1">
        <v>0</v>
      </c>
      <c r="AF248" s="1">
        <v>0</v>
      </c>
      <c r="AG248" s="1">
        <v>0</v>
      </c>
      <c r="AH248" s="1">
        <v>0</v>
      </c>
      <c r="AI248" s="1">
        <v>0</v>
      </c>
      <c r="AJ248" s="1">
        <v>0</v>
      </c>
      <c r="AK248" s="1">
        <v>0</v>
      </c>
      <c r="AL248" s="1">
        <v>0</v>
      </c>
      <c r="AM248" s="1">
        <v>0</v>
      </c>
      <c r="AN248" s="1">
        <v>0</v>
      </c>
      <c r="AO248" s="1">
        <v>0</v>
      </c>
      <c r="AP248" s="1">
        <v>0</v>
      </c>
      <c r="AQ248" s="1">
        <v>0</v>
      </c>
      <c r="AR248" s="1">
        <v>0</v>
      </c>
      <c r="AS248" s="1">
        <v>0</v>
      </c>
    </row>
    <row r="249" spans="1:45">
      <c r="A249" s="1" t="str">
        <f>VLOOKUP(D249,epiunits!A$1:C$4000,2,FALSE)</f>
      </c>
      <c r="B249" s="1" t="str">
        <f>VLOOKUP(D249,epiunits!A$1:C$4000,3,FALSE)</f>
      </c>
      <c r="C249" s="1" t="str">
        <f>VLOOKUP(E249,Inspector!A$1:B$50,2,FALSE)</f>
      </c>
      <c r="I249" s="1" t="str">
        <f>VLOOKUP(D249,epiunits!A$1:J$4000,6,FALSE)</f>
      </c>
      <c r="J249" s="1" t="str">
        <f>VLOOKUP(D249,epiunits!A$1:J$4000,7,FALSE)</f>
      </c>
      <c r="K249" s="1" t="str">
        <f>VLOOKUP(D249,epiunits!A$1:J$4000,8,FALSE)</f>
      </c>
      <c r="L249" s="1" t="str">
        <f>VLOOKUP(D249,epiunits!A$1:J$4000,9,FALSE)</f>
      </c>
      <c r="M249" s="1" t="str">
        <f>VLOOKUP(D249,epiunits!A$1:J$4000,10,FALSE)</f>
      </c>
      <c r="N249" s="1">
        <v>0</v>
      </c>
      <c r="O249" s="1">
        <v>0</v>
      </c>
      <c r="P249" s="1">
        <v>0</v>
      </c>
      <c r="Q249" s="1">
        <v>0</v>
      </c>
      <c r="R249" s="1">
        <v>0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1">
        <v>0</v>
      </c>
      <c r="AE249" s="1">
        <v>0</v>
      </c>
      <c r="AF249" s="1">
        <v>0</v>
      </c>
      <c r="AG249" s="1">
        <v>0</v>
      </c>
      <c r="AH249" s="1">
        <v>0</v>
      </c>
      <c r="AI249" s="1">
        <v>0</v>
      </c>
      <c r="AJ249" s="1">
        <v>0</v>
      </c>
      <c r="AK249" s="1">
        <v>0</v>
      </c>
      <c r="AL249" s="1">
        <v>0</v>
      </c>
      <c r="AM249" s="1">
        <v>0</v>
      </c>
      <c r="AN249" s="1">
        <v>0</v>
      </c>
      <c r="AO249" s="1">
        <v>0</v>
      </c>
      <c r="AP249" s="1">
        <v>0</v>
      </c>
      <c r="AQ249" s="1">
        <v>0</v>
      </c>
      <c r="AR249" s="1">
        <v>0</v>
      </c>
      <c r="AS249" s="1">
        <v>0</v>
      </c>
    </row>
    <row r="250" spans="1:45">
      <c r="A250" s="1" t="str">
        <f>VLOOKUP(D250,epiunits!A$1:C$4000,2,FALSE)</f>
      </c>
      <c r="B250" s="1" t="str">
        <f>VLOOKUP(D250,epiunits!A$1:C$4000,3,FALSE)</f>
      </c>
      <c r="C250" s="1" t="str">
        <f>VLOOKUP(E250,Inspector!A$1:B$50,2,FALSE)</f>
      </c>
      <c r="I250" s="1" t="str">
        <f>VLOOKUP(D250,epiunits!A$1:J$4000,6,FALSE)</f>
      </c>
      <c r="J250" s="1" t="str">
        <f>VLOOKUP(D250,epiunits!A$1:J$4000,7,FALSE)</f>
      </c>
      <c r="K250" s="1" t="str">
        <f>VLOOKUP(D250,epiunits!A$1:J$4000,8,FALSE)</f>
      </c>
      <c r="L250" s="1" t="str">
        <f>VLOOKUP(D250,epiunits!A$1:J$4000,9,FALSE)</f>
      </c>
      <c r="M250" s="1" t="str">
        <f>VLOOKUP(D250,epiunits!A$1:J$4000,10,FALSE)</f>
      </c>
      <c r="N250" s="1">
        <v>0</v>
      </c>
      <c r="O250" s="1">
        <v>0</v>
      </c>
      <c r="P250" s="1">
        <v>0</v>
      </c>
      <c r="Q250" s="1">
        <v>0</v>
      </c>
      <c r="R250" s="1">
        <v>0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0</v>
      </c>
      <c r="AD250" s="1">
        <v>0</v>
      </c>
      <c r="AE250" s="1">
        <v>0</v>
      </c>
      <c r="AF250" s="1">
        <v>0</v>
      </c>
      <c r="AG250" s="1">
        <v>0</v>
      </c>
      <c r="AH250" s="1">
        <v>0</v>
      </c>
      <c r="AI250" s="1">
        <v>0</v>
      </c>
      <c r="AJ250" s="1">
        <v>0</v>
      </c>
      <c r="AK250" s="1">
        <v>0</v>
      </c>
      <c r="AL250" s="1">
        <v>0</v>
      </c>
      <c r="AM250" s="1">
        <v>0</v>
      </c>
      <c r="AN250" s="1">
        <v>0</v>
      </c>
      <c r="AO250" s="1">
        <v>0</v>
      </c>
      <c r="AP250" s="1">
        <v>0</v>
      </c>
      <c r="AQ250" s="1">
        <v>0</v>
      </c>
      <c r="AR250" s="1">
        <v>0</v>
      </c>
      <c r="AS250" s="1">
        <v>0</v>
      </c>
    </row>
    <row r="251" spans="1:45">
      <c r="A251" s="1" t="str">
        <f>VLOOKUP(D251,epiunits!A$1:C$4000,2,FALSE)</f>
      </c>
      <c r="B251" s="1" t="str">
        <f>VLOOKUP(D251,epiunits!A$1:C$4000,3,FALSE)</f>
      </c>
      <c r="C251" s="1" t="str">
        <f>VLOOKUP(E251,Inspector!A$1:B$50,2,FALSE)</f>
      </c>
      <c r="I251" s="1" t="str">
        <f>VLOOKUP(D251,epiunits!A$1:J$4000,6,FALSE)</f>
      </c>
      <c r="J251" s="1" t="str">
        <f>VLOOKUP(D251,epiunits!A$1:J$4000,7,FALSE)</f>
      </c>
      <c r="K251" s="1" t="str">
        <f>VLOOKUP(D251,epiunits!A$1:J$4000,8,FALSE)</f>
      </c>
      <c r="L251" s="1" t="str">
        <f>VLOOKUP(D251,epiunits!A$1:J$4000,9,FALSE)</f>
      </c>
      <c r="M251" s="1" t="str">
        <f>VLOOKUP(D251,epiunits!A$1:J$4000,10,FALSE)</f>
      </c>
      <c r="N251" s="1">
        <v>0</v>
      </c>
      <c r="O251" s="1">
        <v>0</v>
      </c>
      <c r="P251" s="1">
        <v>0</v>
      </c>
      <c r="Q251" s="1">
        <v>0</v>
      </c>
      <c r="R251" s="1">
        <v>0</v>
      </c>
      <c r="S251" s="1">
        <v>0</v>
      </c>
      <c r="T251" s="1">
        <v>0</v>
      </c>
      <c r="U251" s="1">
        <v>0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1">
        <v>0</v>
      </c>
      <c r="AE251" s="1">
        <v>0</v>
      </c>
      <c r="AF251" s="1">
        <v>0</v>
      </c>
      <c r="AG251" s="1">
        <v>0</v>
      </c>
      <c r="AH251" s="1">
        <v>0</v>
      </c>
      <c r="AI251" s="1">
        <v>0</v>
      </c>
      <c r="AJ251" s="1">
        <v>0</v>
      </c>
      <c r="AK251" s="1">
        <v>0</v>
      </c>
      <c r="AL251" s="1">
        <v>0</v>
      </c>
      <c r="AM251" s="1">
        <v>0</v>
      </c>
      <c r="AN251" s="1">
        <v>0</v>
      </c>
      <c r="AO251" s="1">
        <v>0</v>
      </c>
      <c r="AP251" s="1">
        <v>0</v>
      </c>
      <c r="AQ251" s="1">
        <v>0</v>
      </c>
      <c r="AR251" s="1">
        <v>0</v>
      </c>
      <c r="AS251" s="1">
        <v>0</v>
      </c>
    </row>
    <row r="252" spans="1:45">
      <c r="A252" s="1" t="str">
        <f>VLOOKUP(D252,epiunits!A$1:C$4000,2,FALSE)</f>
      </c>
      <c r="B252" s="1" t="str">
        <f>VLOOKUP(D252,epiunits!A$1:C$4000,3,FALSE)</f>
      </c>
      <c r="C252" s="1" t="str">
        <f>VLOOKUP(E252,Inspector!A$1:B$50,2,FALSE)</f>
      </c>
      <c r="I252" s="1" t="str">
        <f>VLOOKUP(D252,epiunits!A$1:J$4000,6,FALSE)</f>
      </c>
      <c r="J252" s="1" t="str">
        <f>VLOOKUP(D252,epiunits!A$1:J$4000,7,FALSE)</f>
      </c>
      <c r="K252" s="1" t="str">
        <f>VLOOKUP(D252,epiunits!A$1:J$4000,8,FALSE)</f>
      </c>
      <c r="L252" s="1" t="str">
        <f>VLOOKUP(D252,epiunits!A$1:J$4000,9,FALSE)</f>
      </c>
      <c r="M252" s="1" t="str">
        <f>VLOOKUP(D252,epiunits!A$1:J$4000,10,FALSE)</f>
      </c>
      <c r="N252" s="1">
        <v>0</v>
      </c>
      <c r="O252" s="1">
        <v>0</v>
      </c>
      <c r="P252" s="1">
        <v>0</v>
      </c>
      <c r="Q252" s="1">
        <v>0</v>
      </c>
      <c r="R252" s="1">
        <v>0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0</v>
      </c>
      <c r="AD252" s="1">
        <v>0</v>
      </c>
      <c r="AE252" s="1">
        <v>0</v>
      </c>
      <c r="AF252" s="1">
        <v>0</v>
      </c>
      <c r="AG252" s="1">
        <v>0</v>
      </c>
      <c r="AH252" s="1">
        <v>0</v>
      </c>
      <c r="AI252" s="1">
        <v>0</v>
      </c>
      <c r="AJ252" s="1">
        <v>0</v>
      </c>
      <c r="AK252" s="1">
        <v>0</v>
      </c>
      <c r="AL252" s="1">
        <v>0</v>
      </c>
      <c r="AM252" s="1">
        <v>0</v>
      </c>
      <c r="AN252" s="1">
        <v>0</v>
      </c>
      <c r="AO252" s="1">
        <v>0</v>
      </c>
      <c r="AP252" s="1">
        <v>0</v>
      </c>
      <c r="AQ252" s="1">
        <v>0</v>
      </c>
      <c r="AR252" s="1">
        <v>0</v>
      </c>
      <c r="AS252" s="1">
        <v>0</v>
      </c>
    </row>
    <row r="253" spans="1:45">
      <c r="A253" s="1" t="str">
        <f>VLOOKUP(D253,epiunits!A$1:C$4000,2,FALSE)</f>
      </c>
      <c r="B253" s="1" t="str">
        <f>VLOOKUP(D253,epiunits!A$1:C$4000,3,FALSE)</f>
      </c>
      <c r="C253" s="1" t="str">
        <f>VLOOKUP(E253,Inspector!A$1:B$50,2,FALSE)</f>
      </c>
      <c r="I253" s="1" t="str">
        <f>VLOOKUP(D253,epiunits!A$1:J$4000,6,FALSE)</f>
      </c>
      <c r="J253" s="1" t="str">
        <f>VLOOKUP(D253,epiunits!A$1:J$4000,7,FALSE)</f>
      </c>
      <c r="K253" s="1" t="str">
        <f>VLOOKUP(D253,epiunits!A$1:J$4000,8,FALSE)</f>
      </c>
      <c r="L253" s="1" t="str">
        <f>VLOOKUP(D253,epiunits!A$1:J$4000,9,FALSE)</f>
      </c>
      <c r="M253" s="1" t="str">
        <f>VLOOKUP(D253,epiunits!A$1:J$4000,10,FALSE)</f>
      </c>
      <c r="N253" s="1">
        <v>0</v>
      </c>
      <c r="O253" s="1">
        <v>0</v>
      </c>
      <c r="P253" s="1">
        <v>0</v>
      </c>
      <c r="Q253" s="1">
        <v>0</v>
      </c>
      <c r="R253" s="1">
        <v>0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1">
        <v>0</v>
      </c>
      <c r="AD253" s="1">
        <v>0</v>
      </c>
      <c r="AE253" s="1">
        <v>0</v>
      </c>
      <c r="AF253" s="1">
        <v>0</v>
      </c>
      <c r="AG253" s="1">
        <v>0</v>
      </c>
      <c r="AH253" s="1">
        <v>0</v>
      </c>
      <c r="AI253" s="1">
        <v>0</v>
      </c>
      <c r="AJ253" s="1">
        <v>0</v>
      </c>
      <c r="AK253" s="1">
        <v>0</v>
      </c>
      <c r="AL253" s="1">
        <v>0</v>
      </c>
      <c r="AM253" s="1">
        <v>0</v>
      </c>
      <c r="AN253" s="1">
        <v>0</v>
      </c>
      <c r="AO253" s="1">
        <v>0</v>
      </c>
      <c r="AP253" s="1">
        <v>0</v>
      </c>
      <c r="AQ253" s="1">
        <v>0</v>
      </c>
      <c r="AR253" s="1">
        <v>0</v>
      </c>
      <c r="AS253" s="1">
        <v>0</v>
      </c>
    </row>
    <row r="254" spans="1:45">
      <c r="A254" s="1" t="str">
        <f>VLOOKUP(D254,epiunits!A$1:C$4000,2,FALSE)</f>
      </c>
      <c r="B254" s="1" t="str">
        <f>VLOOKUP(D254,epiunits!A$1:C$4000,3,FALSE)</f>
      </c>
      <c r="C254" s="1" t="str">
        <f>VLOOKUP(E254,Inspector!A$1:B$50,2,FALSE)</f>
      </c>
      <c r="I254" s="1" t="str">
        <f>VLOOKUP(D254,epiunits!A$1:J$4000,6,FALSE)</f>
      </c>
      <c r="J254" s="1" t="str">
        <f>VLOOKUP(D254,epiunits!A$1:J$4000,7,FALSE)</f>
      </c>
      <c r="K254" s="1" t="str">
        <f>VLOOKUP(D254,epiunits!A$1:J$4000,8,FALSE)</f>
      </c>
      <c r="L254" s="1" t="str">
        <f>VLOOKUP(D254,epiunits!A$1:J$4000,9,FALSE)</f>
      </c>
      <c r="M254" s="1" t="str">
        <f>VLOOKUP(D254,epiunits!A$1:J$4000,10,FALSE)</f>
      </c>
      <c r="N254" s="1">
        <v>0</v>
      </c>
      <c r="O254" s="1">
        <v>0</v>
      </c>
      <c r="P254" s="1">
        <v>0</v>
      </c>
      <c r="Q254" s="1">
        <v>0</v>
      </c>
      <c r="R254" s="1">
        <v>0</v>
      </c>
      <c r="S254" s="1">
        <v>0</v>
      </c>
      <c r="T254" s="1">
        <v>0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0</v>
      </c>
      <c r="AD254" s="1">
        <v>0</v>
      </c>
      <c r="AE254" s="1">
        <v>0</v>
      </c>
      <c r="AF254" s="1">
        <v>0</v>
      </c>
      <c r="AG254" s="1">
        <v>0</v>
      </c>
      <c r="AH254" s="1">
        <v>0</v>
      </c>
      <c r="AI254" s="1">
        <v>0</v>
      </c>
      <c r="AJ254" s="1">
        <v>0</v>
      </c>
      <c r="AK254" s="1">
        <v>0</v>
      </c>
      <c r="AL254" s="1">
        <v>0</v>
      </c>
      <c r="AM254" s="1">
        <v>0</v>
      </c>
      <c r="AN254" s="1">
        <v>0</v>
      </c>
      <c r="AO254" s="1">
        <v>0</v>
      </c>
      <c r="AP254" s="1">
        <v>0</v>
      </c>
      <c r="AQ254" s="1">
        <v>0</v>
      </c>
      <c r="AR254" s="1">
        <v>0</v>
      </c>
      <c r="AS254" s="1">
        <v>0</v>
      </c>
    </row>
    <row r="255" spans="1:45">
      <c r="A255" s="1" t="str">
        <f>VLOOKUP(D255,epiunits!A$1:C$4000,2,FALSE)</f>
      </c>
      <c r="B255" s="1" t="str">
        <f>VLOOKUP(D255,epiunits!A$1:C$4000,3,FALSE)</f>
      </c>
      <c r="C255" s="1" t="str">
        <f>VLOOKUP(E255,Inspector!A$1:B$50,2,FALSE)</f>
      </c>
      <c r="I255" s="1" t="str">
        <f>VLOOKUP(D255,epiunits!A$1:J$4000,6,FALSE)</f>
      </c>
      <c r="J255" s="1" t="str">
        <f>VLOOKUP(D255,epiunits!A$1:J$4000,7,FALSE)</f>
      </c>
      <c r="K255" s="1" t="str">
        <f>VLOOKUP(D255,epiunits!A$1:J$4000,8,FALSE)</f>
      </c>
      <c r="L255" s="1" t="str">
        <f>VLOOKUP(D255,epiunits!A$1:J$4000,9,FALSE)</f>
      </c>
      <c r="M255" s="1" t="str">
        <f>VLOOKUP(D255,epiunits!A$1:J$4000,10,FALSE)</f>
      </c>
      <c r="N255" s="1">
        <v>0</v>
      </c>
      <c r="O255" s="1">
        <v>0</v>
      </c>
      <c r="P255" s="1">
        <v>0</v>
      </c>
      <c r="Q255" s="1">
        <v>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1">
        <v>0</v>
      </c>
      <c r="AE255" s="1">
        <v>0</v>
      </c>
      <c r="AF255" s="1">
        <v>0</v>
      </c>
      <c r="AG255" s="1">
        <v>0</v>
      </c>
      <c r="AH255" s="1">
        <v>0</v>
      </c>
      <c r="AI255" s="1">
        <v>0</v>
      </c>
      <c r="AJ255" s="1">
        <v>0</v>
      </c>
      <c r="AK255" s="1">
        <v>0</v>
      </c>
      <c r="AL255" s="1">
        <v>0</v>
      </c>
      <c r="AM255" s="1">
        <v>0</v>
      </c>
      <c r="AN255" s="1">
        <v>0</v>
      </c>
      <c r="AO255" s="1">
        <v>0</v>
      </c>
      <c r="AP255" s="1">
        <v>0</v>
      </c>
      <c r="AQ255" s="1">
        <v>0</v>
      </c>
      <c r="AR255" s="1">
        <v>0</v>
      </c>
      <c r="AS255" s="1">
        <v>0</v>
      </c>
    </row>
    <row r="256" spans="1:45">
      <c r="A256" s="1" t="str">
        <f>VLOOKUP(D256,epiunits!A$1:C$4000,2,FALSE)</f>
      </c>
      <c r="B256" s="1" t="str">
        <f>VLOOKUP(D256,epiunits!A$1:C$4000,3,FALSE)</f>
      </c>
      <c r="C256" s="1" t="str">
        <f>VLOOKUP(E256,Inspector!A$1:B$50,2,FALSE)</f>
      </c>
      <c r="I256" s="1" t="str">
        <f>VLOOKUP(D256,epiunits!A$1:J$4000,6,FALSE)</f>
      </c>
      <c r="J256" s="1" t="str">
        <f>VLOOKUP(D256,epiunits!A$1:J$4000,7,FALSE)</f>
      </c>
      <c r="K256" s="1" t="str">
        <f>VLOOKUP(D256,epiunits!A$1:J$4000,8,FALSE)</f>
      </c>
      <c r="L256" s="1" t="str">
        <f>VLOOKUP(D256,epiunits!A$1:J$4000,9,FALSE)</f>
      </c>
      <c r="M256" s="1" t="str">
        <f>VLOOKUP(D256,epiunits!A$1:J$4000,10,FALSE)</f>
      </c>
      <c r="N256" s="1">
        <v>0</v>
      </c>
      <c r="O256" s="1">
        <v>0</v>
      </c>
      <c r="P256" s="1">
        <v>0</v>
      </c>
      <c r="Q256" s="1">
        <v>0</v>
      </c>
      <c r="R256" s="1">
        <v>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>
        <v>0</v>
      </c>
      <c r="AE256" s="1">
        <v>0</v>
      </c>
      <c r="AF256" s="1">
        <v>0</v>
      </c>
      <c r="AG256" s="1">
        <v>0</v>
      </c>
      <c r="AH256" s="1">
        <v>0</v>
      </c>
      <c r="AI256" s="1">
        <v>0</v>
      </c>
      <c r="AJ256" s="1">
        <v>0</v>
      </c>
      <c r="AK256" s="1">
        <v>0</v>
      </c>
      <c r="AL256" s="1">
        <v>0</v>
      </c>
      <c r="AM256" s="1">
        <v>0</v>
      </c>
      <c r="AN256" s="1">
        <v>0</v>
      </c>
      <c r="AO256" s="1">
        <v>0</v>
      </c>
      <c r="AP256" s="1">
        <v>0</v>
      </c>
      <c r="AQ256" s="1">
        <v>0</v>
      </c>
      <c r="AR256" s="1">
        <v>0</v>
      </c>
      <c r="AS256" s="1">
        <v>0</v>
      </c>
    </row>
    <row r="257" spans="1:45">
      <c r="A257" s="1" t="str">
        <f>VLOOKUP(D257,epiunits!A$1:C$4000,2,FALSE)</f>
      </c>
      <c r="B257" s="1" t="str">
        <f>VLOOKUP(D257,epiunits!A$1:C$4000,3,FALSE)</f>
      </c>
      <c r="C257" s="1" t="str">
        <f>VLOOKUP(E257,Inspector!A$1:B$50,2,FALSE)</f>
      </c>
      <c r="I257" s="1" t="str">
        <f>VLOOKUP(D257,epiunits!A$1:J$4000,6,FALSE)</f>
      </c>
      <c r="J257" s="1" t="str">
        <f>VLOOKUP(D257,epiunits!A$1:J$4000,7,FALSE)</f>
      </c>
      <c r="K257" s="1" t="str">
        <f>VLOOKUP(D257,epiunits!A$1:J$4000,8,FALSE)</f>
      </c>
      <c r="L257" s="1" t="str">
        <f>VLOOKUP(D257,epiunits!A$1:J$4000,9,FALSE)</f>
      </c>
      <c r="M257" s="1" t="str">
        <f>VLOOKUP(D257,epiunits!A$1:J$4000,10,FALSE)</f>
      </c>
      <c r="N257" s="1">
        <v>0</v>
      </c>
      <c r="O257" s="1">
        <v>0</v>
      </c>
      <c r="P257" s="1">
        <v>0</v>
      </c>
      <c r="Q257" s="1">
        <v>0</v>
      </c>
      <c r="R257" s="1">
        <v>0</v>
      </c>
      <c r="S257" s="1">
        <v>0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0</v>
      </c>
      <c r="AG257" s="1">
        <v>0</v>
      </c>
      <c r="AH257" s="1">
        <v>0</v>
      </c>
      <c r="AI257" s="1">
        <v>0</v>
      </c>
      <c r="AJ257" s="1">
        <v>0</v>
      </c>
      <c r="AK257" s="1">
        <v>0</v>
      </c>
      <c r="AL257" s="1">
        <v>0</v>
      </c>
      <c r="AM257" s="1">
        <v>0</v>
      </c>
      <c r="AN257" s="1">
        <v>0</v>
      </c>
      <c r="AO257" s="1">
        <v>0</v>
      </c>
      <c r="AP257" s="1">
        <v>0</v>
      </c>
      <c r="AQ257" s="1">
        <v>0</v>
      </c>
      <c r="AR257" s="1">
        <v>0</v>
      </c>
      <c r="AS257" s="1">
        <v>0</v>
      </c>
    </row>
    <row r="258" spans="1:45">
      <c r="A258" s="1" t="str">
        <f>VLOOKUP(D258,epiunits!A$1:C$4000,2,FALSE)</f>
      </c>
      <c r="B258" s="1" t="str">
        <f>VLOOKUP(D258,epiunits!A$1:C$4000,3,FALSE)</f>
      </c>
      <c r="C258" s="1" t="str">
        <f>VLOOKUP(E258,Inspector!A$1:B$50,2,FALSE)</f>
      </c>
      <c r="I258" s="1" t="str">
        <f>VLOOKUP(D258,epiunits!A$1:J$4000,6,FALSE)</f>
      </c>
      <c r="J258" s="1" t="str">
        <f>VLOOKUP(D258,epiunits!A$1:J$4000,7,FALSE)</f>
      </c>
      <c r="K258" s="1" t="str">
        <f>VLOOKUP(D258,epiunits!A$1:J$4000,8,FALSE)</f>
      </c>
      <c r="L258" s="1" t="str">
        <f>VLOOKUP(D258,epiunits!A$1:J$4000,9,FALSE)</f>
      </c>
      <c r="M258" s="1" t="str">
        <f>VLOOKUP(D258,epiunits!A$1:J$4000,10,FALSE)</f>
      </c>
      <c r="N258" s="1">
        <v>0</v>
      </c>
      <c r="O258" s="1">
        <v>0</v>
      </c>
      <c r="P258" s="1">
        <v>0</v>
      </c>
      <c r="Q258" s="1">
        <v>0</v>
      </c>
      <c r="R258" s="1">
        <v>0</v>
      </c>
      <c r="S258" s="1">
        <v>0</v>
      </c>
      <c r="T258" s="1">
        <v>0</v>
      </c>
      <c r="U258" s="1">
        <v>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  <c r="AD258" s="1">
        <v>0</v>
      </c>
      <c r="AE258" s="1">
        <v>0</v>
      </c>
      <c r="AF258" s="1">
        <v>0</v>
      </c>
      <c r="AG258" s="1">
        <v>0</v>
      </c>
      <c r="AH258" s="1">
        <v>0</v>
      </c>
      <c r="AI258" s="1">
        <v>0</v>
      </c>
      <c r="AJ258" s="1">
        <v>0</v>
      </c>
      <c r="AK258" s="1">
        <v>0</v>
      </c>
      <c r="AL258" s="1">
        <v>0</v>
      </c>
      <c r="AM258" s="1">
        <v>0</v>
      </c>
      <c r="AN258" s="1">
        <v>0</v>
      </c>
      <c r="AO258" s="1">
        <v>0</v>
      </c>
      <c r="AP258" s="1">
        <v>0</v>
      </c>
      <c r="AQ258" s="1">
        <v>0</v>
      </c>
      <c r="AR258" s="1">
        <v>0</v>
      </c>
      <c r="AS258" s="1">
        <v>0</v>
      </c>
    </row>
    <row r="259" spans="1:45">
      <c r="A259" s="1" t="str">
        <f>VLOOKUP(D259,epiunits!A$1:C$4000,2,FALSE)</f>
      </c>
      <c r="B259" s="1" t="str">
        <f>VLOOKUP(D259,epiunits!A$1:C$4000,3,FALSE)</f>
      </c>
      <c r="C259" s="1" t="str">
        <f>VLOOKUP(E259,Inspector!A$1:B$50,2,FALSE)</f>
      </c>
      <c r="I259" s="1" t="str">
        <f>VLOOKUP(D259,epiunits!A$1:J$4000,6,FALSE)</f>
      </c>
      <c r="J259" s="1" t="str">
        <f>VLOOKUP(D259,epiunits!A$1:J$4000,7,FALSE)</f>
      </c>
      <c r="K259" s="1" t="str">
        <f>VLOOKUP(D259,epiunits!A$1:J$4000,8,FALSE)</f>
      </c>
      <c r="L259" s="1" t="str">
        <f>VLOOKUP(D259,epiunits!A$1:J$4000,9,FALSE)</f>
      </c>
      <c r="M259" s="1" t="str">
        <f>VLOOKUP(D259,epiunits!A$1:J$4000,10,FALSE)</f>
      </c>
      <c r="N259" s="1">
        <v>0</v>
      </c>
      <c r="O259" s="1">
        <v>0</v>
      </c>
      <c r="P259" s="1">
        <v>0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1">
        <v>0</v>
      </c>
      <c r="AE259" s="1">
        <v>0</v>
      </c>
      <c r="AF259" s="1">
        <v>0</v>
      </c>
      <c r="AG259" s="1">
        <v>0</v>
      </c>
      <c r="AH259" s="1">
        <v>0</v>
      </c>
      <c r="AI259" s="1">
        <v>0</v>
      </c>
      <c r="AJ259" s="1">
        <v>0</v>
      </c>
      <c r="AK259" s="1">
        <v>0</v>
      </c>
      <c r="AL259" s="1">
        <v>0</v>
      </c>
      <c r="AM259" s="1">
        <v>0</v>
      </c>
      <c r="AN259" s="1">
        <v>0</v>
      </c>
      <c r="AO259" s="1">
        <v>0</v>
      </c>
      <c r="AP259" s="1">
        <v>0</v>
      </c>
      <c r="AQ259" s="1">
        <v>0</v>
      </c>
      <c r="AR259" s="1">
        <v>0</v>
      </c>
      <c r="AS259" s="1">
        <v>0</v>
      </c>
    </row>
    <row r="260" spans="1:45">
      <c r="A260" s="1" t="str">
        <f>VLOOKUP(D260,epiunits!A$1:C$4000,2,FALSE)</f>
      </c>
      <c r="B260" s="1" t="str">
        <f>VLOOKUP(D260,epiunits!A$1:C$4000,3,FALSE)</f>
      </c>
      <c r="C260" s="1" t="str">
        <f>VLOOKUP(E260,Inspector!A$1:B$50,2,FALSE)</f>
      </c>
      <c r="I260" s="1" t="str">
        <f>VLOOKUP(D260,epiunits!A$1:J$4000,6,FALSE)</f>
      </c>
      <c r="J260" s="1" t="str">
        <f>VLOOKUP(D260,epiunits!A$1:J$4000,7,FALSE)</f>
      </c>
      <c r="K260" s="1" t="str">
        <f>VLOOKUP(D260,epiunits!A$1:J$4000,8,FALSE)</f>
      </c>
      <c r="L260" s="1" t="str">
        <f>VLOOKUP(D260,epiunits!A$1:J$4000,9,FALSE)</f>
      </c>
      <c r="M260" s="1" t="str">
        <f>VLOOKUP(D260,epiunits!A$1:J$4000,10,FALSE)</f>
      </c>
      <c r="N260" s="1">
        <v>0</v>
      </c>
      <c r="O260" s="1">
        <v>0</v>
      </c>
      <c r="P260" s="1">
        <v>0</v>
      </c>
      <c r="Q260" s="1">
        <v>0</v>
      </c>
      <c r="R260" s="1">
        <v>0</v>
      </c>
      <c r="S260" s="1">
        <v>0</v>
      </c>
      <c r="T260" s="1">
        <v>0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0</v>
      </c>
      <c r="AD260" s="1">
        <v>0</v>
      </c>
      <c r="AE260" s="1">
        <v>0</v>
      </c>
      <c r="AF260" s="1">
        <v>0</v>
      </c>
      <c r="AG260" s="1">
        <v>0</v>
      </c>
      <c r="AH260" s="1">
        <v>0</v>
      </c>
      <c r="AI260" s="1">
        <v>0</v>
      </c>
      <c r="AJ260" s="1">
        <v>0</v>
      </c>
      <c r="AK260" s="1">
        <v>0</v>
      </c>
      <c r="AL260" s="1">
        <v>0</v>
      </c>
      <c r="AM260" s="1">
        <v>0</v>
      </c>
      <c r="AN260" s="1">
        <v>0</v>
      </c>
      <c r="AO260" s="1">
        <v>0</v>
      </c>
      <c r="AP260" s="1">
        <v>0</v>
      </c>
      <c r="AQ260" s="1">
        <v>0</v>
      </c>
      <c r="AR260" s="1">
        <v>0</v>
      </c>
      <c r="AS260" s="1">
        <v>0</v>
      </c>
    </row>
    <row r="261" spans="1:45">
      <c r="A261" s="1" t="str">
        <f>VLOOKUP(D261,epiunits!A$1:C$4000,2,FALSE)</f>
      </c>
      <c r="B261" s="1" t="str">
        <f>VLOOKUP(D261,epiunits!A$1:C$4000,3,FALSE)</f>
      </c>
      <c r="C261" s="1" t="str">
        <f>VLOOKUP(E261,Inspector!A$1:B$50,2,FALSE)</f>
      </c>
      <c r="I261" s="1" t="str">
        <f>VLOOKUP(D261,epiunits!A$1:J$4000,6,FALSE)</f>
      </c>
      <c r="J261" s="1" t="str">
        <f>VLOOKUP(D261,epiunits!A$1:J$4000,7,FALSE)</f>
      </c>
      <c r="K261" s="1" t="str">
        <f>VLOOKUP(D261,epiunits!A$1:J$4000,8,FALSE)</f>
      </c>
      <c r="L261" s="1" t="str">
        <f>VLOOKUP(D261,epiunits!A$1:J$4000,9,FALSE)</f>
      </c>
      <c r="M261" s="1" t="str">
        <f>VLOOKUP(D261,epiunits!A$1:J$4000,10,FALSE)</f>
      </c>
      <c r="N261" s="1">
        <v>0</v>
      </c>
      <c r="O261" s="1">
        <v>0</v>
      </c>
      <c r="P261" s="1">
        <v>0</v>
      </c>
      <c r="Q261" s="1">
        <v>0</v>
      </c>
      <c r="R261" s="1">
        <v>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0</v>
      </c>
      <c r="AD261" s="1">
        <v>0</v>
      </c>
      <c r="AE261" s="1">
        <v>0</v>
      </c>
      <c r="AF261" s="1">
        <v>0</v>
      </c>
      <c r="AG261" s="1">
        <v>0</v>
      </c>
      <c r="AH261" s="1">
        <v>0</v>
      </c>
      <c r="AI261" s="1">
        <v>0</v>
      </c>
      <c r="AJ261" s="1">
        <v>0</v>
      </c>
      <c r="AK261" s="1">
        <v>0</v>
      </c>
      <c r="AL261" s="1">
        <v>0</v>
      </c>
      <c r="AM261" s="1">
        <v>0</v>
      </c>
      <c r="AN261" s="1">
        <v>0</v>
      </c>
      <c r="AO261" s="1">
        <v>0</v>
      </c>
      <c r="AP261" s="1">
        <v>0</v>
      </c>
      <c r="AQ261" s="1">
        <v>0</v>
      </c>
      <c r="AR261" s="1">
        <v>0</v>
      </c>
      <c r="AS261" s="1">
        <v>0</v>
      </c>
    </row>
    <row r="262" spans="1:45">
      <c r="A262" s="1" t="str">
        <f>VLOOKUP(D262,epiunits!A$1:C$4000,2,FALSE)</f>
      </c>
      <c r="B262" s="1" t="str">
        <f>VLOOKUP(D262,epiunits!A$1:C$4000,3,FALSE)</f>
      </c>
      <c r="C262" s="1" t="str">
        <f>VLOOKUP(E262,Inspector!A$1:B$50,2,FALSE)</f>
      </c>
      <c r="I262" s="1" t="str">
        <f>VLOOKUP(D262,epiunits!A$1:J$4000,6,FALSE)</f>
      </c>
      <c r="J262" s="1" t="str">
        <f>VLOOKUP(D262,epiunits!A$1:J$4000,7,FALSE)</f>
      </c>
      <c r="K262" s="1" t="str">
        <f>VLOOKUP(D262,epiunits!A$1:J$4000,8,FALSE)</f>
      </c>
      <c r="L262" s="1" t="str">
        <f>VLOOKUP(D262,epiunits!A$1:J$4000,9,FALSE)</f>
      </c>
      <c r="M262" s="1" t="str">
        <f>VLOOKUP(D262,epiunits!A$1:J$4000,10,FALSE)</f>
      </c>
      <c r="N262" s="1">
        <v>0</v>
      </c>
      <c r="O262" s="1">
        <v>0</v>
      </c>
      <c r="P262" s="1">
        <v>0</v>
      </c>
      <c r="Q262" s="1">
        <v>0</v>
      </c>
      <c r="R262" s="1">
        <v>0</v>
      </c>
      <c r="S262" s="1">
        <v>0</v>
      </c>
      <c r="T262" s="1">
        <v>0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0</v>
      </c>
      <c r="AD262" s="1">
        <v>0</v>
      </c>
      <c r="AE262" s="1">
        <v>0</v>
      </c>
      <c r="AF262" s="1">
        <v>0</v>
      </c>
      <c r="AG262" s="1">
        <v>0</v>
      </c>
      <c r="AH262" s="1">
        <v>0</v>
      </c>
      <c r="AI262" s="1">
        <v>0</v>
      </c>
      <c r="AJ262" s="1">
        <v>0</v>
      </c>
      <c r="AK262" s="1">
        <v>0</v>
      </c>
      <c r="AL262" s="1">
        <v>0</v>
      </c>
      <c r="AM262" s="1">
        <v>0</v>
      </c>
      <c r="AN262" s="1">
        <v>0</v>
      </c>
      <c r="AO262" s="1">
        <v>0</v>
      </c>
      <c r="AP262" s="1">
        <v>0</v>
      </c>
      <c r="AQ262" s="1">
        <v>0</v>
      </c>
      <c r="AR262" s="1">
        <v>0</v>
      </c>
      <c r="AS262" s="1">
        <v>0</v>
      </c>
    </row>
    <row r="263" spans="1:45">
      <c r="A263" s="1" t="str">
        <f>VLOOKUP(D263,epiunits!A$1:C$4000,2,FALSE)</f>
      </c>
      <c r="B263" s="1" t="str">
        <f>VLOOKUP(D263,epiunits!A$1:C$4000,3,FALSE)</f>
      </c>
      <c r="C263" s="1" t="str">
        <f>VLOOKUP(E263,Inspector!A$1:B$50,2,FALSE)</f>
      </c>
      <c r="I263" s="1" t="str">
        <f>VLOOKUP(D263,epiunits!A$1:J$4000,6,FALSE)</f>
      </c>
      <c r="J263" s="1" t="str">
        <f>VLOOKUP(D263,epiunits!A$1:J$4000,7,FALSE)</f>
      </c>
      <c r="K263" s="1" t="str">
        <f>VLOOKUP(D263,epiunits!A$1:J$4000,8,FALSE)</f>
      </c>
      <c r="L263" s="1" t="str">
        <f>VLOOKUP(D263,epiunits!A$1:J$4000,9,FALSE)</f>
      </c>
      <c r="M263" s="1" t="str">
        <f>VLOOKUP(D263,epiunits!A$1:J$4000,10,FALSE)</f>
      </c>
      <c r="N263" s="1">
        <v>0</v>
      </c>
      <c r="O263" s="1">
        <v>0</v>
      </c>
      <c r="P263" s="1">
        <v>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0</v>
      </c>
      <c r="AD263" s="1">
        <v>0</v>
      </c>
      <c r="AE263" s="1">
        <v>0</v>
      </c>
      <c r="AF263" s="1">
        <v>0</v>
      </c>
      <c r="AG263" s="1">
        <v>0</v>
      </c>
      <c r="AH263" s="1">
        <v>0</v>
      </c>
      <c r="AI263" s="1">
        <v>0</v>
      </c>
      <c r="AJ263" s="1">
        <v>0</v>
      </c>
      <c r="AK263" s="1">
        <v>0</v>
      </c>
      <c r="AL263" s="1">
        <v>0</v>
      </c>
      <c r="AM263" s="1">
        <v>0</v>
      </c>
      <c r="AN263" s="1">
        <v>0</v>
      </c>
      <c r="AO263" s="1">
        <v>0</v>
      </c>
      <c r="AP263" s="1">
        <v>0</v>
      </c>
      <c r="AQ263" s="1">
        <v>0</v>
      </c>
      <c r="AR263" s="1">
        <v>0</v>
      </c>
      <c r="AS263" s="1">
        <v>0</v>
      </c>
    </row>
    <row r="264" spans="1:45">
      <c r="A264" s="1" t="str">
        <f>VLOOKUP(D264,epiunits!A$1:C$4000,2,FALSE)</f>
      </c>
      <c r="B264" s="1" t="str">
        <f>VLOOKUP(D264,epiunits!A$1:C$4000,3,FALSE)</f>
      </c>
      <c r="C264" s="1" t="str">
        <f>VLOOKUP(E264,Inspector!A$1:B$50,2,FALSE)</f>
      </c>
      <c r="I264" s="1" t="str">
        <f>VLOOKUP(D264,epiunits!A$1:J$4000,6,FALSE)</f>
      </c>
      <c r="J264" s="1" t="str">
        <f>VLOOKUP(D264,epiunits!A$1:J$4000,7,FALSE)</f>
      </c>
      <c r="K264" s="1" t="str">
        <f>VLOOKUP(D264,epiunits!A$1:J$4000,8,FALSE)</f>
      </c>
      <c r="L264" s="1" t="str">
        <f>VLOOKUP(D264,epiunits!A$1:J$4000,9,FALSE)</f>
      </c>
      <c r="M264" s="1" t="str">
        <f>VLOOKUP(D264,epiunits!A$1:J$4000,10,FALSE)</f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  <c r="AH264" s="1">
        <v>0</v>
      </c>
      <c r="AI264" s="1">
        <v>0</v>
      </c>
      <c r="AJ264" s="1">
        <v>0</v>
      </c>
      <c r="AK264" s="1">
        <v>0</v>
      </c>
      <c r="AL264" s="1">
        <v>0</v>
      </c>
      <c r="AM264" s="1">
        <v>0</v>
      </c>
      <c r="AN264" s="1">
        <v>0</v>
      </c>
      <c r="AO264" s="1">
        <v>0</v>
      </c>
      <c r="AP264" s="1">
        <v>0</v>
      </c>
      <c r="AQ264" s="1">
        <v>0</v>
      </c>
      <c r="AR264" s="1">
        <v>0</v>
      </c>
      <c r="AS264" s="1">
        <v>0</v>
      </c>
    </row>
    <row r="265" spans="1:45">
      <c r="A265" s="1" t="str">
        <f>VLOOKUP(D265,epiunits!A$1:C$4000,2,FALSE)</f>
      </c>
      <c r="B265" s="1" t="str">
        <f>VLOOKUP(D265,epiunits!A$1:C$4000,3,FALSE)</f>
      </c>
      <c r="C265" s="1" t="str">
        <f>VLOOKUP(E265,Inspector!A$1:B$50,2,FALSE)</f>
      </c>
      <c r="I265" s="1" t="str">
        <f>VLOOKUP(D265,epiunits!A$1:J$4000,6,FALSE)</f>
      </c>
      <c r="J265" s="1" t="str">
        <f>VLOOKUP(D265,epiunits!A$1:J$4000,7,FALSE)</f>
      </c>
      <c r="K265" s="1" t="str">
        <f>VLOOKUP(D265,epiunits!A$1:J$4000,8,FALSE)</f>
      </c>
      <c r="L265" s="1" t="str">
        <f>VLOOKUP(D265,epiunits!A$1:J$4000,9,FALSE)</f>
      </c>
      <c r="M265" s="1" t="str">
        <f>VLOOKUP(D265,epiunits!A$1:J$4000,10,FALSE)</f>
      </c>
      <c r="N265" s="1">
        <v>0</v>
      </c>
      <c r="O265" s="1">
        <v>0</v>
      </c>
      <c r="P265" s="1">
        <v>0</v>
      </c>
      <c r="Q265" s="1">
        <v>0</v>
      </c>
      <c r="R265" s="1">
        <v>0</v>
      </c>
      <c r="S265" s="1">
        <v>0</v>
      </c>
      <c r="T265" s="1">
        <v>0</v>
      </c>
      <c r="U265" s="1">
        <v>0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0</v>
      </c>
      <c r="AF265" s="1">
        <v>0</v>
      </c>
      <c r="AG265" s="1">
        <v>0</v>
      </c>
      <c r="AH265" s="1">
        <v>0</v>
      </c>
      <c r="AI265" s="1">
        <v>0</v>
      </c>
      <c r="AJ265" s="1">
        <v>0</v>
      </c>
      <c r="AK265" s="1">
        <v>0</v>
      </c>
      <c r="AL265" s="1">
        <v>0</v>
      </c>
      <c r="AM265" s="1">
        <v>0</v>
      </c>
      <c r="AN265" s="1">
        <v>0</v>
      </c>
      <c r="AO265" s="1">
        <v>0</v>
      </c>
      <c r="AP265" s="1">
        <v>0</v>
      </c>
      <c r="AQ265" s="1">
        <v>0</v>
      </c>
      <c r="AR265" s="1">
        <v>0</v>
      </c>
      <c r="AS265" s="1">
        <v>0</v>
      </c>
    </row>
    <row r="266" spans="1:45">
      <c r="A266" s="1" t="str">
        <f>VLOOKUP(D266,epiunits!A$1:C$4000,2,FALSE)</f>
      </c>
      <c r="B266" s="1" t="str">
        <f>VLOOKUP(D266,epiunits!A$1:C$4000,3,FALSE)</f>
      </c>
      <c r="C266" s="1" t="str">
        <f>VLOOKUP(E266,Inspector!A$1:B$50,2,FALSE)</f>
      </c>
      <c r="I266" s="1" t="str">
        <f>VLOOKUP(D266,epiunits!A$1:J$4000,6,FALSE)</f>
      </c>
      <c r="J266" s="1" t="str">
        <f>VLOOKUP(D266,epiunits!A$1:J$4000,7,FALSE)</f>
      </c>
      <c r="K266" s="1" t="str">
        <f>VLOOKUP(D266,epiunits!A$1:J$4000,8,FALSE)</f>
      </c>
      <c r="L266" s="1" t="str">
        <f>VLOOKUP(D266,epiunits!A$1:J$4000,9,FALSE)</f>
      </c>
      <c r="M266" s="1" t="str">
        <f>VLOOKUP(D266,epiunits!A$1:J$4000,10,FALSE)</f>
      </c>
      <c r="N266" s="1">
        <v>0</v>
      </c>
      <c r="O266" s="1">
        <v>0</v>
      </c>
      <c r="P266" s="1">
        <v>0</v>
      </c>
      <c r="Q266" s="1">
        <v>0</v>
      </c>
      <c r="R266" s="1">
        <v>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0</v>
      </c>
      <c r="AC266" s="1">
        <v>0</v>
      </c>
      <c r="AD266" s="1">
        <v>0</v>
      </c>
      <c r="AE266" s="1">
        <v>0</v>
      </c>
      <c r="AF266" s="1">
        <v>0</v>
      </c>
      <c r="AG266" s="1">
        <v>0</v>
      </c>
      <c r="AH266" s="1">
        <v>0</v>
      </c>
      <c r="AI266" s="1">
        <v>0</v>
      </c>
      <c r="AJ266" s="1">
        <v>0</v>
      </c>
      <c r="AK266" s="1">
        <v>0</v>
      </c>
      <c r="AL266" s="1">
        <v>0</v>
      </c>
      <c r="AM266" s="1">
        <v>0</v>
      </c>
      <c r="AN266" s="1">
        <v>0</v>
      </c>
      <c r="AO266" s="1">
        <v>0</v>
      </c>
      <c r="AP266" s="1">
        <v>0</v>
      </c>
      <c r="AQ266" s="1">
        <v>0</v>
      </c>
      <c r="AR266" s="1">
        <v>0</v>
      </c>
      <c r="AS266" s="1">
        <v>0</v>
      </c>
    </row>
    <row r="267" spans="1:45">
      <c r="A267" s="1" t="str">
        <f>VLOOKUP(D267,epiunits!A$1:C$4000,2,FALSE)</f>
      </c>
      <c r="B267" s="1" t="str">
        <f>VLOOKUP(D267,epiunits!A$1:C$4000,3,FALSE)</f>
      </c>
      <c r="C267" s="1" t="str">
        <f>VLOOKUP(E267,Inspector!A$1:B$50,2,FALSE)</f>
      </c>
      <c r="I267" s="1" t="str">
        <f>VLOOKUP(D267,epiunits!A$1:J$4000,6,FALSE)</f>
      </c>
      <c r="J267" s="1" t="str">
        <f>VLOOKUP(D267,epiunits!A$1:J$4000,7,FALSE)</f>
      </c>
      <c r="K267" s="1" t="str">
        <f>VLOOKUP(D267,epiunits!A$1:J$4000,8,FALSE)</f>
      </c>
      <c r="L267" s="1" t="str">
        <f>VLOOKUP(D267,epiunits!A$1:J$4000,9,FALSE)</f>
      </c>
      <c r="M267" s="1" t="str">
        <f>VLOOKUP(D267,epiunits!A$1:J$4000,10,FALSE)</f>
      </c>
      <c r="N267" s="1">
        <v>0</v>
      </c>
      <c r="O267" s="1">
        <v>0</v>
      </c>
      <c r="P267" s="1">
        <v>0</v>
      </c>
      <c r="Q267" s="1">
        <v>0</v>
      </c>
      <c r="R267" s="1">
        <v>0</v>
      </c>
      <c r="S267" s="1">
        <v>0</v>
      </c>
      <c r="T267" s="1">
        <v>0</v>
      </c>
      <c r="U267" s="1">
        <v>0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1">
        <v>0</v>
      </c>
      <c r="AE267" s="1">
        <v>0</v>
      </c>
      <c r="AF267" s="1">
        <v>0</v>
      </c>
      <c r="AG267" s="1">
        <v>0</v>
      </c>
      <c r="AH267" s="1">
        <v>0</v>
      </c>
      <c r="AI267" s="1">
        <v>0</v>
      </c>
      <c r="AJ267" s="1">
        <v>0</v>
      </c>
      <c r="AK267" s="1">
        <v>0</v>
      </c>
      <c r="AL267" s="1">
        <v>0</v>
      </c>
      <c r="AM267" s="1">
        <v>0</v>
      </c>
      <c r="AN267" s="1">
        <v>0</v>
      </c>
      <c r="AO267" s="1">
        <v>0</v>
      </c>
      <c r="AP267" s="1">
        <v>0</v>
      </c>
      <c r="AQ267" s="1">
        <v>0</v>
      </c>
      <c r="AR267" s="1">
        <v>0</v>
      </c>
      <c r="AS267" s="1">
        <v>0</v>
      </c>
    </row>
    <row r="268" spans="1:45">
      <c r="A268" s="1" t="str">
        <f>VLOOKUP(D268,epiunits!A$1:C$4000,2,FALSE)</f>
      </c>
      <c r="B268" s="1" t="str">
        <f>VLOOKUP(D268,epiunits!A$1:C$4000,3,FALSE)</f>
      </c>
      <c r="C268" s="1" t="str">
        <f>VLOOKUP(E268,Inspector!A$1:B$50,2,FALSE)</f>
      </c>
      <c r="I268" s="1" t="str">
        <f>VLOOKUP(D268,epiunits!A$1:J$4000,6,FALSE)</f>
      </c>
      <c r="J268" s="1" t="str">
        <f>VLOOKUP(D268,epiunits!A$1:J$4000,7,FALSE)</f>
      </c>
      <c r="K268" s="1" t="str">
        <f>VLOOKUP(D268,epiunits!A$1:J$4000,8,FALSE)</f>
      </c>
      <c r="L268" s="1" t="str">
        <f>VLOOKUP(D268,epiunits!A$1:J$4000,9,FALSE)</f>
      </c>
      <c r="M268" s="1" t="str">
        <f>VLOOKUP(D268,epiunits!A$1:J$4000,10,FALSE)</f>
      </c>
      <c r="N268" s="1">
        <v>0</v>
      </c>
      <c r="O268" s="1">
        <v>0</v>
      </c>
      <c r="P268" s="1">
        <v>0</v>
      </c>
      <c r="Q268" s="1">
        <v>0</v>
      </c>
      <c r="R268" s="1">
        <v>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0</v>
      </c>
      <c r="AD268" s="1">
        <v>0</v>
      </c>
      <c r="AE268" s="1">
        <v>0</v>
      </c>
      <c r="AF268" s="1">
        <v>0</v>
      </c>
      <c r="AG268" s="1">
        <v>0</v>
      </c>
      <c r="AH268" s="1">
        <v>0</v>
      </c>
      <c r="AI268" s="1">
        <v>0</v>
      </c>
      <c r="AJ268" s="1">
        <v>0</v>
      </c>
      <c r="AK268" s="1">
        <v>0</v>
      </c>
      <c r="AL268" s="1">
        <v>0</v>
      </c>
      <c r="AM268" s="1">
        <v>0</v>
      </c>
      <c r="AN268" s="1">
        <v>0</v>
      </c>
      <c r="AO268" s="1">
        <v>0</v>
      </c>
      <c r="AP268" s="1">
        <v>0</v>
      </c>
      <c r="AQ268" s="1">
        <v>0</v>
      </c>
      <c r="AR268" s="1">
        <v>0</v>
      </c>
      <c r="AS268" s="1">
        <v>0</v>
      </c>
    </row>
    <row r="269" spans="1:45">
      <c r="A269" s="1" t="str">
        <f>VLOOKUP(D269,epiunits!A$1:C$4000,2,FALSE)</f>
      </c>
      <c r="B269" s="1" t="str">
        <f>VLOOKUP(D269,epiunits!A$1:C$4000,3,FALSE)</f>
      </c>
      <c r="C269" s="1" t="str">
        <f>VLOOKUP(E269,Inspector!A$1:B$50,2,FALSE)</f>
      </c>
      <c r="I269" s="1" t="str">
        <f>VLOOKUP(D269,epiunits!A$1:J$4000,6,FALSE)</f>
      </c>
      <c r="J269" s="1" t="str">
        <f>VLOOKUP(D269,epiunits!A$1:J$4000,7,FALSE)</f>
      </c>
      <c r="K269" s="1" t="str">
        <f>VLOOKUP(D269,epiunits!A$1:J$4000,8,FALSE)</f>
      </c>
      <c r="L269" s="1" t="str">
        <f>VLOOKUP(D269,epiunits!A$1:J$4000,9,FALSE)</f>
      </c>
      <c r="M269" s="1" t="str">
        <f>VLOOKUP(D269,epiunits!A$1:J$4000,10,FALSE)</f>
      </c>
      <c r="N269" s="1">
        <v>0</v>
      </c>
      <c r="O269" s="1">
        <v>0</v>
      </c>
      <c r="P269" s="1">
        <v>0</v>
      </c>
      <c r="Q269" s="1">
        <v>0</v>
      </c>
      <c r="R269" s="1">
        <v>0</v>
      </c>
      <c r="S269" s="1">
        <v>0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1">
        <v>0</v>
      </c>
      <c r="AH269" s="1">
        <v>0</v>
      </c>
      <c r="AI269" s="1">
        <v>0</v>
      </c>
      <c r="AJ269" s="1">
        <v>0</v>
      </c>
      <c r="AK269" s="1">
        <v>0</v>
      </c>
      <c r="AL269" s="1">
        <v>0</v>
      </c>
      <c r="AM269" s="1">
        <v>0</v>
      </c>
      <c r="AN269" s="1">
        <v>0</v>
      </c>
      <c r="AO269" s="1">
        <v>0</v>
      </c>
      <c r="AP269" s="1">
        <v>0</v>
      </c>
      <c r="AQ269" s="1">
        <v>0</v>
      </c>
      <c r="AR269" s="1">
        <v>0</v>
      </c>
      <c r="AS269" s="1">
        <v>0</v>
      </c>
    </row>
    <row r="270" spans="1:45">
      <c r="A270" s="1" t="str">
        <f>VLOOKUP(D270,epiunits!A$1:C$4000,2,FALSE)</f>
      </c>
      <c r="B270" s="1" t="str">
        <f>VLOOKUP(D270,epiunits!A$1:C$4000,3,FALSE)</f>
      </c>
      <c r="C270" s="1" t="str">
        <f>VLOOKUP(E270,Inspector!A$1:B$50,2,FALSE)</f>
      </c>
      <c r="I270" s="1" t="str">
        <f>VLOOKUP(D270,epiunits!A$1:J$4000,6,FALSE)</f>
      </c>
      <c r="J270" s="1" t="str">
        <f>VLOOKUP(D270,epiunits!A$1:J$4000,7,FALSE)</f>
      </c>
      <c r="K270" s="1" t="str">
        <f>VLOOKUP(D270,epiunits!A$1:J$4000,8,FALSE)</f>
      </c>
      <c r="L270" s="1" t="str">
        <f>VLOOKUP(D270,epiunits!A$1:J$4000,9,FALSE)</f>
      </c>
      <c r="M270" s="1" t="str">
        <f>VLOOKUP(D270,epiunits!A$1:J$4000,10,FALSE)</f>
      </c>
      <c r="N270" s="1">
        <v>0</v>
      </c>
      <c r="O270" s="1">
        <v>0</v>
      </c>
      <c r="P270" s="1">
        <v>0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1">
        <v>0</v>
      </c>
      <c r="AD270" s="1">
        <v>0</v>
      </c>
      <c r="AE270" s="1">
        <v>0</v>
      </c>
      <c r="AF270" s="1">
        <v>0</v>
      </c>
      <c r="AG270" s="1">
        <v>0</v>
      </c>
      <c r="AH270" s="1">
        <v>0</v>
      </c>
      <c r="AI270" s="1">
        <v>0</v>
      </c>
      <c r="AJ270" s="1">
        <v>0</v>
      </c>
      <c r="AK270" s="1">
        <v>0</v>
      </c>
      <c r="AL270" s="1">
        <v>0</v>
      </c>
      <c r="AM270" s="1">
        <v>0</v>
      </c>
      <c r="AN270" s="1">
        <v>0</v>
      </c>
      <c r="AO270" s="1">
        <v>0</v>
      </c>
      <c r="AP270" s="1">
        <v>0</v>
      </c>
      <c r="AQ270" s="1">
        <v>0</v>
      </c>
      <c r="AR270" s="1">
        <v>0</v>
      </c>
      <c r="AS270" s="1">
        <v>0</v>
      </c>
    </row>
    <row r="271" spans="1:45">
      <c r="A271" s="1" t="str">
        <f>VLOOKUP(D271,epiunits!A$1:C$4000,2,FALSE)</f>
      </c>
      <c r="B271" s="1" t="str">
        <f>VLOOKUP(D271,epiunits!A$1:C$4000,3,FALSE)</f>
      </c>
      <c r="C271" s="1" t="str">
        <f>VLOOKUP(E271,Inspector!A$1:B$50,2,FALSE)</f>
      </c>
      <c r="I271" s="1" t="str">
        <f>VLOOKUP(D271,epiunits!A$1:J$4000,6,FALSE)</f>
      </c>
      <c r="J271" s="1" t="str">
        <f>VLOOKUP(D271,epiunits!A$1:J$4000,7,FALSE)</f>
      </c>
      <c r="K271" s="1" t="str">
        <f>VLOOKUP(D271,epiunits!A$1:J$4000,8,FALSE)</f>
      </c>
      <c r="L271" s="1" t="str">
        <f>VLOOKUP(D271,epiunits!A$1:J$4000,9,FALSE)</f>
      </c>
      <c r="M271" s="1" t="str">
        <f>VLOOKUP(D271,epiunits!A$1:J$4000,10,FALSE)</f>
      </c>
      <c r="N271" s="1">
        <v>0</v>
      </c>
      <c r="O271" s="1">
        <v>0</v>
      </c>
      <c r="P271" s="1">
        <v>0</v>
      </c>
      <c r="Q271" s="1">
        <v>0</v>
      </c>
      <c r="R271" s="1">
        <v>0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D271" s="1">
        <v>0</v>
      </c>
      <c r="AE271" s="1">
        <v>0</v>
      </c>
      <c r="AF271" s="1">
        <v>0</v>
      </c>
      <c r="AG271" s="1">
        <v>0</v>
      </c>
      <c r="AH271" s="1">
        <v>0</v>
      </c>
      <c r="AI271" s="1">
        <v>0</v>
      </c>
      <c r="AJ271" s="1">
        <v>0</v>
      </c>
      <c r="AK271" s="1">
        <v>0</v>
      </c>
      <c r="AL271" s="1">
        <v>0</v>
      </c>
      <c r="AM271" s="1">
        <v>0</v>
      </c>
      <c r="AN271" s="1">
        <v>0</v>
      </c>
      <c r="AO271" s="1">
        <v>0</v>
      </c>
      <c r="AP271" s="1">
        <v>0</v>
      </c>
      <c r="AQ271" s="1">
        <v>0</v>
      </c>
      <c r="AR271" s="1">
        <v>0</v>
      </c>
      <c r="AS271" s="1">
        <v>0</v>
      </c>
    </row>
    <row r="272" spans="1:45">
      <c r="A272" s="1" t="str">
        <f>VLOOKUP(D272,epiunits!A$1:C$4000,2,FALSE)</f>
      </c>
      <c r="B272" s="1" t="str">
        <f>VLOOKUP(D272,epiunits!A$1:C$4000,3,FALSE)</f>
      </c>
      <c r="C272" s="1" t="str">
        <f>VLOOKUP(E272,Inspector!A$1:B$50,2,FALSE)</f>
      </c>
      <c r="I272" s="1" t="str">
        <f>VLOOKUP(D272,epiunits!A$1:J$4000,6,FALSE)</f>
      </c>
      <c r="J272" s="1" t="str">
        <f>VLOOKUP(D272,epiunits!A$1:J$4000,7,FALSE)</f>
      </c>
      <c r="K272" s="1" t="str">
        <f>VLOOKUP(D272,epiunits!A$1:J$4000,8,FALSE)</f>
      </c>
      <c r="L272" s="1" t="str">
        <f>VLOOKUP(D272,epiunits!A$1:J$4000,9,FALSE)</f>
      </c>
      <c r="M272" s="1" t="str">
        <f>VLOOKUP(D272,epiunits!A$1:J$4000,10,FALSE)</f>
      </c>
      <c r="N272" s="1">
        <v>0</v>
      </c>
      <c r="O272" s="1">
        <v>0</v>
      </c>
      <c r="P272" s="1">
        <v>0</v>
      </c>
      <c r="Q272" s="1">
        <v>0</v>
      </c>
      <c r="R272" s="1">
        <v>0</v>
      </c>
      <c r="S272" s="1">
        <v>0</v>
      </c>
      <c r="T272" s="1">
        <v>0</v>
      </c>
      <c r="U272" s="1">
        <v>0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1">
        <v>0</v>
      </c>
      <c r="AE272" s="1">
        <v>0</v>
      </c>
      <c r="AF272" s="1">
        <v>0</v>
      </c>
      <c r="AG272" s="1">
        <v>0</v>
      </c>
      <c r="AH272" s="1">
        <v>0</v>
      </c>
      <c r="AI272" s="1">
        <v>0</v>
      </c>
      <c r="AJ272" s="1">
        <v>0</v>
      </c>
      <c r="AK272" s="1">
        <v>0</v>
      </c>
      <c r="AL272" s="1">
        <v>0</v>
      </c>
      <c r="AM272" s="1">
        <v>0</v>
      </c>
      <c r="AN272" s="1">
        <v>0</v>
      </c>
      <c r="AO272" s="1">
        <v>0</v>
      </c>
      <c r="AP272" s="1">
        <v>0</v>
      </c>
      <c r="AQ272" s="1">
        <v>0</v>
      </c>
      <c r="AR272" s="1">
        <v>0</v>
      </c>
      <c r="AS272" s="1">
        <v>0</v>
      </c>
    </row>
    <row r="273" spans="1:45">
      <c r="A273" s="1" t="str">
        <f>VLOOKUP(D273,epiunits!A$1:C$4000,2,FALSE)</f>
      </c>
      <c r="B273" s="1" t="str">
        <f>VLOOKUP(D273,epiunits!A$1:C$4000,3,FALSE)</f>
      </c>
      <c r="C273" s="1" t="str">
        <f>VLOOKUP(E273,Inspector!A$1:B$50,2,FALSE)</f>
      </c>
      <c r="I273" s="1" t="str">
        <f>VLOOKUP(D273,epiunits!A$1:J$4000,6,FALSE)</f>
      </c>
      <c r="J273" s="1" t="str">
        <f>VLOOKUP(D273,epiunits!A$1:J$4000,7,FALSE)</f>
      </c>
      <c r="K273" s="1" t="str">
        <f>VLOOKUP(D273,epiunits!A$1:J$4000,8,FALSE)</f>
      </c>
      <c r="L273" s="1" t="str">
        <f>VLOOKUP(D273,epiunits!A$1:J$4000,9,FALSE)</f>
      </c>
      <c r="M273" s="1" t="str">
        <f>VLOOKUP(D273,epiunits!A$1:J$4000,10,FALSE)</f>
      </c>
      <c r="N273" s="1">
        <v>0</v>
      </c>
      <c r="O273" s="1">
        <v>0</v>
      </c>
      <c r="P273" s="1">
        <v>0</v>
      </c>
      <c r="Q273" s="1">
        <v>0</v>
      </c>
      <c r="R273" s="1">
        <v>0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0</v>
      </c>
      <c r="AE273" s="1">
        <v>0</v>
      </c>
      <c r="AF273" s="1">
        <v>0</v>
      </c>
      <c r="AG273" s="1">
        <v>0</v>
      </c>
      <c r="AH273" s="1">
        <v>0</v>
      </c>
      <c r="AI273" s="1">
        <v>0</v>
      </c>
      <c r="AJ273" s="1">
        <v>0</v>
      </c>
      <c r="AK273" s="1">
        <v>0</v>
      </c>
      <c r="AL273" s="1">
        <v>0</v>
      </c>
      <c r="AM273" s="1">
        <v>0</v>
      </c>
      <c r="AN273" s="1">
        <v>0</v>
      </c>
      <c r="AO273" s="1">
        <v>0</v>
      </c>
      <c r="AP273" s="1">
        <v>0</v>
      </c>
      <c r="AQ273" s="1">
        <v>0</v>
      </c>
      <c r="AR273" s="1">
        <v>0</v>
      </c>
      <c r="AS273" s="1">
        <v>0</v>
      </c>
    </row>
    <row r="274" spans="1:45">
      <c r="A274" s="1" t="str">
        <f>VLOOKUP(D274,epiunits!A$1:C$4000,2,FALSE)</f>
      </c>
      <c r="B274" s="1" t="str">
        <f>VLOOKUP(D274,epiunits!A$1:C$4000,3,FALSE)</f>
      </c>
      <c r="C274" s="1" t="str">
        <f>VLOOKUP(E274,Inspector!A$1:B$50,2,FALSE)</f>
      </c>
      <c r="I274" s="1" t="str">
        <f>VLOOKUP(D274,epiunits!A$1:J$4000,6,FALSE)</f>
      </c>
      <c r="J274" s="1" t="str">
        <f>VLOOKUP(D274,epiunits!A$1:J$4000,7,FALSE)</f>
      </c>
      <c r="K274" s="1" t="str">
        <f>VLOOKUP(D274,epiunits!A$1:J$4000,8,FALSE)</f>
      </c>
      <c r="L274" s="1" t="str">
        <f>VLOOKUP(D274,epiunits!A$1:J$4000,9,FALSE)</f>
      </c>
      <c r="M274" s="1" t="str">
        <f>VLOOKUP(D274,epiunits!A$1:J$4000,10,FALSE)</f>
      </c>
      <c r="N274" s="1">
        <v>0</v>
      </c>
      <c r="O274" s="1">
        <v>0</v>
      </c>
      <c r="P274" s="1">
        <v>0</v>
      </c>
      <c r="Q274" s="1">
        <v>0</v>
      </c>
      <c r="R274" s="1">
        <v>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1">
        <v>0</v>
      </c>
      <c r="AD274" s="1">
        <v>0</v>
      </c>
      <c r="AE274" s="1">
        <v>0</v>
      </c>
      <c r="AF274" s="1">
        <v>0</v>
      </c>
      <c r="AG274" s="1">
        <v>0</v>
      </c>
      <c r="AH274" s="1">
        <v>0</v>
      </c>
      <c r="AI274" s="1">
        <v>0</v>
      </c>
      <c r="AJ274" s="1">
        <v>0</v>
      </c>
      <c r="AK274" s="1">
        <v>0</v>
      </c>
      <c r="AL274" s="1">
        <v>0</v>
      </c>
      <c r="AM274" s="1">
        <v>0</v>
      </c>
      <c r="AN274" s="1">
        <v>0</v>
      </c>
      <c r="AO274" s="1">
        <v>0</v>
      </c>
      <c r="AP274" s="1">
        <v>0</v>
      </c>
      <c r="AQ274" s="1">
        <v>0</v>
      </c>
      <c r="AR274" s="1">
        <v>0</v>
      </c>
      <c r="AS274" s="1">
        <v>0</v>
      </c>
    </row>
    <row r="275" spans="1:45">
      <c r="A275" s="1" t="str">
        <f>VLOOKUP(D275,epiunits!A$1:C$4000,2,FALSE)</f>
      </c>
      <c r="B275" s="1" t="str">
        <f>VLOOKUP(D275,epiunits!A$1:C$4000,3,FALSE)</f>
      </c>
      <c r="C275" s="1" t="str">
        <f>VLOOKUP(E275,Inspector!A$1:B$50,2,FALSE)</f>
      </c>
      <c r="I275" s="1" t="str">
        <f>VLOOKUP(D275,epiunits!A$1:J$4000,6,FALSE)</f>
      </c>
      <c r="J275" s="1" t="str">
        <f>VLOOKUP(D275,epiunits!A$1:J$4000,7,FALSE)</f>
      </c>
      <c r="K275" s="1" t="str">
        <f>VLOOKUP(D275,epiunits!A$1:J$4000,8,FALSE)</f>
      </c>
      <c r="L275" s="1" t="str">
        <f>VLOOKUP(D275,epiunits!A$1:J$4000,9,FALSE)</f>
      </c>
      <c r="M275" s="1" t="str">
        <f>VLOOKUP(D275,epiunits!A$1:J$4000,10,FALSE)</f>
      </c>
      <c r="N275" s="1">
        <v>0</v>
      </c>
      <c r="O275" s="1">
        <v>0</v>
      </c>
      <c r="P275" s="1">
        <v>0</v>
      </c>
      <c r="Q275" s="1">
        <v>0</v>
      </c>
      <c r="R275" s="1">
        <v>0</v>
      </c>
      <c r="S275" s="1">
        <v>0</v>
      </c>
      <c r="T275" s="1">
        <v>0</v>
      </c>
      <c r="U275" s="1">
        <v>0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1">
        <v>0</v>
      </c>
      <c r="AH275" s="1">
        <v>0</v>
      </c>
      <c r="AI275" s="1">
        <v>0</v>
      </c>
      <c r="AJ275" s="1">
        <v>0</v>
      </c>
      <c r="AK275" s="1">
        <v>0</v>
      </c>
      <c r="AL275" s="1">
        <v>0</v>
      </c>
      <c r="AM275" s="1">
        <v>0</v>
      </c>
      <c r="AN275" s="1">
        <v>0</v>
      </c>
      <c r="AO275" s="1">
        <v>0</v>
      </c>
      <c r="AP275" s="1">
        <v>0</v>
      </c>
      <c r="AQ275" s="1">
        <v>0</v>
      </c>
      <c r="AR275" s="1">
        <v>0</v>
      </c>
      <c r="AS275" s="1">
        <v>0</v>
      </c>
    </row>
    <row r="276" spans="1:45">
      <c r="A276" s="1" t="str">
        <f>VLOOKUP(D276,epiunits!A$1:C$4000,2,FALSE)</f>
      </c>
      <c r="B276" s="1" t="str">
        <f>VLOOKUP(D276,epiunits!A$1:C$4000,3,FALSE)</f>
      </c>
      <c r="C276" s="1" t="str">
        <f>VLOOKUP(E276,Inspector!A$1:B$50,2,FALSE)</f>
      </c>
      <c r="I276" s="1" t="str">
        <f>VLOOKUP(D276,epiunits!A$1:J$4000,6,FALSE)</f>
      </c>
      <c r="J276" s="1" t="str">
        <f>VLOOKUP(D276,epiunits!A$1:J$4000,7,FALSE)</f>
      </c>
      <c r="K276" s="1" t="str">
        <f>VLOOKUP(D276,epiunits!A$1:J$4000,8,FALSE)</f>
      </c>
      <c r="L276" s="1" t="str">
        <f>VLOOKUP(D276,epiunits!A$1:J$4000,9,FALSE)</f>
      </c>
      <c r="M276" s="1" t="str">
        <f>VLOOKUP(D276,epiunits!A$1:J$4000,10,FALSE)</f>
      </c>
      <c r="N276" s="1">
        <v>0</v>
      </c>
      <c r="O276" s="1">
        <v>0</v>
      </c>
      <c r="P276" s="1">
        <v>0</v>
      </c>
      <c r="Q276" s="1">
        <v>0</v>
      </c>
      <c r="R276" s="1">
        <v>0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0</v>
      </c>
      <c r="AD276" s="1">
        <v>0</v>
      </c>
      <c r="AE276" s="1">
        <v>0</v>
      </c>
      <c r="AF276" s="1">
        <v>0</v>
      </c>
      <c r="AG276" s="1">
        <v>0</v>
      </c>
      <c r="AH276" s="1">
        <v>0</v>
      </c>
      <c r="AI276" s="1">
        <v>0</v>
      </c>
      <c r="AJ276" s="1">
        <v>0</v>
      </c>
      <c r="AK276" s="1">
        <v>0</v>
      </c>
      <c r="AL276" s="1">
        <v>0</v>
      </c>
      <c r="AM276" s="1">
        <v>0</v>
      </c>
      <c r="AN276" s="1">
        <v>0</v>
      </c>
      <c r="AO276" s="1">
        <v>0</v>
      </c>
      <c r="AP276" s="1">
        <v>0</v>
      </c>
      <c r="AQ276" s="1">
        <v>0</v>
      </c>
      <c r="AR276" s="1">
        <v>0</v>
      </c>
      <c r="AS276" s="1">
        <v>0</v>
      </c>
    </row>
    <row r="277" spans="1:45">
      <c r="A277" s="1" t="str">
        <f>VLOOKUP(D277,epiunits!A$1:C$4000,2,FALSE)</f>
      </c>
      <c r="B277" s="1" t="str">
        <f>VLOOKUP(D277,epiunits!A$1:C$4000,3,FALSE)</f>
      </c>
      <c r="C277" s="1" t="str">
        <f>VLOOKUP(E277,Inspector!A$1:B$50,2,FALSE)</f>
      </c>
      <c r="I277" s="1" t="str">
        <f>VLOOKUP(D277,epiunits!A$1:J$4000,6,FALSE)</f>
      </c>
      <c r="J277" s="1" t="str">
        <f>VLOOKUP(D277,epiunits!A$1:J$4000,7,FALSE)</f>
      </c>
      <c r="K277" s="1" t="str">
        <f>VLOOKUP(D277,epiunits!A$1:J$4000,8,FALSE)</f>
      </c>
      <c r="L277" s="1" t="str">
        <f>VLOOKUP(D277,epiunits!A$1:J$4000,9,FALSE)</f>
      </c>
      <c r="M277" s="1" t="str">
        <f>VLOOKUP(D277,epiunits!A$1:J$4000,10,FALSE)</f>
      </c>
      <c r="N277" s="1">
        <v>0</v>
      </c>
      <c r="O277" s="1">
        <v>0</v>
      </c>
      <c r="P277" s="1">
        <v>0</v>
      </c>
      <c r="Q277" s="1">
        <v>0</v>
      </c>
      <c r="R277" s="1">
        <v>0</v>
      </c>
      <c r="S277" s="1">
        <v>0</v>
      </c>
      <c r="T277" s="1">
        <v>0</v>
      </c>
      <c r="U277" s="1">
        <v>0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0</v>
      </c>
      <c r="AC277" s="1">
        <v>0</v>
      </c>
      <c r="AD277" s="1">
        <v>0</v>
      </c>
      <c r="AE277" s="1">
        <v>0</v>
      </c>
      <c r="AF277" s="1">
        <v>0</v>
      </c>
      <c r="AG277" s="1">
        <v>0</v>
      </c>
      <c r="AH277" s="1">
        <v>0</v>
      </c>
      <c r="AI277" s="1">
        <v>0</v>
      </c>
      <c r="AJ277" s="1">
        <v>0</v>
      </c>
      <c r="AK277" s="1">
        <v>0</v>
      </c>
      <c r="AL277" s="1">
        <v>0</v>
      </c>
      <c r="AM277" s="1">
        <v>0</v>
      </c>
      <c r="AN277" s="1">
        <v>0</v>
      </c>
      <c r="AO277" s="1">
        <v>0</v>
      </c>
      <c r="AP277" s="1">
        <v>0</v>
      </c>
      <c r="AQ277" s="1">
        <v>0</v>
      </c>
      <c r="AR277" s="1">
        <v>0</v>
      </c>
      <c r="AS277" s="1">
        <v>0</v>
      </c>
    </row>
    <row r="278" spans="1:45">
      <c r="A278" s="1" t="str">
        <f>VLOOKUP(D278,epiunits!A$1:C$4000,2,FALSE)</f>
      </c>
      <c r="B278" s="1" t="str">
        <f>VLOOKUP(D278,epiunits!A$1:C$4000,3,FALSE)</f>
      </c>
      <c r="C278" s="1" t="str">
        <f>VLOOKUP(E278,Inspector!A$1:B$50,2,FALSE)</f>
      </c>
      <c r="I278" s="1" t="str">
        <f>VLOOKUP(D278,epiunits!A$1:J$4000,6,FALSE)</f>
      </c>
      <c r="J278" s="1" t="str">
        <f>VLOOKUP(D278,epiunits!A$1:J$4000,7,FALSE)</f>
      </c>
      <c r="K278" s="1" t="str">
        <f>VLOOKUP(D278,epiunits!A$1:J$4000,8,FALSE)</f>
      </c>
      <c r="L278" s="1" t="str">
        <f>VLOOKUP(D278,epiunits!A$1:J$4000,9,FALSE)</f>
      </c>
      <c r="M278" s="1" t="str">
        <f>VLOOKUP(D278,epiunits!A$1:J$4000,10,FALSE)</f>
      </c>
      <c r="N278" s="1">
        <v>0</v>
      </c>
      <c r="O278" s="1">
        <v>0</v>
      </c>
      <c r="P278" s="1">
        <v>0</v>
      </c>
      <c r="Q278" s="1">
        <v>0</v>
      </c>
      <c r="R278" s="1">
        <v>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D278" s="1">
        <v>0</v>
      </c>
      <c r="AE278" s="1">
        <v>0</v>
      </c>
      <c r="AF278" s="1">
        <v>0</v>
      </c>
      <c r="AG278" s="1">
        <v>0</v>
      </c>
      <c r="AH278" s="1">
        <v>0</v>
      </c>
      <c r="AI278" s="1">
        <v>0</v>
      </c>
      <c r="AJ278" s="1">
        <v>0</v>
      </c>
      <c r="AK278" s="1">
        <v>0</v>
      </c>
      <c r="AL278" s="1">
        <v>0</v>
      </c>
      <c r="AM278" s="1">
        <v>0</v>
      </c>
      <c r="AN278" s="1">
        <v>0</v>
      </c>
      <c r="AO278" s="1">
        <v>0</v>
      </c>
      <c r="AP278" s="1">
        <v>0</v>
      </c>
      <c r="AQ278" s="1">
        <v>0</v>
      </c>
      <c r="AR278" s="1">
        <v>0</v>
      </c>
      <c r="AS278" s="1">
        <v>0</v>
      </c>
    </row>
    <row r="279" spans="1:45">
      <c r="A279" s="1" t="str">
        <f>VLOOKUP(D279,epiunits!A$1:C$4000,2,FALSE)</f>
      </c>
      <c r="B279" s="1" t="str">
        <f>VLOOKUP(D279,epiunits!A$1:C$4000,3,FALSE)</f>
      </c>
      <c r="C279" s="1" t="str">
        <f>VLOOKUP(E279,Inspector!A$1:B$50,2,FALSE)</f>
      </c>
      <c r="I279" s="1" t="str">
        <f>VLOOKUP(D279,epiunits!A$1:J$4000,6,FALSE)</f>
      </c>
      <c r="J279" s="1" t="str">
        <f>VLOOKUP(D279,epiunits!A$1:J$4000,7,FALSE)</f>
      </c>
      <c r="K279" s="1" t="str">
        <f>VLOOKUP(D279,epiunits!A$1:J$4000,8,FALSE)</f>
      </c>
      <c r="L279" s="1" t="str">
        <f>VLOOKUP(D279,epiunits!A$1:J$4000,9,FALSE)</f>
      </c>
      <c r="M279" s="1" t="str">
        <f>VLOOKUP(D279,epiunits!A$1:J$4000,10,FALSE)</f>
      </c>
      <c r="N279" s="1">
        <v>0</v>
      </c>
      <c r="O279" s="1">
        <v>0</v>
      </c>
      <c r="P279" s="1">
        <v>0</v>
      </c>
      <c r="Q279" s="1">
        <v>0</v>
      </c>
      <c r="R279" s="1">
        <v>0</v>
      </c>
      <c r="S279" s="1">
        <v>0</v>
      </c>
      <c r="T279" s="1">
        <v>0</v>
      </c>
      <c r="U279" s="1">
        <v>0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0</v>
      </c>
      <c r="AD279" s="1">
        <v>0</v>
      </c>
      <c r="AE279" s="1">
        <v>0</v>
      </c>
      <c r="AF279" s="1">
        <v>0</v>
      </c>
      <c r="AG279" s="1">
        <v>0</v>
      </c>
      <c r="AH279" s="1">
        <v>0</v>
      </c>
      <c r="AI279" s="1">
        <v>0</v>
      </c>
      <c r="AJ279" s="1">
        <v>0</v>
      </c>
      <c r="AK279" s="1">
        <v>0</v>
      </c>
      <c r="AL279" s="1">
        <v>0</v>
      </c>
      <c r="AM279" s="1">
        <v>0</v>
      </c>
      <c r="AN279" s="1">
        <v>0</v>
      </c>
      <c r="AO279" s="1">
        <v>0</v>
      </c>
      <c r="AP279" s="1">
        <v>0</v>
      </c>
      <c r="AQ279" s="1">
        <v>0</v>
      </c>
      <c r="AR279" s="1">
        <v>0</v>
      </c>
      <c r="AS279" s="1">
        <v>0</v>
      </c>
    </row>
    <row r="280" spans="1:45">
      <c r="A280" s="1" t="str">
        <f>VLOOKUP(D280,epiunits!A$1:C$4000,2,FALSE)</f>
      </c>
      <c r="B280" s="1" t="str">
        <f>VLOOKUP(D280,epiunits!A$1:C$4000,3,FALSE)</f>
      </c>
      <c r="C280" s="1" t="str">
        <f>VLOOKUP(E280,Inspector!A$1:B$50,2,FALSE)</f>
      </c>
      <c r="I280" s="1" t="str">
        <f>VLOOKUP(D280,epiunits!A$1:J$4000,6,FALSE)</f>
      </c>
      <c r="J280" s="1" t="str">
        <f>VLOOKUP(D280,epiunits!A$1:J$4000,7,FALSE)</f>
      </c>
      <c r="K280" s="1" t="str">
        <f>VLOOKUP(D280,epiunits!A$1:J$4000,8,FALSE)</f>
      </c>
      <c r="L280" s="1" t="str">
        <f>VLOOKUP(D280,epiunits!A$1:J$4000,9,FALSE)</f>
      </c>
      <c r="M280" s="1" t="str">
        <f>VLOOKUP(D280,epiunits!A$1:J$4000,10,FALSE)</f>
      </c>
      <c r="N280" s="1">
        <v>0</v>
      </c>
      <c r="O280" s="1">
        <v>0</v>
      </c>
      <c r="P280" s="1">
        <v>0</v>
      </c>
      <c r="Q280" s="1">
        <v>0</v>
      </c>
      <c r="R280" s="1">
        <v>0</v>
      </c>
      <c r="S280" s="1">
        <v>0</v>
      </c>
      <c r="T280" s="1">
        <v>0</v>
      </c>
      <c r="U280" s="1">
        <v>0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0</v>
      </c>
      <c r="AC280" s="1">
        <v>0</v>
      </c>
      <c r="AD280" s="1">
        <v>0</v>
      </c>
      <c r="AE280" s="1">
        <v>0</v>
      </c>
      <c r="AF280" s="1">
        <v>0</v>
      </c>
      <c r="AG280" s="1">
        <v>0</v>
      </c>
      <c r="AH280" s="1">
        <v>0</v>
      </c>
      <c r="AI280" s="1">
        <v>0</v>
      </c>
      <c r="AJ280" s="1">
        <v>0</v>
      </c>
      <c r="AK280" s="1">
        <v>0</v>
      </c>
      <c r="AL280" s="1">
        <v>0</v>
      </c>
      <c r="AM280" s="1">
        <v>0</v>
      </c>
      <c r="AN280" s="1">
        <v>0</v>
      </c>
      <c r="AO280" s="1">
        <v>0</v>
      </c>
      <c r="AP280" s="1">
        <v>0</v>
      </c>
      <c r="AQ280" s="1">
        <v>0</v>
      </c>
      <c r="AR280" s="1">
        <v>0</v>
      </c>
      <c r="AS280" s="1">
        <v>0</v>
      </c>
    </row>
    <row r="281" spans="1:45">
      <c r="A281" s="1" t="str">
        <f>VLOOKUP(D281,epiunits!A$1:C$4000,2,FALSE)</f>
      </c>
      <c r="B281" s="1" t="str">
        <f>VLOOKUP(D281,epiunits!A$1:C$4000,3,FALSE)</f>
      </c>
      <c r="C281" s="1" t="str">
        <f>VLOOKUP(E281,Inspector!A$1:B$50,2,FALSE)</f>
      </c>
      <c r="I281" s="1" t="str">
        <f>VLOOKUP(D281,epiunits!A$1:J$4000,6,FALSE)</f>
      </c>
      <c r="J281" s="1" t="str">
        <f>VLOOKUP(D281,epiunits!A$1:J$4000,7,FALSE)</f>
      </c>
      <c r="K281" s="1" t="str">
        <f>VLOOKUP(D281,epiunits!A$1:J$4000,8,FALSE)</f>
      </c>
      <c r="L281" s="1" t="str">
        <f>VLOOKUP(D281,epiunits!A$1:J$4000,9,FALSE)</f>
      </c>
      <c r="M281" s="1" t="str">
        <f>VLOOKUP(D281,epiunits!A$1:J$4000,10,FALSE)</f>
      </c>
      <c r="N281" s="1">
        <v>0</v>
      </c>
      <c r="O281" s="1">
        <v>0</v>
      </c>
      <c r="P281" s="1">
        <v>0</v>
      </c>
      <c r="Q281" s="1">
        <v>0</v>
      </c>
      <c r="R281" s="1">
        <v>0</v>
      </c>
      <c r="S281" s="1">
        <v>0</v>
      </c>
      <c r="T281" s="1">
        <v>0</v>
      </c>
      <c r="U281" s="1">
        <v>0</v>
      </c>
      <c r="V281" s="1">
        <v>0</v>
      </c>
      <c r="W281" s="1">
        <v>0</v>
      </c>
      <c r="X281" s="1">
        <v>0</v>
      </c>
      <c r="Y281" s="1">
        <v>0</v>
      </c>
      <c r="Z281" s="1">
        <v>0</v>
      </c>
      <c r="AA281" s="1">
        <v>0</v>
      </c>
      <c r="AB281" s="1">
        <v>0</v>
      </c>
      <c r="AC281" s="1">
        <v>0</v>
      </c>
      <c r="AD281" s="1">
        <v>0</v>
      </c>
      <c r="AE281" s="1">
        <v>0</v>
      </c>
      <c r="AF281" s="1">
        <v>0</v>
      </c>
      <c r="AG281" s="1">
        <v>0</v>
      </c>
      <c r="AH281" s="1">
        <v>0</v>
      </c>
      <c r="AI281" s="1">
        <v>0</v>
      </c>
      <c r="AJ281" s="1">
        <v>0</v>
      </c>
      <c r="AK281" s="1">
        <v>0</v>
      </c>
      <c r="AL281" s="1">
        <v>0</v>
      </c>
      <c r="AM281" s="1">
        <v>0</v>
      </c>
      <c r="AN281" s="1">
        <v>0</v>
      </c>
      <c r="AO281" s="1">
        <v>0</v>
      </c>
      <c r="AP281" s="1">
        <v>0</v>
      </c>
      <c r="AQ281" s="1">
        <v>0</v>
      </c>
      <c r="AR281" s="1">
        <v>0</v>
      </c>
      <c r="AS281" s="1">
        <v>0</v>
      </c>
    </row>
    <row r="282" spans="1:45">
      <c r="A282" s="1" t="str">
        <f>VLOOKUP(D282,epiunits!A$1:C$4000,2,FALSE)</f>
      </c>
      <c r="B282" s="1" t="str">
        <f>VLOOKUP(D282,epiunits!A$1:C$4000,3,FALSE)</f>
      </c>
      <c r="C282" s="1" t="str">
        <f>VLOOKUP(E282,Inspector!A$1:B$50,2,FALSE)</f>
      </c>
      <c r="I282" s="1" t="str">
        <f>VLOOKUP(D282,epiunits!A$1:J$4000,6,FALSE)</f>
      </c>
      <c r="J282" s="1" t="str">
        <f>VLOOKUP(D282,epiunits!A$1:J$4000,7,FALSE)</f>
      </c>
      <c r="K282" s="1" t="str">
        <f>VLOOKUP(D282,epiunits!A$1:J$4000,8,FALSE)</f>
      </c>
      <c r="L282" s="1" t="str">
        <f>VLOOKUP(D282,epiunits!A$1:J$4000,9,FALSE)</f>
      </c>
      <c r="M282" s="1" t="str">
        <f>VLOOKUP(D282,epiunits!A$1:J$4000,10,FALSE)</f>
      </c>
      <c r="N282" s="1">
        <v>0</v>
      </c>
      <c r="O282" s="1">
        <v>0</v>
      </c>
      <c r="P282" s="1">
        <v>0</v>
      </c>
      <c r="Q282" s="1">
        <v>0</v>
      </c>
      <c r="R282" s="1">
        <v>0</v>
      </c>
      <c r="S282" s="1">
        <v>0</v>
      </c>
      <c r="T282" s="1">
        <v>0</v>
      </c>
      <c r="U282" s="1">
        <v>0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0</v>
      </c>
      <c r="AD282" s="1">
        <v>0</v>
      </c>
      <c r="AE282" s="1">
        <v>0</v>
      </c>
      <c r="AF282" s="1">
        <v>0</v>
      </c>
      <c r="AG282" s="1">
        <v>0</v>
      </c>
      <c r="AH282" s="1">
        <v>0</v>
      </c>
      <c r="AI282" s="1">
        <v>0</v>
      </c>
      <c r="AJ282" s="1">
        <v>0</v>
      </c>
      <c r="AK282" s="1">
        <v>0</v>
      </c>
      <c r="AL282" s="1">
        <v>0</v>
      </c>
      <c r="AM282" s="1">
        <v>0</v>
      </c>
      <c r="AN282" s="1">
        <v>0</v>
      </c>
      <c r="AO282" s="1">
        <v>0</v>
      </c>
      <c r="AP282" s="1">
        <v>0</v>
      </c>
      <c r="AQ282" s="1">
        <v>0</v>
      </c>
      <c r="AR282" s="1">
        <v>0</v>
      </c>
      <c r="AS282" s="1">
        <v>0</v>
      </c>
    </row>
    <row r="283" spans="1:45">
      <c r="A283" s="1" t="str">
        <f>VLOOKUP(D283,epiunits!A$1:C$4000,2,FALSE)</f>
      </c>
      <c r="B283" s="1" t="str">
        <f>VLOOKUP(D283,epiunits!A$1:C$4000,3,FALSE)</f>
      </c>
      <c r="C283" s="1" t="str">
        <f>VLOOKUP(E283,Inspector!A$1:B$50,2,FALSE)</f>
      </c>
      <c r="I283" s="1" t="str">
        <f>VLOOKUP(D283,epiunits!A$1:J$4000,6,FALSE)</f>
      </c>
      <c r="J283" s="1" t="str">
        <f>VLOOKUP(D283,epiunits!A$1:J$4000,7,FALSE)</f>
      </c>
      <c r="K283" s="1" t="str">
        <f>VLOOKUP(D283,epiunits!A$1:J$4000,8,FALSE)</f>
      </c>
      <c r="L283" s="1" t="str">
        <f>VLOOKUP(D283,epiunits!A$1:J$4000,9,FALSE)</f>
      </c>
      <c r="M283" s="1" t="str">
        <f>VLOOKUP(D283,epiunits!A$1:J$4000,10,FALSE)</f>
      </c>
      <c r="N283" s="1">
        <v>0</v>
      </c>
      <c r="O283" s="1">
        <v>0</v>
      </c>
      <c r="P283" s="1">
        <v>0</v>
      </c>
      <c r="Q283" s="1">
        <v>0</v>
      </c>
      <c r="R283" s="1">
        <v>0</v>
      </c>
      <c r="S283" s="1">
        <v>0</v>
      </c>
      <c r="T283" s="1">
        <v>0</v>
      </c>
      <c r="U283" s="1">
        <v>0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0</v>
      </c>
      <c r="AC283" s="1">
        <v>0</v>
      </c>
      <c r="AD283" s="1">
        <v>0</v>
      </c>
      <c r="AE283" s="1">
        <v>0</v>
      </c>
      <c r="AF283" s="1">
        <v>0</v>
      </c>
      <c r="AG283" s="1">
        <v>0</v>
      </c>
      <c r="AH283" s="1">
        <v>0</v>
      </c>
      <c r="AI283" s="1">
        <v>0</v>
      </c>
      <c r="AJ283" s="1">
        <v>0</v>
      </c>
      <c r="AK283" s="1">
        <v>0</v>
      </c>
      <c r="AL283" s="1">
        <v>0</v>
      </c>
      <c r="AM283" s="1">
        <v>0</v>
      </c>
      <c r="AN283" s="1">
        <v>0</v>
      </c>
      <c r="AO283" s="1">
        <v>0</v>
      </c>
      <c r="AP283" s="1">
        <v>0</v>
      </c>
      <c r="AQ283" s="1">
        <v>0</v>
      </c>
      <c r="AR283" s="1">
        <v>0</v>
      </c>
      <c r="AS283" s="1">
        <v>0</v>
      </c>
    </row>
    <row r="284" spans="1:45">
      <c r="A284" s="1" t="str">
        <f>VLOOKUP(D284,epiunits!A$1:C$4000,2,FALSE)</f>
      </c>
      <c r="B284" s="1" t="str">
        <f>VLOOKUP(D284,epiunits!A$1:C$4000,3,FALSE)</f>
      </c>
      <c r="C284" s="1" t="str">
        <f>VLOOKUP(E284,Inspector!A$1:B$50,2,FALSE)</f>
      </c>
      <c r="I284" s="1" t="str">
        <f>VLOOKUP(D284,epiunits!A$1:J$4000,6,FALSE)</f>
      </c>
      <c r="J284" s="1" t="str">
        <f>VLOOKUP(D284,epiunits!A$1:J$4000,7,FALSE)</f>
      </c>
      <c r="K284" s="1" t="str">
        <f>VLOOKUP(D284,epiunits!A$1:J$4000,8,FALSE)</f>
      </c>
      <c r="L284" s="1" t="str">
        <f>VLOOKUP(D284,epiunits!A$1:J$4000,9,FALSE)</f>
      </c>
      <c r="M284" s="1" t="str">
        <f>VLOOKUP(D284,epiunits!A$1:J$4000,10,FALSE)</f>
      </c>
      <c r="N284" s="1">
        <v>0</v>
      </c>
      <c r="O284" s="1">
        <v>0</v>
      </c>
      <c r="P284" s="1">
        <v>0</v>
      </c>
      <c r="Q284" s="1">
        <v>0</v>
      </c>
      <c r="R284" s="1">
        <v>0</v>
      </c>
      <c r="S284" s="1">
        <v>0</v>
      </c>
      <c r="T284" s="1">
        <v>0</v>
      </c>
      <c r="U284" s="1">
        <v>0</v>
      </c>
      <c r="V284" s="1">
        <v>0</v>
      </c>
      <c r="W284" s="1">
        <v>0</v>
      </c>
      <c r="X284" s="1">
        <v>0</v>
      </c>
      <c r="Y284" s="1">
        <v>0</v>
      </c>
      <c r="Z284" s="1">
        <v>0</v>
      </c>
      <c r="AA284" s="1">
        <v>0</v>
      </c>
      <c r="AB284" s="1">
        <v>0</v>
      </c>
      <c r="AC284" s="1">
        <v>0</v>
      </c>
      <c r="AD284" s="1">
        <v>0</v>
      </c>
      <c r="AE284" s="1">
        <v>0</v>
      </c>
      <c r="AF284" s="1">
        <v>0</v>
      </c>
      <c r="AG284" s="1">
        <v>0</v>
      </c>
      <c r="AH284" s="1">
        <v>0</v>
      </c>
      <c r="AI284" s="1">
        <v>0</v>
      </c>
      <c r="AJ284" s="1">
        <v>0</v>
      </c>
      <c r="AK284" s="1">
        <v>0</v>
      </c>
      <c r="AL284" s="1">
        <v>0</v>
      </c>
      <c r="AM284" s="1">
        <v>0</v>
      </c>
      <c r="AN284" s="1">
        <v>0</v>
      </c>
      <c r="AO284" s="1">
        <v>0</v>
      </c>
      <c r="AP284" s="1">
        <v>0</v>
      </c>
      <c r="AQ284" s="1">
        <v>0</v>
      </c>
      <c r="AR284" s="1">
        <v>0</v>
      </c>
      <c r="AS284" s="1">
        <v>0</v>
      </c>
    </row>
    <row r="285" spans="1:45">
      <c r="A285" s="1" t="str">
        <f>VLOOKUP(D285,epiunits!A$1:C$4000,2,FALSE)</f>
      </c>
      <c r="B285" s="1" t="str">
        <f>VLOOKUP(D285,epiunits!A$1:C$4000,3,FALSE)</f>
      </c>
      <c r="C285" s="1" t="str">
        <f>VLOOKUP(E285,Inspector!A$1:B$50,2,FALSE)</f>
      </c>
      <c r="I285" s="1" t="str">
        <f>VLOOKUP(D285,epiunits!A$1:J$4000,6,FALSE)</f>
      </c>
      <c r="J285" s="1" t="str">
        <f>VLOOKUP(D285,epiunits!A$1:J$4000,7,FALSE)</f>
      </c>
      <c r="K285" s="1" t="str">
        <f>VLOOKUP(D285,epiunits!A$1:J$4000,8,FALSE)</f>
      </c>
      <c r="L285" s="1" t="str">
        <f>VLOOKUP(D285,epiunits!A$1:J$4000,9,FALSE)</f>
      </c>
      <c r="M285" s="1" t="str">
        <f>VLOOKUP(D285,epiunits!A$1:J$4000,10,FALSE)</f>
      </c>
      <c r="N285" s="1">
        <v>0</v>
      </c>
      <c r="O285" s="1">
        <v>0</v>
      </c>
      <c r="P285" s="1">
        <v>0</v>
      </c>
      <c r="Q285" s="1">
        <v>0</v>
      </c>
      <c r="R285" s="1">
        <v>0</v>
      </c>
      <c r="S285" s="1">
        <v>0</v>
      </c>
      <c r="T285" s="1">
        <v>0</v>
      </c>
      <c r="U285" s="1">
        <v>0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A285" s="1">
        <v>0</v>
      </c>
      <c r="AB285" s="1">
        <v>0</v>
      </c>
      <c r="AC285" s="1">
        <v>0</v>
      </c>
      <c r="AD285" s="1">
        <v>0</v>
      </c>
      <c r="AE285" s="1">
        <v>0</v>
      </c>
      <c r="AF285" s="1">
        <v>0</v>
      </c>
      <c r="AG285" s="1">
        <v>0</v>
      </c>
      <c r="AH285" s="1">
        <v>0</v>
      </c>
      <c r="AI285" s="1">
        <v>0</v>
      </c>
      <c r="AJ285" s="1">
        <v>0</v>
      </c>
      <c r="AK285" s="1">
        <v>0</v>
      </c>
      <c r="AL285" s="1">
        <v>0</v>
      </c>
      <c r="AM285" s="1">
        <v>0</v>
      </c>
      <c r="AN285" s="1">
        <v>0</v>
      </c>
      <c r="AO285" s="1">
        <v>0</v>
      </c>
      <c r="AP285" s="1">
        <v>0</v>
      </c>
      <c r="AQ285" s="1">
        <v>0</v>
      </c>
      <c r="AR285" s="1">
        <v>0</v>
      </c>
      <c r="AS285" s="1">
        <v>0</v>
      </c>
    </row>
    <row r="286" spans="1:45">
      <c r="A286" s="1" t="str">
        <f>VLOOKUP(D286,epiunits!A$1:C$4000,2,FALSE)</f>
      </c>
      <c r="B286" s="1" t="str">
        <f>VLOOKUP(D286,epiunits!A$1:C$4000,3,FALSE)</f>
      </c>
      <c r="C286" s="1" t="str">
        <f>VLOOKUP(E286,Inspector!A$1:B$50,2,FALSE)</f>
      </c>
      <c r="I286" s="1" t="str">
        <f>VLOOKUP(D286,epiunits!A$1:J$4000,6,FALSE)</f>
      </c>
      <c r="J286" s="1" t="str">
        <f>VLOOKUP(D286,epiunits!A$1:J$4000,7,FALSE)</f>
      </c>
      <c r="K286" s="1" t="str">
        <f>VLOOKUP(D286,epiunits!A$1:J$4000,8,FALSE)</f>
      </c>
      <c r="L286" s="1" t="str">
        <f>VLOOKUP(D286,epiunits!A$1:J$4000,9,FALSE)</f>
      </c>
      <c r="M286" s="1" t="str">
        <f>VLOOKUP(D286,epiunits!A$1:J$4000,10,FALSE)</f>
      </c>
      <c r="N286" s="1">
        <v>0</v>
      </c>
      <c r="O286" s="1">
        <v>0</v>
      </c>
      <c r="P286" s="1">
        <v>0</v>
      </c>
      <c r="Q286" s="1">
        <v>0</v>
      </c>
      <c r="R286" s="1">
        <v>0</v>
      </c>
      <c r="S286" s="1">
        <v>0</v>
      </c>
      <c r="T286" s="1">
        <v>0</v>
      </c>
      <c r="U286" s="1">
        <v>0</v>
      </c>
      <c r="V286" s="1">
        <v>0</v>
      </c>
      <c r="W286" s="1">
        <v>0</v>
      </c>
      <c r="X286" s="1">
        <v>0</v>
      </c>
      <c r="Y286" s="1">
        <v>0</v>
      </c>
      <c r="Z286" s="1">
        <v>0</v>
      </c>
      <c r="AA286" s="1">
        <v>0</v>
      </c>
      <c r="AB286" s="1">
        <v>0</v>
      </c>
      <c r="AC286" s="1">
        <v>0</v>
      </c>
      <c r="AD286" s="1">
        <v>0</v>
      </c>
      <c r="AE286" s="1">
        <v>0</v>
      </c>
      <c r="AF286" s="1">
        <v>0</v>
      </c>
      <c r="AG286" s="1">
        <v>0</v>
      </c>
      <c r="AH286" s="1">
        <v>0</v>
      </c>
      <c r="AI286" s="1">
        <v>0</v>
      </c>
      <c r="AJ286" s="1">
        <v>0</v>
      </c>
      <c r="AK286" s="1">
        <v>0</v>
      </c>
      <c r="AL286" s="1">
        <v>0</v>
      </c>
      <c r="AM286" s="1">
        <v>0</v>
      </c>
      <c r="AN286" s="1">
        <v>0</v>
      </c>
      <c r="AO286" s="1">
        <v>0</v>
      </c>
      <c r="AP286" s="1">
        <v>0</v>
      </c>
      <c r="AQ286" s="1">
        <v>0</v>
      </c>
      <c r="AR286" s="1">
        <v>0</v>
      </c>
      <c r="AS286" s="1">
        <v>0</v>
      </c>
    </row>
    <row r="287" spans="1:45">
      <c r="A287" s="1" t="str">
        <f>VLOOKUP(D287,epiunits!A$1:C$4000,2,FALSE)</f>
      </c>
      <c r="B287" s="1" t="str">
        <f>VLOOKUP(D287,epiunits!A$1:C$4000,3,FALSE)</f>
      </c>
      <c r="C287" s="1" t="str">
        <f>VLOOKUP(E287,Inspector!A$1:B$50,2,FALSE)</f>
      </c>
      <c r="I287" s="1" t="str">
        <f>VLOOKUP(D287,epiunits!A$1:J$4000,6,FALSE)</f>
      </c>
      <c r="J287" s="1" t="str">
        <f>VLOOKUP(D287,epiunits!A$1:J$4000,7,FALSE)</f>
      </c>
      <c r="K287" s="1" t="str">
        <f>VLOOKUP(D287,epiunits!A$1:J$4000,8,FALSE)</f>
      </c>
      <c r="L287" s="1" t="str">
        <f>VLOOKUP(D287,epiunits!A$1:J$4000,9,FALSE)</f>
      </c>
      <c r="M287" s="1" t="str">
        <f>VLOOKUP(D287,epiunits!A$1:J$4000,10,FALSE)</f>
      </c>
      <c r="N287" s="1">
        <v>0</v>
      </c>
      <c r="O287" s="1">
        <v>0</v>
      </c>
      <c r="P287" s="1">
        <v>0</v>
      </c>
      <c r="Q287" s="1">
        <v>0</v>
      </c>
      <c r="R287" s="1">
        <v>0</v>
      </c>
      <c r="S287" s="1">
        <v>0</v>
      </c>
      <c r="T287" s="1">
        <v>0</v>
      </c>
      <c r="U287" s="1">
        <v>0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1">
        <v>0</v>
      </c>
      <c r="AC287" s="1">
        <v>0</v>
      </c>
      <c r="AD287" s="1">
        <v>0</v>
      </c>
      <c r="AE287" s="1">
        <v>0</v>
      </c>
      <c r="AF287" s="1">
        <v>0</v>
      </c>
      <c r="AG287" s="1">
        <v>0</v>
      </c>
      <c r="AH287" s="1">
        <v>0</v>
      </c>
      <c r="AI287" s="1">
        <v>0</v>
      </c>
      <c r="AJ287" s="1">
        <v>0</v>
      </c>
      <c r="AK287" s="1">
        <v>0</v>
      </c>
      <c r="AL287" s="1">
        <v>0</v>
      </c>
      <c r="AM287" s="1">
        <v>0</v>
      </c>
      <c r="AN287" s="1">
        <v>0</v>
      </c>
      <c r="AO287" s="1">
        <v>0</v>
      </c>
      <c r="AP287" s="1">
        <v>0</v>
      </c>
      <c r="AQ287" s="1">
        <v>0</v>
      </c>
      <c r="AR287" s="1">
        <v>0</v>
      </c>
      <c r="AS287" s="1">
        <v>0</v>
      </c>
    </row>
    <row r="288" spans="1:45">
      <c r="A288" s="1" t="str">
        <f>VLOOKUP(D288,epiunits!A$1:C$4000,2,FALSE)</f>
      </c>
      <c r="B288" s="1" t="str">
        <f>VLOOKUP(D288,epiunits!A$1:C$4000,3,FALSE)</f>
      </c>
      <c r="C288" s="1" t="str">
        <f>VLOOKUP(E288,Inspector!A$1:B$50,2,FALSE)</f>
      </c>
      <c r="I288" s="1" t="str">
        <f>VLOOKUP(D288,epiunits!A$1:J$4000,6,FALSE)</f>
      </c>
      <c r="J288" s="1" t="str">
        <f>VLOOKUP(D288,epiunits!A$1:J$4000,7,FALSE)</f>
      </c>
      <c r="K288" s="1" t="str">
        <f>VLOOKUP(D288,epiunits!A$1:J$4000,8,FALSE)</f>
      </c>
      <c r="L288" s="1" t="str">
        <f>VLOOKUP(D288,epiunits!A$1:J$4000,9,FALSE)</f>
      </c>
      <c r="M288" s="1" t="str">
        <f>VLOOKUP(D288,epiunits!A$1:J$4000,10,FALSE)</f>
      </c>
      <c r="N288" s="1">
        <v>0</v>
      </c>
      <c r="O288" s="1">
        <v>0</v>
      </c>
      <c r="P288" s="1">
        <v>0</v>
      </c>
      <c r="Q288" s="1">
        <v>0</v>
      </c>
      <c r="R288" s="1">
        <v>0</v>
      </c>
      <c r="S288" s="1">
        <v>0</v>
      </c>
      <c r="T288" s="1">
        <v>0</v>
      </c>
      <c r="U288" s="1">
        <v>0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  <c r="AB288" s="1">
        <v>0</v>
      </c>
      <c r="AC288" s="1">
        <v>0</v>
      </c>
      <c r="AD288" s="1">
        <v>0</v>
      </c>
      <c r="AE288" s="1">
        <v>0</v>
      </c>
      <c r="AF288" s="1">
        <v>0</v>
      </c>
      <c r="AG288" s="1">
        <v>0</v>
      </c>
      <c r="AH288" s="1">
        <v>0</v>
      </c>
      <c r="AI288" s="1">
        <v>0</v>
      </c>
      <c r="AJ288" s="1">
        <v>0</v>
      </c>
      <c r="AK288" s="1">
        <v>0</v>
      </c>
      <c r="AL288" s="1">
        <v>0</v>
      </c>
      <c r="AM288" s="1">
        <v>0</v>
      </c>
      <c r="AN288" s="1">
        <v>0</v>
      </c>
      <c r="AO288" s="1">
        <v>0</v>
      </c>
      <c r="AP288" s="1">
        <v>0</v>
      </c>
      <c r="AQ288" s="1">
        <v>0</v>
      </c>
      <c r="AR288" s="1">
        <v>0</v>
      </c>
      <c r="AS288" s="1">
        <v>0</v>
      </c>
    </row>
    <row r="289" spans="1:45">
      <c r="A289" s="1" t="str">
        <f>VLOOKUP(D289,epiunits!A$1:C$4000,2,FALSE)</f>
      </c>
      <c r="B289" s="1" t="str">
        <f>VLOOKUP(D289,epiunits!A$1:C$4000,3,FALSE)</f>
      </c>
      <c r="C289" s="1" t="str">
        <f>VLOOKUP(E289,Inspector!A$1:B$50,2,FALSE)</f>
      </c>
      <c r="I289" s="1" t="str">
        <f>VLOOKUP(D289,epiunits!A$1:J$4000,6,FALSE)</f>
      </c>
      <c r="J289" s="1" t="str">
        <f>VLOOKUP(D289,epiunits!A$1:J$4000,7,FALSE)</f>
      </c>
      <c r="K289" s="1" t="str">
        <f>VLOOKUP(D289,epiunits!A$1:J$4000,8,FALSE)</f>
      </c>
      <c r="L289" s="1" t="str">
        <f>VLOOKUP(D289,epiunits!A$1:J$4000,9,FALSE)</f>
      </c>
      <c r="M289" s="1" t="str">
        <f>VLOOKUP(D289,epiunits!A$1:J$4000,10,FALSE)</f>
      </c>
      <c r="N289" s="1">
        <v>0</v>
      </c>
      <c r="O289" s="1">
        <v>0</v>
      </c>
      <c r="P289" s="1">
        <v>0</v>
      </c>
      <c r="Q289" s="1">
        <v>0</v>
      </c>
      <c r="R289" s="1">
        <v>0</v>
      </c>
      <c r="S289" s="1">
        <v>0</v>
      </c>
      <c r="T289" s="1">
        <v>0</v>
      </c>
      <c r="U289" s="1">
        <v>0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1">
        <v>0</v>
      </c>
      <c r="AC289" s="1">
        <v>0</v>
      </c>
      <c r="AD289" s="1">
        <v>0</v>
      </c>
      <c r="AE289" s="1">
        <v>0</v>
      </c>
      <c r="AF289" s="1">
        <v>0</v>
      </c>
      <c r="AG289" s="1">
        <v>0</v>
      </c>
      <c r="AH289" s="1">
        <v>0</v>
      </c>
      <c r="AI289" s="1">
        <v>0</v>
      </c>
      <c r="AJ289" s="1">
        <v>0</v>
      </c>
      <c r="AK289" s="1">
        <v>0</v>
      </c>
      <c r="AL289" s="1">
        <v>0</v>
      </c>
      <c r="AM289" s="1">
        <v>0</v>
      </c>
      <c r="AN289" s="1">
        <v>0</v>
      </c>
      <c r="AO289" s="1">
        <v>0</v>
      </c>
      <c r="AP289" s="1">
        <v>0</v>
      </c>
      <c r="AQ289" s="1">
        <v>0</v>
      </c>
      <c r="AR289" s="1">
        <v>0</v>
      </c>
      <c r="AS289" s="1">
        <v>0</v>
      </c>
    </row>
    <row r="290" spans="1:45">
      <c r="A290" s="1" t="str">
        <f>VLOOKUP(D290,epiunits!A$1:C$4000,2,FALSE)</f>
      </c>
      <c r="B290" s="1" t="str">
        <f>VLOOKUP(D290,epiunits!A$1:C$4000,3,FALSE)</f>
      </c>
      <c r="C290" s="1" t="str">
        <f>VLOOKUP(E290,Inspector!A$1:B$50,2,FALSE)</f>
      </c>
      <c r="I290" s="1" t="str">
        <f>VLOOKUP(D290,epiunits!A$1:J$4000,6,FALSE)</f>
      </c>
      <c r="J290" s="1" t="str">
        <f>VLOOKUP(D290,epiunits!A$1:J$4000,7,FALSE)</f>
      </c>
      <c r="K290" s="1" t="str">
        <f>VLOOKUP(D290,epiunits!A$1:J$4000,8,FALSE)</f>
      </c>
      <c r="L290" s="1" t="str">
        <f>VLOOKUP(D290,epiunits!A$1:J$4000,9,FALSE)</f>
      </c>
      <c r="M290" s="1" t="str">
        <f>VLOOKUP(D290,epiunits!A$1:J$4000,10,FALSE)</f>
      </c>
      <c r="N290" s="1">
        <v>0</v>
      </c>
      <c r="O290" s="1">
        <v>0</v>
      </c>
      <c r="P290" s="1">
        <v>0</v>
      </c>
      <c r="Q290" s="1">
        <v>0</v>
      </c>
      <c r="R290" s="1">
        <v>0</v>
      </c>
      <c r="S290" s="1">
        <v>0</v>
      </c>
      <c r="T290" s="1">
        <v>0</v>
      </c>
      <c r="U290" s="1">
        <v>0</v>
      </c>
      <c r="V290" s="1">
        <v>0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  <c r="AB290" s="1">
        <v>0</v>
      </c>
      <c r="AC290" s="1">
        <v>0</v>
      </c>
      <c r="AD290" s="1">
        <v>0</v>
      </c>
      <c r="AE290" s="1">
        <v>0</v>
      </c>
      <c r="AF290" s="1">
        <v>0</v>
      </c>
      <c r="AG290" s="1">
        <v>0</v>
      </c>
      <c r="AH290" s="1">
        <v>0</v>
      </c>
      <c r="AI290" s="1">
        <v>0</v>
      </c>
      <c r="AJ290" s="1">
        <v>0</v>
      </c>
      <c r="AK290" s="1">
        <v>0</v>
      </c>
      <c r="AL290" s="1">
        <v>0</v>
      </c>
      <c r="AM290" s="1">
        <v>0</v>
      </c>
      <c r="AN290" s="1">
        <v>0</v>
      </c>
      <c r="AO290" s="1">
        <v>0</v>
      </c>
      <c r="AP290" s="1">
        <v>0</v>
      </c>
      <c r="AQ290" s="1">
        <v>0</v>
      </c>
      <c r="AR290" s="1">
        <v>0</v>
      </c>
      <c r="AS290" s="1">
        <v>0</v>
      </c>
    </row>
    <row r="291" spans="1:45">
      <c r="A291" s="1" t="str">
        <f>VLOOKUP(D291,epiunits!A$1:C$4000,2,FALSE)</f>
      </c>
      <c r="B291" s="1" t="str">
        <f>VLOOKUP(D291,epiunits!A$1:C$4000,3,FALSE)</f>
      </c>
      <c r="C291" s="1" t="str">
        <f>VLOOKUP(E291,Inspector!A$1:B$50,2,FALSE)</f>
      </c>
      <c r="I291" s="1" t="str">
        <f>VLOOKUP(D291,epiunits!A$1:J$4000,6,FALSE)</f>
      </c>
      <c r="J291" s="1" t="str">
        <f>VLOOKUP(D291,epiunits!A$1:J$4000,7,FALSE)</f>
      </c>
      <c r="K291" s="1" t="str">
        <f>VLOOKUP(D291,epiunits!A$1:J$4000,8,FALSE)</f>
      </c>
      <c r="L291" s="1" t="str">
        <f>VLOOKUP(D291,epiunits!A$1:J$4000,9,FALSE)</f>
      </c>
      <c r="M291" s="1" t="str">
        <f>VLOOKUP(D291,epiunits!A$1:J$4000,10,FALSE)</f>
      </c>
      <c r="N291" s="1">
        <v>0</v>
      </c>
      <c r="O291" s="1">
        <v>0</v>
      </c>
      <c r="P291" s="1">
        <v>0</v>
      </c>
      <c r="Q291" s="1">
        <v>0</v>
      </c>
      <c r="R291" s="1">
        <v>0</v>
      </c>
      <c r="S291" s="1">
        <v>0</v>
      </c>
      <c r="T291" s="1">
        <v>0</v>
      </c>
      <c r="U291" s="1">
        <v>0</v>
      </c>
      <c r="V291" s="1">
        <v>0</v>
      </c>
      <c r="W291" s="1">
        <v>0</v>
      </c>
      <c r="X291" s="1">
        <v>0</v>
      </c>
      <c r="Y291" s="1">
        <v>0</v>
      </c>
      <c r="Z291" s="1">
        <v>0</v>
      </c>
      <c r="AA291" s="1">
        <v>0</v>
      </c>
      <c r="AB291" s="1">
        <v>0</v>
      </c>
      <c r="AC291" s="1">
        <v>0</v>
      </c>
      <c r="AD291" s="1">
        <v>0</v>
      </c>
      <c r="AE291" s="1">
        <v>0</v>
      </c>
      <c r="AF291" s="1">
        <v>0</v>
      </c>
      <c r="AG291" s="1">
        <v>0</v>
      </c>
      <c r="AH291" s="1">
        <v>0</v>
      </c>
      <c r="AI291" s="1">
        <v>0</v>
      </c>
      <c r="AJ291" s="1">
        <v>0</v>
      </c>
      <c r="AK291" s="1">
        <v>0</v>
      </c>
      <c r="AL291" s="1">
        <v>0</v>
      </c>
      <c r="AM291" s="1">
        <v>0</v>
      </c>
      <c r="AN291" s="1">
        <v>0</v>
      </c>
      <c r="AO291" s="1">
        <v>0</v>
      </c>
      <c r="AP291" s="1">
        <v>0</v>
      </c>
      <c r="AQ291" s="1">
        <v>0</v>
      </c>
      <c r="AR291" s="1">
        <v>0</v>
      </c>
      <c r="AS291" s="1">
        <v>0</v>
      </c>
    </row>
    <row r="292" spans="1:45">
      <c r="A292" s="1" t="str">
        <f>VLOOKUP(D292,epiunits!A$1:C$4000,2,FALSE)</f>
      </c>
      <c r="B292" s="1" t="str">
        <f>VLOOKUP(D292,epiunits!A$1:C$4000,3,FALSE)</f>
      </c>
      <c r="C292" s="1" t="str">
        <f>VLOOKUP(E292,Inspector!A$1:B$50,2,FALSE)</f>
      </c>
      <c r="I292" s="1" t="str">
        <f>VLOOKUP(D292,epiunits!A$1:J$4000,6,FALSE)</f>
      </c>
      <c r="J292" s="1" t="str">
        <f>VLOOKUP(D292,epiunits!A$1:J$4000,7,FALSE)</f>
      </c>
      <c r="K292" s="1" t="str">
        <f>VLOOKUP(D292,epiunits!A$1:J$4000,8,FALSE)</f>
      </c>
      <c r="L292" s="1" t="str">
        <f>VLOOKUP(D292,epiunits!A$1:J$4000,9,FALSE)</f>
      </c>
      <c r="M292" s="1" t="str">
        <f>VLOOKUP(D292,epiunits!A$1:J$4000,10,FALSE)</f>
      </c>
      <c r="N292" s="1">
        <v>0</v>
      </c>
      <c r="O292" s="1">
        <v>0</v>
      </c>
      <c r="P292" s="1">
        <v>0</v>
      </c>
      <c r="Q292" s="1">
        <v>0</v>
      </c>
      <c r="R292" s="1">
        <v>0</v>
      </c>
      <c r="S292" s="1">
        <v>0</v>
      </c>
      <c r="T292" s="1">
        <v>0</v>
      </c>
      <c r="U292" s="1">
        <v>0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1">
        <v>0</v>
      </c>
      <c r="AC292" s="1">
        <v>0</v>
      </c>
      <c r="AD292" s="1">
        <v>0</v>
      </c>
      <c r="AE292" s="1">
        <v>0</v>
      </c>
      <c r="AF292" s="1">
        <v>0</v>
      </c>
      <c r="AG292" s="1">
        <v>0</v>
      </c>
      <c r="AH292" s="1">
        <v>0</v>
      </c>
      <c r="AI292" s="1">
        <v>0</v>
      </c>
      <c r="AJ292" s="1">
        <v>0</v>
      </c>
      <c r="AK292" s="1">
        <v>0</v>
      </c>
      <c r="AL292" s="1">
        <v>0</v>
      </c>
      <c r="AM292" s="1">
        <v>0</v>
      </c>
      <c r="AN292" s="1">
        <v>0</v>
      </c>
      <c r="AO292" s="1">
        <v>0</v>
      </c>
      <c r="AP292" s="1">
        <v>0</v>
      </c>
      <c r="AQ292" s="1">
        <v>0</v>
      </c>
      <c r="AR292" s="1">
        <v>0</v>
      </c>
      <c r="AS292" s="1">
        <v>0</v>
      </c>
    </row>
    <row r="293" spans="1:45">
      <c r="A293" s="1" t="str">
        <f>VLOOKUP(D293,epiunits!A$1:C$4000,2,FALSE)</f>
      </c>
      <c r="B293" s="1" t="str">
        <f>VLOOKUP(D293,epiunits!A$1:C$4000,3,FALSE)</f>
      </c>
      <c r="C293" s="1" t="str">
        <f>VLOOKUP(E293,Inspector!A$1:B$50,2,FALSE)</f>
      </c>
      <c r="I293" s="1" t="str">
        <f>VLOOKUP(D293,epiunits!A$1:J$4000,6,FALSE)</f>
      </c>
      <c r="J293" s="1" t="str">
        <f>VLOOKUP(D293,epiunits!A$1:J$4000,7,FALSE)</f>
      </c>
      <c r="K293" s="1" t="str">
        <f>VLOOKUP(D293,epiunits!A$1:J$4000,8,FALSE)</f>
      </c>
      <c r="L293" s="1" t="str">
        <f>VLOOKUP(D293,epiunits!A$1:J$4000,9,FALSE)</f>
      </c>
      <c r="M293" s="1" t="str">
        <f>VLOOKUP(D293,epiunits!A$1:J$4000,10,FALSE)</f>
      </c>
      <c r="N293" s="1">
        <v>0</v>
      </c>
      <c r="O293" s="1">
        <v>0</v>
      </c>
      <c r="P293" s="1">
        <v>0</v>
      </c>
      <c r="Q293" s="1">
        <v>0</v>
      </c>
      <c r="R293" s="1">
        <v>0</v>
      </c>
      <c r="S293" s="1">
        <v>0</v>
      </c>
      <c r="T293" s="1">
        <v>0</v>
      </c>
      <c r="U293" s="1">
        <v>0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1">
        <v>0</v>
      </c>
      <c r="AC293" s="1">
        <v>0</v>
      </c>
      <c r="AD293" s="1">
        <v>0</v>
      </c>
      <c r="AE293" s="1">
        <v>0</v>
      </c>
      <c r="AF293" s="1">
        <v>0</v>
      </c>
      <c r="AG293" s="1">
        <v>0</v>
      </c>
      <c r="AH293" s="1">
        <v>0</v>
      </c>
      <c r="AI293" s="1">
        <v>0</v>
      </c>
      <c r="AJ293" s="1">
        <v>0</v>
      </c>
      <c r="AK293" s="1">
        <v>0</v>
      </c>
      <c r="AL293" s="1">
        <v>0</v>
      </c>
      <c r="AM293" s="1">
        <v>0</v>
      </c>
      <c r="AN293" s="1">
        <v>0</v>
      </c>
      <c r="AO293" s="1">
        <v>0</v>
      </c>
      <c r="AP293" s="1">
        <v>0</v>
      </c>
      <c r="AQ293" s="1">
        <v>0</v>
      </c>
      <c r="AR293" s="1">
        <v>0</v>
      </c>
      <c r="AS293" s="1">
        <v>0</v>
      </c>
    </row>
    <row r="294" spans="1:45">
      <c r="A294" s="1" t="str">
        <f>VLOOKUP(D294,epiunits!A$1:C$4000,2,FALSE)</f>
      </c>
      <c r="B294" s="1" t="str">
        <f>VLOOKUP(D294,epiunits!A$1:C$4000,3,FALSE)</f>
      </c>
      <c r="C294" s="1" t="str">
        <f>VLOOKUP(E294,Inspector!A$1:B$50,2,FALSE)</f>
      </c>
      <c r="I294" s="1" t="str">
        <f>VLOOKUP(D294,epiunits!A$1:J$4000,6,FALSE)</f>
      </c>
      <c r="J294" s="1" t="str">
        <f>VLOOKUP(D294,epiunits!A$1:J$4000,7,FALSE)</f>
      </c>
      <c r="K294" s="1" t="str">
        <f>VLOOKUP(D294,epiunits!A$1:J$4000,8,FALSE)</f>
      </c>
      <c r="L294" s="1" t="str">
        <f>VLOOKUP(D294,epiunits!A$1:J$4000,9,FALSE)</f>
      </c>
      <c r="M294" s="1" t="str">
        <f>VLOOKUP(D294,epiunits!A$1:J$4000,10,FALSE)</f>
      </c>
      <c r="N294" s="1">
        <v>0</v>
      </c>
      <c r="O294" s="1">
        <v>0</v>
      </c>
      <c r="P294" s="1">
        <v>0</v>
      </c>
      <c r="Q294" s="1">
        <v>0</v>
      </c>
      <c r="R294" s="1">
        <v>0</v>
      </c>
      <c r="S294" s="1">
        <v>0</v>
      </c>
      <c r="T294" s="1">
        <v>0</v>
      </c>
      <c r="U294" s="1">
        <v>0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  <c r="AA294" s="1">
        <v>0</v>
      </c>
      <c r="AB294" s="1">
        <v>0</v>
      </c>
      <c r="AC294" s="1">
        <v>0</v>
      </c>
      <c r="AD294" s="1">
        <v>0</v>
      </c>
      <c r="AE294" s="1">
        <v>0</v>
      </c>
      <c r="AF294" s="1">
        <v>0</v>
      </c>
      <c r="AG294" s="1">
        <v>0</v>
      </c>
      <c r="AH294" s="1">
        <v>0</v>
      </c>
      <c r="AI294" s="1">
        <v>0</v>
      </c>
      <c r="AJ294" s="1">
        <v>0</v>
      </c>
      <c r="AK294" s="1">
        <v>0</v>
      </c>
      <c r="AL294" s="1">
        <v>0</v>
      </c>
      <c r="AM294" s="1">
        <v>0</v>
      </c>
      <c r="AN294" s="1">
        <v>0</v>
      </c>
      <c r="AO294" s="1">
        <v>0</v>
      </c>
      <c r="AP294" s="1">
        <v>0</v>
      </c>
      <c r="AQ294" s="1">
        <v>0</v>
      </c>
      <c r="AR294" s="1">
        <v>0</v>
      </c>
      <c r="AS294" s="1">
        <v>0</v>
      </c>
    </row>
    <row r="295" spans="1:45">
      <c r="A295" s="1" t="str">
        <f>VLOOKUP(D295,epiunits!A$1:C$4000,2,FALSE)</f>
      </c>
      <c r="B295" s="1" t="str">
        <f>VLOOKUP(D295,epiunits!A$1:C$4000,3,FALSE)</f>
      </c>
      <c r="C295" s="1" t="str">
        <f>VLOOKUP(E295,Inspector!A$1:B$50,2,FALSE)</f>
      </c>
      <c r="I295" s="1" t="str">
        <f>VLOOKUP(D295,epiunits!A$1:J$4000,6,FALSE)</f>
      </c>
      <c r="J295" s="1" t="str">
        <f>VLOOKUP(D295,epiunits!A$1:J$4000,7,FALSE)</f>
      </c>
      <c r="K295" s="1" t="str">
        <f>VLOOKUP(D295,epiunits!A$1:J$4000,8,FALSE)</f>
      </c>
      <c r="L295" s="1" t="str">
        <f>VLOOKUP(D295,epiunits!A$1:J$4000,9,FALSE)</f>
      </c>
      <c r="M295" s="1" t="str">
        <f>VLOOKUP(D295,epiunits!A$1:J$4000,10,FALSE)</f>
      </c>
      <c r="N295" s="1">
        <v>0</v>
      </c>
      <c r="O295" s="1">
        <v>0</v>
      </c>
      <c r="P295" s="1">
        <v>0</v>
      </c>
      <c r="Q295" s="1">
        <v>0</v>
      </c>
      <c r="R295" s="1">
        <v>0</v>
      </c>
      <c r="S295" s="1">
        <v>0</v>
      </c>
      <c r="T295" s="1">
        <v>0</v>
      </c>
      <c r="U295" s="1">
        <v>0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  <c r="AB295" s="1">
        <v>0</v>
      </c>
      <c r="AC295" s="1">
        <v>0</v>
      </c>
      <c r="AD295" s="1">
        <v>0</v>
      </c>
      <c r="AE295" s="1">
        <v>0</v>
      </c>
      <c r="AF295" s="1">
        <v>0</v>
      </c>
      <c r="AG295" s="1">
        <v>0</v>
      </c>
      <c r="AH295" s="1">
        <v>0</v>
      </c>
      <c r="AI295" s="1">
        <v>0</v>
      </c>
      <c r="AJ295" s="1">
        <v>0</v>
      </c>
      <c r="AK295" s="1">
        <v>0</v>
      </c>
      <c r="AL295" s="1">
        <v>0</v>
      </c>
      <c r="AM295" s="1">
        <v>0</v>
      </c>
      <c r="AN295" s="1">
        <v>0</v>
      </c>
      <c r="AO295" s="1">
        <v>0</v>
      </c>
      <c r="AP295" s="1">
        <v>0</v>
      </c>
      <c r="AQ295" s="1">
        <v>0</v>
      </c>
      <c r="AR295" s="1">
        <v>0</v>
      </c>
      <c r="AS295" s="1">
        <v>0</v>
      </c>
    </row>
    <row r="296" spans="1:45">
      <c r="A296" s="1" t="str">
        <f>VLOOKUP(D296,epiunits!A$1:C$4000,2,FALSE)</f>
      </c>
      <c r="B296" s="1" t="str">
        <f>VLOOKUP(D296,epiunits!A$1:C$4000,3,FALSE)</f>
      </c>
      <c r="C296" s="1" t="str">
        <f>VLOOKUP(E296,Inspector!A$1:B$50,2,FALSE)</f>
      </c>
      <c r="I296" s="1" t="str">
        <f>VLOOKUP(D296,epiunits!A$1:J$4000,6,FALSE)</f>
      </c>
      <c r="J296" s="1" t="str">
        <f>VLOOKUP(D296,epiunits!A$1:J$4000,7,FALSE)</f>
      </c>
      <c r="K296" s="1" t="str">
        <f>VLOOKUP(D296,epiunits!A$1:J$4000,8,FALSE)</f>
      </c>
      <c r="L296" s="1" t="str">
        <f>VLOOKUP(D296,epiunits!A$1:J$4000,9,FALSE)</f>
      </c>
      <c r="M296" s="1" t="str">
        <f>VLOOKUP(D296,epiunits!A$1:J$4000,10,FALSE)</f>
      </c>
      <c r="N296" s="1">
        <v>0</v>
      </c>
      <c r="O296" s="1">
        <v>0</v>
      </c>
      <c r="P296" s="1">
        <v>0</v>
      </c>
      <c r="Q296" s="1">
        <v>0</v>
      </c>
      <c r="R296" s="1">
        <v>0</v>
      </c>
      <c r="S296" s="1">
        <v>0</v>
      </c>
      <c r="T296" s="1">
        <v>0</v>
      </c>
      <c r="U296" s="1">
        <v>0</v>
      </c>
      <c r="V296" s="1">
        <v>0</v>
      </c>
      <c r="W296" s="1">
        <v>0</v>
      </c>
      <c r="X296" s="1">
        <v>0</v>
      </c>
      <c r="Y296" s="1">
        <v>0</v>
      </c>
      <c r="Z296" s="1">
        <v>0</v>
      </c>
      <c r="AA296" s="1">
        <v>0</v>
      </c>
      <c r="AB296" s="1">
        <v>0</v>
      </c>
      <c r="AC296" s="1">
        <v>0</v>
      </c>
      <c r="AD296" s="1">
        <v>0</v>
      </c>
      <c r="AE296" s="1">
        <v>0</v>
      </c>
      <c r="AF296" s="1">
        <v>0</v>
      </c>
      <c r="AG296" s="1">
        <v>0</v>
      </c>
      <c r="AH296" s="1">
        <v>0</v>
      </c>
      <c r="AI296" s="1">
        <v>0</v>
      </c>
      <c r="AJ296" s="1">
        <v>0</v>
      </c>
      <c r="AK296" s="1">
        <v>0</v>
      </c>
      <c r="AL296" s="1">
        <v>0</v>
      </c>
      <c r="AM296" s="1">
        <v>0</v>
      </c>
      <c r="AN296" s="1">
        <v>0</v>
      </c>
      <c r="AO296" s="1">
        <v>0</v>
      </c>
      <c r="AP296" s="1">
        <v>0</v>
      </c>
      <c r="AQ296" s="1">
        <v>0</v>
      </c>
      <c r="AR296" s="1">
        <v>0</v>
      </c>
      <c r="AS296" s="1">
        <v>0</v>
      </c>
    </row>
    <row r="297" spans="1:45">
      <c r="A297" s="1" t="str">
        <f>VLOOKUP(D297,epiunits!A$1:C$4000,2,FALSE)</f>
      </c>
      <c r="B297" s="1" t="str">
        <f>VLOOKUP(D297,epiunits!A$1:C$4000,3,FALSE)</f>
      </c>
      <c r="C297" s="1" t="str">
        <f>VLOOKUP(E297,Inspector!A$1:B$50,2,FALSE)</f>
      </c>
      <c r="I297" s="1" t="str">
        <f>VLOOKUP(D297,epiunits!A$1:J$4000,6,FALSE)</f>
      </c>
      <c r="J297" s="1" t="str">
        <f>VLOOKUP(D297,epiunits!A$1:J$4000,7,FALSE)</f>
      </c>
      <c r="K297" s="1" t="str">
        <f>VLOOKUP(D297,epiunits!A$1:J$4000,8,FALSE)</f>
      </c>
      <c r="L297" s="1" t="str">
        <f>VLOOKUP(D297,epiunits!A$1:J$4000,9,FALSE)</f>
      </c>
      <c r="M297" s="1" t="str">
        <f>VLOOKUP(D297,epiunits!A$1:J$4000,10,FALSE)</f>
      </c>
      <c r="N297" s="1">
        <v>0</v>
      </c>
      <c r="O297" s="1">
        <v>0</v>
      </c>
      <c r="P297" s="1">
        <v>0</v>
      </c>
      <c r="Q297" s="1">
        <v>0</v>
      </c>
      <c r="R297" s="1">
        <v>0</v>
      </c>
      <c r="S297" s="1">
        <v>0</v>
      </c>
      <c r="T297" s="1">
        <v>0</v>
      </c>
      <c r="U297" s="1">
        <v>0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A297" s="1">
        <v>0</v>
      </c>
      <c r="AB297" s="1">
        <v>0</v>
      </c>
      <c r="AC297" s="1">
        <v>0</v>
      </c>
      <c r="AD297" s="1">
        <v>0</v>
      </c>
      <c r="AE297" s="1">
        <v>0</v>
      </c>
      <c r="AF297" s="1">
        <v>0</v>
      </c>
      <c r="AG297" s="1">
        <v>0</v>
      </c>
      <c r="AH297" s="1">
        <v>0</v>
      </c>
      <c r="AI297" s="1">
        <v>0</v>
      </c>
      <c r="AJ297" s="1">
        <v>0</v>
      </c>
      <c r="AK297" s="1">
        <v>0</v>
      </c>
      <c r="AL297" s="1">
        <v>0</v>
      </c>
      <c r="AM297" s="1">
        <v>0</v>
      </c>
      <c r="AN297" s="1">
        <v>0</v>
      </c>
      <c r="AO297" s="1">
        <v>0</v>
      </c>
      <c r="AP297" s="1">
        <v>0</v>
      </c>
      <c r="AQ297" s="1">
        <v>0</v>
      </c>
      <c r="AR297" s="1">
        <v>0</v>
      </c>
      <c r="AS297" s="1">
        <v>0</v>
      </c>
    </row>
    <row r="298" spans="1:45">
      <c r="A298" s="1" t="str">
        <f>VLOOKUP(D298,epiunits!A$1:C$4000,2,FALSE)</f>
      </c>
      <c r="B298" s="1" t="str">
        <f>VLOOKUP(D298,epiunits!A$1:C$4000,3,FALSE)</f>
      </c>
      <c r="C298" s="1" t="str">
        <f>VLOOKUP(E298,Inspector!A$1:B$50,2,FALSE)</f>
      </c>
      <c r="I298" s="1" t="str">
        <f>VLOOKUP(D298,epiunits!A$1:J$4000,6,FALSE)</f>
      </c>
      <c r="J298" s="1" t="str">
        <f>VLOOKUP(D298,epiunits!A$1:J$4000,7,FALSE)</f>
      </c>
      <c r="K298" s="1" t="str">
        <f>VLOOKUP(D298,epiunits!A$1:J$4000,8,FALSE)</f>
      </c>
      <c r="L298" s="1" t="str">
        <f>VLOOKUP(D298,epiunits!A$1:J$4000,9,FALSE)</f>
      </c>
      <c r="M298" s="1" t="str">
        <f>VLOOKUP(D298,epiunits!A$1:J$4000,10,FALSE)</f>
      </c>
      <c r="N298" s="1">
        <v>0</v>
      </c>
      <c r="O298" s="1">
        <v>0</v>
      </c>
      <c r="P298" s="1">
        <v>0</v>
      </c>
      <c r="Q298" s="1">
        <v>0</v>
      </c>
      <c r="R298" s="1">
        <v>0</v>
      </c>
      <c r="S298" s="1">
        <v>0</v>
      </c>
      <c r="T298" s="1">
        <v>0</v>
      </c>
      <c r="U298" s="1">
        <v>0</v>
      </c>
      <c r="V298" s="1">
        <v>0</v>
      </c>
      <c r="W298" s="1">
        <v>0</v>
      </c>
      <c r="X298" s="1">
        <v>0</v>
      </c>
      <c r="Y298" s="1">
        <v>0</v>
      </c>
      <c r="Z298" s="1">
        <v>0</v>
      </c>
      <c r="AA298" s="1">
        <v>0</v>
      </c>
      <c r="AB298" s="1">
        <v>0</v>
      </c>
      <c r="AC298" s="1">
        <v>0</v>
      </c>
      <c r="AD298" s="1">
        <v>0</v>
      </c>
      <c r="AE298" s="1">
        <v>0</v>
      </c>
      <c r="AF298" s="1">
        <v>0</v>
      </c>
      <c r="AG298" s="1">
        <v>0</v>
      </c>
      <c r="AH298" s="1">
        <v>0</v>
      </c>
      <c r="AI298" s="1">
        <v>0</v>
      </c>
      <c r="AJ298" s="1">
        <v>0</v>
      </c>
      <c r="AK298" s="1">
        <v>0</v>
      </c>
      <c r="AL298" s="1">
        <v>0</v>
      </c>
      <c r="AM298" s="1">
        <v>0</v>
      </c>
      <c r="AN298" s="1">
        <v>0</v>
      </c>
      <c r="AO298" s="1">
        <v>0</v>
      </c>
      <c r="AP298" s="1">
        <v>0</v>
      </c>
      <c r="AQ298" s="1">
        <v>0</v>
      </c>
      <c r="AR298" s="1">
        <v>0</v>
      </c>
      <c r="AS298" s="1">
        <v>0</v>
      </c>
    </row>
    <row r="299" spans="1:45">
      <c r="A299" s="1" t="str">
        <f>VLOOKUP(D299,epiunits!A$1:C$4000,2,FALSE)</f>
      </c>
      <c r="B299" s="1" t="str">
        <f>VLOOKUP(D299,epiunits!A$1:C$4000,3,FALSE)</f>
      </c>
      <c r="C299" s="1" t="str">
        <f>VLOOKUP(E299,Inspector!A$1:B$50,2,FALSE)</f>
      </c>
      <c r="I299" s="1" t="str">
        <f>VLOOKUP(D299,epiunits!A$1:J$4000,6,FALSE)</f>
      </c>
      <c r="J299" s="1" t="str">
        <f>VLOOKUP(D299,epiunits!A$1:J$4000,7,FALSE)</f>
      </c>
      <c r="K299" s="1" t="str">
        <f>VLOOKUP(D299,epiunits!A$1:J$4000,8,FALSE)</f>
      </c>
      <c r="L299" s="1" t="str">
        <f>VLOOKUP(D299,epiunits!A$1:J$4000,9,FALSE)</f>
      </c>
      <c r="M299" s="1" t="str">
        <f>VLOOKUP(D299,epiunits!A$1:J$4000,10,FALSE)</f>
      </c>
      <c r="N299" s="1">
        <v>0</v>
      </c>
      <c r="O299" s="1">
        <v>0</v>
      </c>
      <c r="P299" s="1">
        <v>0</v>
      </c>
      <c r="Q299" s="1">
        <v>0</v>
      </c>
      <c r="R299" s="1">
        <v>0</v>
      </c>
      <c r="S299" s="1">
        <v>0</v>
      </c>
      <c r="T299" s="1">
        <v>0</v>
      </c>
      <c r="U299" s="1">
        <v>0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1">
        <v>0</v>
      </c>
      <c r="AC299" s="1">
        <v>0</v>
      </c>
      <c r="AD299" s="1">
        <v>0</v>
      </c>
      <c r="AE299" s="1">
        <v>0</v>
      </c>
      <c r="AF299" s="1">
        <v>0</v>
      </c>
      <c r="AG299" s="1">
        <v>0</v>
      </c>
      <c r="AH299" s="1">
        <v>0</v>
      </c>
      <c r="AI299" s="1">
        <v>0</v>
      </c>
      <c r="AJ299" s="1">
        <v>0</v>
      </c>
      <c r="AK299" s="1">
        <v>0</v>
      </c>
      <c r="AL299" s="1">
        <v>0</v>
      </c>
      <c r="AM299" s="1">
        <v>0</v>
      </c>
      <c r="AN299" s="1">
        <v>0</v>
      </c>
      <c r="AO299" s="1">
        <v>0</v>
      </c>
      <c r="AP299" s="1">
        <v>0</v>
      </c>
      <c r="AQ299" s="1">
        <v>0</v>
      </c>
      <c r="AR299" s="1">
        <v>0</v>
      </c>
      <c r="AS299" s="1">
        <v>0</v>
      </c>
    </row>
    <row r="300" spans="1:45">
      <c r="A300" s="1" t="str">
        <f>VLOOKUP(D300,epiunits!A$1:C$4000,2,FALSE)</f>
      </c>
      <c r="B300" s="1" t="str">
        <f>VLOOKUP(D300,epiunits!A$1:C$4000,3,FALSE)</f>
      </c>
      <c r="C300" s="1" t="str">
        <f>VLOOKUP(E300,Inspector!A$1:B$50,2,FALSE)</f>
      </c>
      <c r="I300" s="1" t="str">
        <f>VLOOKUP(D300,epiunits!A$1:J$4000,6,FALSE)</f>
      </c>
      <c r="J300" s="1" t="str">
        <f>VLOOKUP(D300,epiunits!A$1:J$4000,7,FALSE)</f>
      </c>
      <c r="K300" s="1" t="str">
        <f>VLOOKUP(D300,epiunits!A$1:J$4000,8,FALSE)</f>
      </c>
      <c r="L300" s="1" t="str">
        <f>VLOOKUP(D300,epiunits!A$1:J$4000,9,FALSE)</f>
      </c>
      <c r="M300" s="1" t="str">
        <f>VLOOKUP(D300,epiunits!A$1:J$4000,10,FALSE)</f>
      </c>
      <c r="N300" s="1">
        <v>0</v>
      </c>
      <c r="O300" s="1">
        <v>0</v>
      </c>
      <c r="P300" s="1">
        <v>0</v>
      </c>
      <c r="Q300" s="1">
        <v>0</v>
      </c>
      <c r="R300" s="1">
        <v>0</v>
      </c>
      <c r="S300" s="1">
        <v>0</v>
      </c>
      <c r="T300" s="1">
        <v>0</v>
      </c>
      <c r="U300" s="1">
        <v>0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  <c r="AB300" s="1">
        <v>0</v>
      </c>
      <c r="AC300" s="1">
        <v>0</v>
      </c>
      <c r="AD300" s="1">
        <v>0</v>
      </c>
      <c r="AE300" s="1">
        <v>0</v>
      </c>
      <c r="AF300" s="1">
        <v>0</v>
      </c>
      <c r="AG300" s="1">
        <v>0</v>
      </c>
      <c r="AH300" s="1">
        <v>0</v>
      </c>
      <c r="AI300" s="1">
        <v>0</v>
      </c>
      <c r="AJ300" s="1">
        <v>0</v>
      </c>
      <c r="AK300" s="1">
        <v>0</v>
      </c>
      <c r="AL300" s="1">
        <v>0</v>
      </c>
      <c r="AM300" s="1">
        <v>0</v>
      </c>
      <c r="AN300" s="1">
        <v>0</v>
      </c>
      <c r="AO300" s="1">
        <v>0</v>
      </c>
      <c r="AP300" s="1">
        <v>0</v>
      </c>
      <c r="AQ300" s="1">
        <v>0</v>
      </c>
      <c r="AR300" s="1">
        <v>0</v>
      </c>
      <c r="AS300" s="1">
        <v>0</v>
      </c>
    </row>
    <row r="301" spans="1:45">
      <c r="A301" s="1" t="str">
        <f>VLOOKUP(D301,epiunits!A$1:C$4000,2,FALSE)</f>
      </c>
      <c r="B301" s="1" t="str">
        <f>VLOOKUP(D301,epiunits!A$1:C$4000,3,FALSE)</f>
      </c>
      <c r="C301" s="1" t="str">
        <f>VLOOKUP(E301,Inspector!A$1:B$50,2,FALSE)</f>
      </c>
      <c r="I301" s="1" t="str">
        <f>VLOOKUP(D301,epiunits!A$1:J$4000,6,FALSE)</f>
      </c>
      <c r="J301" s="1" t="str">
        <f>VLOOKUP(D301,epiunits!A$1:J$4000,7,FALSE)</f>
      </c>
      <c r="K301" s="1" t="str">
        <f>VLOOKUP(D301,epiunits!A$1:J$4000,8,FALSE)</f>
      </c>
      <c r="L301" s="1" t="str">
        <f>VLOOKUP(D301,epiunits!A$1:J$4000,9,FALSE)</f>
      </c>
      <c r="M301" s="1" t="str">
        <f>VLOOKUP(D301,epiunits!A$1:J$4000,10,FALSE)</f>
      </c>
      <c r="N301" s="1">
        <v>0</v>
      </c>
      <c r="O301" s="1">
        <v>0</v>
      </c>
      <c r="P301" s="1">
        <v>0</v>
      </c>
      <c r="Q301" s="1">
        <v>0</v>
      </c>
      <c r="R301" s="1">
        <v>0</v>
      </c>
      <c r="S301" s="1">
        <v>0</v>
      </c>
      <c r="T301" s="1">
        <v>0</v>
      </c>
      <c r="U301" s="1">
        <v>0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1">
        <v>0</v>
      </c>
      <c r="AC301" s="1">
        <v>0</v>
      </c>
      <c r="AD301" s="1">
        <v>0</v>
      </c>
      <c r="AE301" s="1">
        <v>0</v>
      </c>
      <c r="AF301" s="1">
        <v>0</v>
      </c>
      <c r="AG301" s="1">
        <v>0</v>
      </c>
      <c r="AH301" s="1">
        <v>0</v>
      </c>
      <c r="AI301" s="1">
        <v>0</v>
      </c>
      <c r="AJ301" s="1">
        <v>0</v>
      </c>
      <c r="AK301" s="1">
        <v>0</v>
      </c>
      <c r="AL301" s="1">
        <v>0</v>
      </c>
      <c r="AM301" s="1">
        <v>0</v>
      </c>
      <c r="AN301" s="1">
        <v>0</v>
      </c>
      <c r="AO301" s="1">
        <v>0</v>
      </c>
      <c r="AP301" s="1">
        <v>0</v>
      </c>
      <c r="AQ301" s="1">
        <v>0</v>
      </c>
      <c r="AR301" s="1">
        <v>0</v>
      </c>
      <c r="AS301" s="1">
        <v>0</v>
      </c>
    </row>
    <row r="302" spans="1:45">
      <c r="A302" s="1" t="str">
        <f>VLOOKUP(D302,epiunits!A$1:C$4000,2,FALSE)</f>
      </c>
      <c r="B302" s="1" t="str">
        <f>VLOOKUP(D302,epiunits!A$1:C$4000,3,FALSE)</f>
      </c>
      <c r="C302" s="1" t="str">
        <f>VLOOKUP(E302,Inspector!A$1:B$50,2,FALSE)</f>
      </c>
      <c r="I302" s="1" t="str">
        <f>VLOOKUP(D302,epiunits!A$1:J$4000,6,FALSE)</f>
      </c>
      <c r="J302" s="1" t="str">
        <f>VLOOKUP(D302,epiunits!A$1:J$4000,7,FALSE)</f>
      </c>
      <c r="K302" s="1" t="str">
        <f>VLOOKUP(D302,epiunits!A$1:J$4000,8,FALSE)</f>
      </c>
      <c r="L302" s="1" t="str">
        <f>VLOOKUP(D302,epiunits!A$1:J$4000,9,FALSE)</f>
      </c>
      <c r="M302" s="1" t="str">
        <f>VLOOKUP(D302,epiunits!A$1:J$4000,10,FALSE)</f>
      </c>
      <c r="N302" s="1">
        <v>0</v>
      </c>
      <c r="O302" s="1">
        <v>0</v>
      </c>
      <c r="P302" s="1">
        <v>0</v>
      </c>
      <c r="Q302" s="1">
        <v>0</v>
      </c>
      <c r="R302" s="1">
        <v>0</v>
      </c>
      <c r="S302" s="1">
        <v>0</v>
      </c>
      <c r="T302" s="1">
        <v>0</v>
      </c>
      <c r="U302" s="1">
        <v>0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  <c r="AB302" s="1">
        <v>0</v>
      </c>
      <c r="AC302" s="1">
        <v>0</v>
      </c>
      <c r="AD302" s="1">
        <v>0</v>
      </c>
      <c r="AE302" s="1">
        <v>0</v>
      </c>
      <c r="AF302" s="1">
        <v>0</v>
      </c>
      <c r="AG302" s="1">
        <v>0</v>
      </c>
      <c r="AH302" s="1">
        <v>0</v>
      </c>
      <c r="AI302" s="1">
        <v>0</v>
      </c>
      <c r="AJ302" s="1">
        <v>0</v>
      </c>
      <c r="AK302" s="1">
        <v>0</v>
      </c>
      <c r="AL302" s="1">
        <v>0</v>
      </c>
      <c r="AM302" s="1">
        <v>0</v>
      </c>
      <c r="AN302" s="1">
        <v>0</v>
      </c>
      <c r="AO302" s="1">
        <v>0</v>
      </c>
      <c r="AP302" s="1">
        <v>0</v>
      </c>
      <c r="AQ302" s="1">
        <v>0</v>
      </c>
      <c r="AR302" s="1">
        <v>0</v>
      </c>
      <c r="AS302" s="1">
        <v>0</v>
      </c>
    </row>
    <row r="303" spans="1:45">
      <c r="A303" s="1" t="str">
        <f>VLOOKUP(D303,epiunits!A$1:C$4000,2,FALSE)</f>
      </c>
      <c r="B303" s="1" t="str">
        <f>VLOOKUP(D303,epiunits!A$1:C$4000,3,FALSE)</f>
      </c>
      <c r="C303" s="1" t="str">
        <f>VLOOKUP(E303,Inspector!A$1:B$50,2,FALSE)</f>
      </c>
      <c r="I303" s="1" t="str">
        <f>VLOOKUP(D303,epiunits!A$1:J$4000,6,FALSE)</f>
      </c>
      <c r="J303" s="1" t="str">
        <f>VLOOKUP(D303,epiunits!A$1:J$4000,7,FALSE)</f>
      </c>
      <c r="K303" s="1" t="str">
        <f>VLOOKUP(D303,epiunits!A$1:J$4000,8,FALSE)</f>
      </c>
      <c r="L303" s="1" t="str">
        <f>VLOOKUP(D303,epiunits!A$1:J$4000,9,FALSE)</f>
      </c>
      <c r="M303" s="1" t="str">
        <f>VLOOKUP(D303,epiunits!A$1:J$4000,10,FALSE)</f>
      </c>
      <c r="N303" s="1">
        <v>0</v>
      </c>
      <c r="O303" s="1">
        <v>0</v>
      </c>
      <c r="P303" s="1">
        <v>0</v>
      </c>
      <c r="Q303" s="1">
        <v>0</v>
      </c>
      <c r="R303" s="1">
        <v>0</v>
      </c>
      <c r="S303" s="1">
        <v>0</v>
      </c>
      <c r="T303" s="1">
        <v>0</v>
      </c>
      <c r="U303" s="1">
        <v>0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0</v>
      </c>
      <c r="AB303" s="1">
        <v>0</v>
      </c>
      <c r="AC303" s="1">
        <v>0</v>
      </c>
      <c r="AD303" s="1">
        <v>0</v>
      </c>
      <c r="AE303" s="1">
        <v>0</v>
      </c>
      <c r="AF303" s="1">
        <v>0</v>
      </c>
      <c r="AG303" s="1">
        <v>0</v>
      </c>
      <c r="AH303" s="1">
        <v>0</v>
      </c>
      <c r="AI303" s="1">
        <v>0</v>
      </c>
      <c r="AJ303" s="1">
        <v>0</v>
      </c>
      <c r="AK303" s="1">
        <v>0</v>
      </c>
      <c r="AL303" s="1">
        <v>0</v>
      </c>
      <c r="AM303" s="1">
        <v>0</v>
      </c>
      <c r="AN303" s="1">
        <v>0</v>
      </c>
      <c r="AO303" s="1">
        <v>0</v>
      </c>
      <c r="AP303" s="1">
        <v>0</v>
      </c>
      <c r="AQ303" s="1">
        <v>0</v>
      </c>
      <c r="AR303" s="1">
        <v>0</v>
      </c>
      <c r="AS303" s="1">
        <v>0</v>
      </c>
    </row>
    <row r="304" spans="1:45">
      <c r="A304" s="1" t="str">
        <f>VLOOKUP(D304,epiunits!A$1:C$4000,2,FALSE)</f>
      </c>
      <c r="B304" s="1" t="str">
        <f>VLOOKUP(D304,epiunits!A$1:C$4000,3,FALSE)</f>
      </c>
      <c r="C304" s="1" t="str">
        <f>VLOOKUP(E304,Inspector!A$1:B$50,2,FALSE)</f>
      </c>
      <c r="I304" s="1" t="str">
        <f>VLOOKUP(D304,epiunits!A$1:J$4000,6,FALSE)</f>
      </c>
      <c r="J304" s="1" t="str">
        <f>VLOOKUP(D304,epiunits!A$1:J$4000,7,FALSE)</f>
      </c>
      <c r="K304" s="1" t="str">
        <f>VLOOKUP(D304,epiunits!A$1:J$4000,8,FALSE)</f>
      </c>
      <c r="L304" s="1" t="str">
        <f>VLOOKUP(D304,epiunits!A$1:J$4000,9,FALSE)</f>
      </c>
      <c r="M304" s="1" t="str">
        <f>VLOOKUP(D304,epiunits!A$1:J$4000,10,FALSE)</f>
      </c>
      <c r="N304" s="1">
        <v>0</v>
      </c>
      <c r="O304" s="1">
        <v>0</v>
      </c>
      <c r="P304" s="1">
        <v>0</v>
      </c>
      <c r="Q304" s="1">
        <v>0</v>
      </c>
      <c r="R304" s="1">
        <v>0</v>
      </c>
      <c r="S304" s="1">
        <v>0</v>
      </c>
      <c r="T304" s="1">
        <v>0</v>
      </c>
      <c r="U304" s="1">
        <v>0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  <c r="AB304" s="1">
        <v>0</v>
      </c>
      <c r="AC304" s="1">
        <v>0</v>
      </c>
      <c r="AD304" s="1">
        <v>0</v>
      </c>
      <c r="AE304" s="1">
        <v>0</v>
      </c>
      <c r="AF304" s="1">
        <v>0</v>
      </c>
      <c r="AG304" s="1">
        <v>0</v>
      </c>
      <c r="AH304" s="1">
        <v>0</v>
      </c>
      <c r="AI304" s="1">
        <v>0</v>
      </c>
      <c r="AJ304" s="1">
        <v>0</v>
      </c>
      <c r="AK304" s="1">
        <v>0</v>
      </c>
      <c r="AL304" s="1">
        <v>0</v>
      </c>
      <c r="AM304" s="1">
        <v>0</v>
      </c>
      <c r="AN304" s="1">
        <v>0</v>
      </c>
      <c r="AO304" s="1">
        <v>0</v>
      </c>
      <c r="AP304" s="1">
        <v>0</v>
      </c>
      <c r="AQ304" s="1">
        <v>0</v>
      </c>
      <c r="AR304" s="1">
        <v>0</v>
      </c>
      <c r="AS304" s="1">
        <v>0</v>
      </c>
    </row>
    <row r="305" spans="1:45">
      <c r="A305" s="1" t="str">
        <f>VLOOKUP(D305,epiunits!A$1:C$4000,2,FALSE)</f>
      </c>
      <c r="B305" s="1" t="str">
        <f>VLOOKUP(D305,epiunits!A$1:C$4000,3,FALSE)</f>
      </c>
      <c r="C305" s="1" t="str">
        <f>VLOOKUP(E305,Inspector!A$1:B$50,2,FALSE)</f>
      </c>
      <c r="I305" s="1" t="str">
        <f>VLOOKUP(D305,epiunits!A$1:J$4000,6,FALSE)</f>
      </c>
      <c r="J305" s="1" t="str">
        <f>VLOOKUP(D305,epiunits!A$1:J$4000,7,FALSE)</f>
      </c>
      <c r="K305" s="1" t="str">
        <f>VLOOKUP(D305,epiunits!A$1:J$4000,8,FALSE)</f>
      </c>
      <c r="L305" s="1" t="str">
        <f>VLOOKUP(D305,epiunits!A$1:J$4000,9,FALSE)</f>
      </c>
      <c r="M305" s="1" t="str">
        <f>VLOOKUP(D305,epiunits!A$1:J$4000,10,FALSE)</f>
      </c>
      <c r="N305" s="1">
        <v>0</v>
      </c>
      <c r="O305" s="1">
        <v>0</v>
      </c>
      <c r="P305" s="1">
        <v>0</v>
      </c>
      <c r="Q305" s="1">
        <v>0</v>
      </c>
      <c r="R305" s="1">
        <v>0</v>
      </c>
      <c r="S305" s="1">
        <v>0</v>
      </c>
      <c r="T305" s="1">
        <v>0</v>
      </c>
      <c r="U305" s="1">
        <v>0</v>
      </c>
      <c r="V305" s="1">
        <v>0</v>
      </c>
      <c r="W305" s="1">
        <v>0</v>
      </c>
      <c r="X305" s="1">
        <v>0</v>
      </c>
      <c r="Y305" s="1">
        <v>0</v>
      </c>
      <c r="Z305" s="1">
        <v>0</v>
      </c>
      <c r="AA305" s="1">
        <v>0</v>
      </c>
      <c r="AB305" s="1">
        <v>0</v>
      </c>
      <c r="AC305" s="1">
        <v>0</v>
      </c>
      <c r="AD305" s="1">
        <v>0</v>
      </c>
      <c r="AE305" s="1">
        <v>0</v>
      </c>
      <c r="AF305" s="1">
        <v>0</v>
      </c>
      <c r="AG305" s="1">
        <v>0</v>
      </c>
      <c r="AH305" s="1">
        <v>0</v>
      </c>
      <c r="AI305" s="1">
        <v>0</v>
      </c>
      <c r="AJ305" s="1">
        <v>0</v>
      </c>
      <c r="AK305" s="1">
        <v>0</v>
      </c>
      <c r="AL305" s="1">
        <v>0</v>
      </c>
      <c r="AM305" s="1">
        <v>0</v>
      </c>
      <c r="AN305" s="1">
        <v>0</v>
      </c>
      <c r="AO305" s="1">
        <v>0</v>
      </c>
      <c r="AP305" s="1">
        <v>0</v>
      </c>
      <c r="AQ305" s="1">
        <v>0</v>
      </c>
      <c r="AR305" s="1">
        <v>0</v>
      </c>
      <c r="AS305" s="1">
        <v>0</v>
      </c>
    </row>
    <row r="306" spans="1:45">
      <c r="A306" s="1" t="str">
        <f>VLOOKUP(D306,epiunits!A$1:C$4000,2,FALSE)</f>
      </c>
      <c r="B306" s="1" t="str">
        <f>VLOOKUP(D306,epiunits!A$1:C$4000,3,FALSE)</f>
      </c>
      <c r="C306" s="1" t="str">
        <f>VLOOKUP(E306,Inspector!A$1:B$50,2,FALSE)</f>
      </c>
      <c r="I306" s="1" t="str">
        <f>VLOOKUP(D306,epiunits!A$1:J$4000,6,FALSE)</f>
      </c>
      <c r="J306" s="1" t="str">
        <f>VLOOKUP(D306,epiunits!A$1:J$4000,7,FALSE)</f>
      </c>
      <c r="K306" s="1" t="str">
        <f>VLOOKUP(D306,epiunits!A$1:J$4000,8,FALSE)</f>
      </c>
      <c r="L306" s="1" t="str">
        <f>VLOOKUP(D306,epiunits!A$1:J$4000,9,FALSE)</f>
      </c>
      <c r="M306" s="1" t="str">
        <f>VLOOKUP(D306,epiunits!A$1:J$4000,10,FALSE)</f>
      </c>
      <c r="N306" s="1">
        <v>0</v>
      </c>
      <c r="O306" s="1">
        <v>0</v>
      </c>
      <c r="P306" s="1">
        <v>0</v>
      </c>
      <c r="Q306" s="1">
        <v>0</v>
      </c>
      <c r="R306" s="1">
        <v>0</v>
      </c>
      <c r="S306" s="1">
        <v>0</v>
      </c>
      <c r="T306" s="1">
        <v>0</v>
      </c>
      <c r="U306" s="1">
        <v>0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  <c r="AA306" s="1">
        <v>0</v>
      </c>
      <c r="AB306" s="1">
        <v>0</v>
      </c>
      <c r="AC306" s="1">
        <v>0</v>
      </c>
      <c r="AD306" s="1">
        <v>0</v>
      </c>
      <c r="AE306" s="1">
        <v>0</v>
      </c>
      <c r="AF306" s="1">
        <v>0</v>
      </c>
      <c r="AG306" s="1">
        <v>0</v>
      </c>
      <c r="AH306" s="1">
        <v>0</v>
      </c>
      <c r="AI306" s="1">
        <v>0</v>
      </c>
      <c r="AJ306" s="1">
        <v>0</v>
      </c>
      <c r="AK306" s="1">
        <v>0</v>
      </c>
      <c r="AL306" s="1">
        <v>0</v>
      </c>
      <c r="AM306" s="1">
        <v>0</v>
      </c>
      <c r="AN306" s="1">
        <v>0</v>
      </c>
      <c r="AO306" s="1">
        <v>0</v>
      </c>
      <c r="AP306" s="1">
        <v>0</v>
      </c>
      <c r="AQ306" s="1">
        <v>0</v>
      </c>
      <c r="AR306" s="1">
        <v>0</v>
      </c>
      <c r="AS306" s="1">
        <v>0</v>
      </c>
    </row>
    <row r="307" spans="1:45">
      <c r="A307" s="1" t="str">
        <f>VLOOKUP(D307,epiunits!A$1:C$4000,2,FALSE)</f>
      </c>
      <c r="B307" s="1" t="str">
        <f>VLOOKUP(D307,epiunits!A$1:C$4000,3,FALSE)</f>
      </c>
      <c r="C307" s="1" t="str">
        <f>VLOOKUP(E307,Inspector!A$1:B$50,2,FALSE)</f>
      </c>
      <c r="I307" s="1" t="str">
        <f>VLOOKUP(D307,epiunits!A$1:J$4000,6,FALSE)</f>
      </c>
      <c r="J307" s="1" t="str">
        <f>VLOOKUP(D307,epiunits!A$1:J$4000,7,FALSE)</f>
      </c>
      <c r="K307" s="1" t="str">
        <f>VLOOKUP(D307,epiunits!A$1:J$4000,8,FALSE)</f>
      </c>
      <c r="L307" s="1" t="str">
        <f>VLOOKUP(D307,epiunits!A$1:J$4000,9,FALSE)</f>
      </c>
      <c r="M307" s="1" t="str">
        <f>VLOOKUP(D307,epiunits!A$1:J$4000,10,FALSE)</f>
      </c>
      <c r="N307" s="1">
        <v>0</v>
      </c>
      <c r="O307" s="1">
        <v>0</v>
      </c>
      <c r="P307" s="1">
        <v>0</v>
      </c>
      <c r="Q307" s="1">
        <v>0</v>
      </c>
      <c r="R307" s="1">
        <v>0</v>
      </c>
      <c r="S307" s="1">
        <v>0</v>
      </c>
      <c r="T307" s="1">
        <v>0</v>
      </c>
      <c r="U307" s="1">
        <v>0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  <c r="AB307" s="1">
        <v>0</v>
      </c>
      <c r="AC307" s="1">
        <v>0</v>
      </c>
      <c r="AD307" s="1">
        <v>0</v>
      </c>
      <c r="AE307" s="1">
        <v>0</v>
      </c>
      <c r="AF307" s="1">
        <v>0</v>
      </c>
      <c r="AG307" s="1">
        <v>0</v>
      </c>
      <c r="AH307" s="1">
        <v>0</v>
      </c>
      <c r="AI307" s="1">
        <v>0</v>
      </c>
      <c r="AJ307" s="1">
        <v>0</v>
      </c>
      <c r="AK307" s="1">
        <v>0</v>
      </c>
      <c r="AL307" s="1">
        <v>0</v>
      </c>
      <c r="AM307" s="1">
        <v>0</v>
      </c>
      <c r="AN307" s="1">
        <v>0</v>
      </c>
      <c r="AO307" s="1">
        <v>0</v>
      </c>
      <c r="AP307" s="1">
        <v>0</v>
      </c>
      <c r="AQ307" s="1">
        <v>0</v>
      </c>
      <c r="AR307" s="1">
        <v>0</v>
      </c>
      <c r="AS307" s="1">
        <v>0</v>
      </c>
    </row>
    <row r="308" spans="1:45">
      <c r="A308" s="1" t="str">
        <f>VLOOKUP(D308,epiunits!A$1:C$4000,2,FALSE)</f>
      </c>
      <c r="B308" s="1" t="str">
        <f>VLOOKUP(D308,epiunits!A$1:C$4000,3,FALSE)</f>
      </c>
      <c r="C308" s="1" t="str">
        <f>VLOOKUP(E308,Inspector!A$1:B$50,2,FALSE)</f>
      </c>
      <c r="I308" s="1" t="str">
        <f>VLOOKUP(D308,epiunits!A$1:J$4000,6,FALSE)</f>
      </c>
      <c r="J308" s="1" t="str">
        <f>VLOOKUP(D308,epiunits!A$1:J$4000,7,FALSE)</f>
      </c>
      <c r="K308" s="1" t="str">
        <f>VLOOKUP(D308,epiunits!A$1:J$4000,8,FALSE)</f>
      </c>
      <c r="L308" s="1" t="str">
        <f>VLOOKUP(D308,epiunits!A$1:J$4000,9,FALSE)</f>
      </c>
      <c r="M308" s="1" t="str">
        <f>VLOOKUP(D308,epiunits!A$1:J$4000,10,FALSE)</f>
      </c>
      <c r="N308" s="1">
        <v>0</v>
      </c>
      <c r="O308" s="1">
        <v>0</v>
      </c>
      <c r="P308" s="1">
        <v>0</v>
      </c>
      <c r="Q308" s="1">
        <v>0</v>
      </c>
      <c r="R308" s="1">
        <v>0</v>
      </c>
      <c r="S308" s="1">
        <v>0</v>
      </c>
      <c r="T308" s="1">
        <v>0</v>
      </c>
      <c r="U308" s="1">
        <v>0</v>
      </c>
      <c r="V308" s="1">
        <v>0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  <c r="AB308" s="1">
        <v>0</v>
      </c>
      <c r="AC308" s="1">
        <v>0</v>
      </c>
      <c r="AD308" s="1">
        <v>0</v>
      </c>
      <c r="AE308" s="1">
        <v>0</v>
      </c>
      <c r="AF308" s="1">
        <v>0</v>
      </c>
      <c r="AG308" s="1">
        <v>0</v>
      </c>
      <c r="AH308" s="1">
        <v>0</v>
      </c>
      <c r="AI308" s="1">
        <v>0</v>
      </c>
      <c r="AJ308" s="1">
        <v>0</v>
      </c>
      <c r="AK308" s="1">
        <v>0</v>
      </c>
      <c r="AL308" s="1">
        <v>0</v>
      </c>
      <c r="AM308" s="1">
        <v>0</v>
      </c>
      <c r="AN308" s="1">
        <v>0</v>
      </c>
      <c r="AO308" s="1">
        <v>0</v>
      </c>
      <c r="AP308" s="1">
        <v>0</v>
      </c>
      <c r="AQ308" s="1">
        <v>0</v>
      </c>
      <c r="AR308" s="1">
        <v>0</v>
      </c>
      <c r="AS308" s="1">
        <v>0</v>
      </c>
    </row>
    <row r="309" spans="1:45">
      <c r="A309" s="1" t="str">
        <f>VLOOKUP(D309,epiunits!A$1:C$4000,2,FALSE)</f>
      </c>
      <c r="B309" s="1" t="str">
        <f>VLOOKUP(D309,epiunits!A$1:C$4000,3,FALSE)</f>
      </c>
      <c r="C309" s="1" t="str">
        <f>VLOOKUP(E309,Inspector!A$1:B$50,2,FALSE)</f>
      </c>
      <c r="I309" s="1" t="str">
        <f>VLOOKUP(D309,epiunits!A$1:J$4000,6,FALSE)</f>
      </c>
      <c r="J309" s="1" t="str">
        <f>VLOOKUP(D309,epiunits!A$1:J$4000,7,FALSE)</f>
      </c>
      <c r="K309" s="1" t="str">
        <f>VLOOKUP(D309,epiunits!A$1:J$4000,8,FALSE)</f>
      </c>
      <c r="L309" s="1" t="str">
        <f>VLOOKUP(D309,epiunits!A$1:J$4000,9,FALSE)</f>
      </c>
      <c r="M309" s="1" t="str">
        <f>VLOOKUP(D309,epiunits!A$1:J$4000,10,FALSE)</f>
      </c>
      <c r="N309" s="1">
        <v>0</v>
      </c>
      <c r="O309" s="1">
        <v>0</v>
      </c>
      <c r="P309" s="1">
        <v>0</v>
      </c>
      <c r="Q309" s="1">
        <v>0</v>
      </c>
      <c r="R309" s="1">
        <v>0</v>
      </c>
      <c r="S309" s="1">
        <v>0</v>
      </c>
      <c r="T309" s="1">
        <v>0</v>
      </c>
      <c r="U309" s="1">
        <v>0</v>
      </c>
      <c r="V309" s="1">
        <v>0</v>
      </c>
      <c r="W309" s="1">
        <v>0</v>
      </c>
      <c r="X309" s="1">
        <v>0</v>
      </c>
      <c r="Y309" s="1">
        <v>0</v>
      </c>
      <c r="Z309" s="1">
        <v>0</v>
      </c>
      <c r="AA309" s="1">
        <v>0</v>
      </c>
      <c r="AB309" s="1">
        <v>0</v>
      </c>
      <c r="AC309" s="1">
        <v>0</v>
      </c>
      <c r="AD309" s="1">
        <v>0</v>
      </c>
      <c r="AE309" s="1">
        <v>0</v>
      </c>
      <c r="AF309" s="1">
        <v>0</v>
      </c>
      <c r="AG309" s="1">
        <v>0</v>
      </c>
      <c r="AH309" s="1">
        <v>0</v>
      </c>
      <c r="AI309" s="1">
        <v>0</v>
      </c>
      <c r="AJ309" s="1">
        <v>0</v>
      </c>
      <c r="AK309" s="1">
        <v>0</v>
      </c>
      <c r="AL309" s="1">
        <v>0</v>
      </c>
      <c r="AM309" s="1">
        <v>0</v>
      </c>
      <c r="AN309" s="1">
        <v>0</v>
      </c>
      <c r="AO309" s="1">
        <v>0</v>
      </c>
      <c r="AP309" s="1">
        <v>0</v>
      </c>
      <c r="AQ309" s="1">
        <v>0</v>
      </c>
      <c r="AR309" s="1">
        <v>0</v>
      </c>
      <c r="AS309" s="1">
        <v>0</v>
      </c>
    </row>
    <row r="310" spans="1:45">
      <c r="A310" s="1" t="str">
        <f>VLOOKUP(D310,epiunits!A$1:C$4000,2,FALSE)</f>
      </c>
      <c r="B310" s="1" t="str">
        <f>VLOOKUP(D310,epiunits!A$1:C$4000,3,FALSE)</f>
      </c>
      <c r="C310" s="1" t="str">
        <f>VLOOKUP(E310,Inspector!A$1:B$50,2,FALSE)</f>
      </c>
      <c r="I310" s="1" t="str">
        <f>VLOOKUP(D310,epiunits!A$1:J$4000,6,FALSE)</f>
      </c>
      <c r="J310" s="1" t="str">
        <f>VLOOKUP(D310,epiunits!A$1:J$4000,7,FALSE)</f>
      </c>
      <c r="K310" s="1" t="str">
        <f>VLOOKUP(D310,epiunits!A$1:J$4000,8,FALSE)</f>
      </c>
      <c r="L310" s="1" t="str">
        <f>VLOOKUP(D310,epiunits!A$1:J$4000,9,FALSE)</f>
      </c>
      <c r="M310" s="1" t="str">
        <f>VLOOKUP(D310,epiunits!A$1:J$4000,10,FALSE)</f>
      </c>
      <c r="N310" s="1">
        <v>0</v>
      </c>
      <c r="O310" s="1">
        <v>0</v>
      </c>
      <c r="P310" s="1">
        <v>0</v>
      </c>
      <c r="Q310" s="1">
        <v>0</v>
      </c>
      <c r="R310" s="1">
        <v>0</v>
      </c>
      <c r="S310" s="1">
        <v>0</v>
      </c>
      <c r="T310" s="1">
        <v>0</v>
      </c>
      <c r="U310" s="1">
        <v>0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  <c r="AB310" s="1">
        <v>0</v>
      </c>
      <c r="AC310" s="1">
        <v>0</v>
      </c>
      <c r="AD310" s="1">
        <v>0</v>
      </c>
      <c r="AE310" s="1">
        <v>0</v>
      </c>
      <c r="AF310" s="1">
        <v>0</v>
      </c>
      <c r="AG310" s="1">
        <v>0</v>
      </c>
      <c r="AH310" s="1">
        <v>0</v>
      </c>
      <c r="AI310" s="1">
        <v>0</v>
      </c>
      <c r="AJ310" s="1">
        <v>0</v>
      </c>
      <c r="AK310" s="1">
        <v>0</v>
      </c>
      <c r="AL310" s="1">
        <v>0</v>
      </c>
      <c r="AM310" s="1">
        <v>0</v>
      </c>
      <c r="AN310" s="1">
        <v>0</v>
      </c>
      <c r="AO310" s="1">
        <v>0</v>
      </c>
      <c r="AP310" s="1">
        <v>0</v>
      </c>
      <c r="AQ310" s="1">
        <v>0</v>
      </c>
      <c r="AR310" s="1">
        <v>0</v>
      </c>
      <c r="AS310" s="1">
        <v>0</v>
      </c>
    </row>
    <row r="311" spans="1:45">
      <c r="A311" s="1" t="str">
        <f>VLOOKUP(D311,epiunits!A$1:C$4000,2,FALSE)</f>
      </c>
      <c r="B311" s="1" t="str">
        <f>VLOOKUP(D311,epiunits!A$1:C$4000,3,FALSE)</f>
      </c>
      <c r="C311" s="1" t="str">
        <f>VLOOKUP(E311,Inspector!A$1:B$50,2,FALSE)</f>
      </c>
      <c r="I311" s="1" t="str">
        <f>VLOOKUP(D311,epiunits!A$1:J$4000,6,FALSE)</f>
      </c>
      <c r="J311" s="1" t="str">
        <f>VLOOKUP(D311,epiunits!A$1:J$4000,7,FALSE)</f>
      </c>
      <c r="K311" s="1" t="str">
        <f>VLOOKUP(D311,epiunits!A$1:J$4000,8,FALSE)</f>
      </c>
      <c r="L311" s="1" t="str">
        <f>VLOOKUP(D311,epiunits!A$1:J$4000,9,FALSE)</f>
      </c>
      <c r="M311" s="1" t="str">
        <f>VLOOKUP(D311,epiunits!A$1:J$4000,10,FALSE)</f>
      </c>
      <c r="N311" s="1">
        <v>0</v>
      </c>
      <c r="O311" s="1">
        <v>0</v>
      </c>
      <c r="P311" s="1">
        <v>0</v>
      </c>
      <c r="Q311" s="1">
        <v>0</v>
      </c>
      <c r="R311" s="1">
        <v>0</v>
      </c>
      <c r="S311" s="1">
        <v>0</v>
      </c>
      <c r="T311" s="1">
        <v>0</v>
      </c>
      <c r="U311" s="1">
        <v>0</v>
      </c>
      <c r="V311" s="1">
        <v>0</v>
      </c>
      <c r="W311" s="1">
        <v>0</v>
      </c>
      <c r="X311" s="1">
        <v>0</v>
      </c>
      <c r="Y311" s="1">
        <v>0</v>
      </c>
      <c r="Z311" s="1">
        <v>0</v>
      </c>
      <c r="AA311" s="1">
        <v>0</v>
      </c>
      <c r="AB311" s="1">
        <v>0</v>
      </c>
      <c r="AC311" s="1">
        <v>0</v>
      </c>
      <c r="AD311" s="1">
        <v>0</v>
      </c>
      <c r="AE311" s="1">
        <v>0</v>
      </c>
      <c r="AF311" s="1">
        <v>0</v>
      </c>
      <c r="AG311" s="1">
        <v>0</v>
      </c>
      <c r="AH311" s="1">
        <v>0</v>
      </c>
      <c r="AI311" s="1">
        <v>0</v>
      </c>
      <c r="AJ311" s="1">
        <v>0</v>
      </c>
      <c r="AK311" s="1">
        <v>0</v>
      </c>
      <c r="AL311" s="1">
        <v>0</v>
      </c>
      <c r="AM311" s="1">
        <v>0</v>
      </c>
      <c r="AN311" s="1">
        <v>0</v>
      </c>
      <c r="AO311" s="1">
        <v>0</v>
      </c>
      <c r="AP311" s="1">
        <v>0</v>
      </c>
      <c r="AQ311" s="1">
        <v>0</v>
      </c>
      <c r="AR311" s="1">
        <v>0</v>
      </c>
      <c r="AS311" s="1">
        <v>0</v>
      </c>
    </row>
    <row r="312" spans="1:45">
      <c r="A312" s="1" t="str">
        <f>VLOOKUP(D312,epiunits!A$1:C$4000,2,FALSE)</f>
      </c>
      <c r="B312" s="1" t="str">
        <f>VLOOKUP(D312,epiunits!A$1:C$4000,3,FALSE)</f>
      </c>
      <c r="C312" s="1" t="str">
        <f>VLOOKUP(E312,Inspector!A$1:B$50,2,FALSE)</f>
      </c>
      <c r="I312" s="1" t="str">
        <f>VLOOKUP(D312,epiunits!A$1:J$4000,6,FALSE)</f>
      </c>
      <c r="J312" s="1" t="str">
        <f>VLOOKUP(D312,epiunits!A$1:J$4000,7,FALSE)</f>
      </c>
      <c r="K312" s="1" t="str">
        <f>VLOOKUP(D312,epiunits!A$1:J$4000,8,FALSE)</f>
      </c>
      <c r="L312" s="1" t="str">
        <f>VLOOKUP(D312,epiunits!A$1:J$4000,9,FALSE)</f>
      </c>
      <c r="M312" s="1" t="str">
        <f>VLOOKUP(D312,epiunits!A$1:J$4000,10,FALSE)</f>
      </c>
      <c r="N312" s="1">
        <v>0</v>
      </c>
      <c r="O312" s="1">
        <v>0</v>
      </c>
      <c r="P312" s="1">
        <v>0</v>
      </c>
      <c r="Q312" s="1">
        <v>0</v>
      </c>
      <c r="R312" s="1">
        <v>0</v>
      </c>
      <c r="S312" s="1">
        <v>0</v>
      </c>
      <c r="T312" s="1">
        <v>0</v>
      </c>
      <c r="U312" s="1">
        <v>0</v>
      </c>
      <c r="V312" s="1">
        <v>0</v>
      </c>
      <c r="W312" s="1">
        <v>0</v>
      </c>
      <c r="X312" s="1">
        <v>0</v>
      </c>
      <c r="Y312" s="1">
        <v>0</v>
      </c>
      <c r="Z312" s="1">
        <v>0</v>
      </c>
      <c r="AA312" s="1">
        <v>0</v>
      </c>
      <c r="AB312" s="1">
        <v>0</v>
      </c>
      <c r="AC312" s="1">
        <v>0</v>
      </c>
      <c r="AD312" s="1">
        <v>0</v>
      </c>
      <c r="AE312" s="1">
        <v>0</v>
      </c>
      <c r="AF312" s="1">
        <v>0</v>
      </c>
      <c r="AG312" s="1">
        <v>0</v>
      </c>
      <c r="AH312" s="1">
        <v>0</v>
      </c>
      <c r="AI312" s="1">
        <v>0</v>
      </c>
      <c r="AJ312" s="1">
        <v>0</v>
      </c>
      <c r="AK312" s="1">
        <v>0</v>
      </c>
      <c r="AL312" s="1">
        <v>0</v>
      </c>
      <c r="AM312" s="1">
        <v>0</v>
      </c>
      <c r="AN312" s="1">
        <v>0</v>
      </c>
      <c r="AO312" s="1">
        <v>0</v>
      </c>
      <c r="AP312" s="1">
        <v>0</v>
      </c>
      <c r="AQ312" s="1">
        <v>0</v>
      </c>
      <c r="AR312" s="1">
        <v>0</v>
      </c>
      <c r="AS312" s="1">
        <v>0</v>
      </c>
    </row>
    <row r="313" spans="1:45">
      <c r="A313" s="1" t="str">
        <f>VLOOKUP(D313,epiunits!A$1:C$4000,2,FALSE)</f>
      </c>
      <c r="B313" s="1" t="str">
        <f>VLOOKUP(D313,epiunits!A$1:C$4000,3,FALSE)</f>
      </c>
      <c r="C313" s="1" t="str">
        <f>VLOOKUP(E313,Inspector!A$1:B$50,2,FALSE)</f>
      </c>
      <c r="I313" s="1" t="str">
        <f>VLOOKUP(D313,epiunits!A$1:J$4000,6,FALSE)</f>
      </c>
      <c r="J313" s="1" t="str">
        <f>VLOOKUP(D313,epiunits!A$1:J$4000,7,FALSE)</f>
      </c>
      <c r="K313" s="1" t="str">
        <f>VLOOKUP(D313,epiunits!A$1:J$4000,8,FALSE)</f>
      </c>
      <c r="L313" s="1" t="str">
        <f>VLOOKUP(D313,epiunits!A$1:J$4000,9,FALSE)</f>
      </c>
      <c r="M313" s="1" t="str">
        <f>VLOOKUP(D313,epiunits!A$1:J$4000,10,FALSE)</f>
      </c>
      <c r="N313" s="1">
        <v>0</v>
      </c>
      <c r="O313" s="1">
        <v>0</v>
      </c>
      <c r="P313" s="1">
        <v>0</v>
      </c>
      <c r="Q313" s="1">
        <v>0</v>
      </c>
      <c r="R313" s="1">
        <v>0</v>
      </c>
      <c r="S313" s="1">
        <v>0</v>
      </c>
      <c r="T313" s="1">
        <v>0</v>
      </c>
      <c r="U313" s="1">
        <v>0</v>
      </c>
      <c r="V313" s="1">
        <v>0</v>
      </c>
      <c r="W313" s="1">
        <v>0</v>
      </c>
      <c r="X313" s="1">
        <v>0</v>
      </c>
      <c r="Y313" s="1">
        <v>0</v>
      </c>
      <c r="Z313" s="1">
        <v>0</v>
      </c>
      <c r="AA313" s="1">
        <v>0</v>
      </c>
      <c r="AB313" s="1">
        <v>0</v>
      </c>
      <c r="AC313" s="1">
        <v>0</v>
      </c>
      <c r="AD313" s="1">
        <v>0</v>
      </c>
      <c r="AE313" s="1">
        <v>0</v>
      </c>
      <c r="AF313" s="1">
        <v>0</v>
      </c>
      <c r="AG313" s="1">
        <v>0</v>
      </c>
      <c r="AH313" s="1">
        <v>0</v>
      </c>
      <c r="AI313" s="1">
        <v>0</v>
      </c>
      <c r="AJ313" s="1">
        <v>0</v>
      </c>
      <c r="AK313" s="1">
        <v>0</v>
      </c>
      <c r="AL313" s="1">
        <v>0</v>
      </c>
      <c r="AM313" s="1">
        <v>0</v>
      </c>
      <c r="AN313" s="1">
        <v>0</v>
      </c>
      <c r="AO313" s="1">
        <v>0</v>
      </c>
      <c r="AP313" s="1">
        <v>0</v>
      </c>
      <c r="AQ313" s="1">
        <v>0</v>
      </c>
      <c r="AR313" s="1">
        <v>0</v>
      </c>
      <c r="AS313" s="1">
        <v>0</v>
      </c>
    </row>
    <row r="314" spans="1:45">
      <c r="A314" s="1" t="str">
        <f>VLOOKUP(D314,epiunits!A$1:C$4000,2,FALSE)</f>
      </c>
      <c r="B314" s="1" t="str">
        <f>VLOOKUP(D314,epiunits!A$1:C$4000,3,FALSE)</f>
      </c>
      <c r="C314" s="1" t="str">
        <f>VLOOKUP(E314,Inspector!A$1:B$50,2,FALSE)</f>
      </c>
      <c r="I314" s="1" t="str">
        <f>VLOOKUP(D314,epiunits!A$1:J$4000,6,FALSE)</f>
      </c>
      <c r="J314" s="1" t="str">
        <f>VLOOKUP(D314,epiunits!A$1:J$4000,7,FALSE)</f>
      </c>
      <c r="K314" s="1" t="str">
        <f>VLOOKUP(D314,epiunits!A$1:J$4000,8,FALSE)</f>
      </c>
      <c r="L314" s="1" t="str">
        <f>VLOOKUP(D314,epiunits!A$1:J$4000,9,FALSE)</f>
      </c>
      <c r="M314" s="1" t="str">
        <f>VLOOKUP(D314,epiunits!A$1:J$4000,10,FALSE)</f>
      </c>
      <c r="N314" s="1">
        <v>0</v>
      </c>
      <c r="O314" s="1">
        <v>0</v>
      </c>
      <c r="P314" s="1">
        <v>0</v>
      </c>
      <c r="Q314" s="1">
        <v>0</v>
      </c>
      <c r="R314" s="1">
        <v>0</v>
      </c>
      <c r="S314" s="1">
        <v>0</v>
      </c>
      <c r="T314" s="1">
        <v>0</v>
      </c>
      <c r="U314" s="1">
        <v>0</v>
      </c>
      <c r="V314" s="1">
        <v>0</v>
      </c>
      <c r="W314" s="1">
        <v>0</v>
      </c>
      <c r="X314" s="1">
        <v>0</v>
      </c>
      <c r="Y314" s="1">
        <v>0</v>
      </c>
      <c r="Z314" s="1">
        <v>0</v>
      </c>
      <c r="AA314" s="1">
        <v>0</v>
      </c>
      <c r="AB314" s="1">
        <v>0</v>
      </c>
      <c r="AC314" s="1">
        <v>0</v>
      </c>
      <c r="AD314" s="1">
        <v>0</v>
      </c>
      <c r="AE314" s="1">
        <v>0</v>
      </c>
      <c r="AF314" s="1">
        <v>0</v>
      </c>
      <c r="AG314" s="1">
        <v>0</v>
      </c>
      <c r="AH314" s="1">
        <v>0</v>
      </c>
      <c r="AI314" s="1">
        <v>0</v>
      </c>
      <c r="AJ314" s="1">
        <v>0</v>
      </c>
      <c r="AK314" s="1">
        <v>0</v>
      </c>
      <c r="AL314" s="1">
        <v>0</v>
      </c>
      <c r="AM314" s="1">
        <v>0</v>
      </c>
      <c r="AN314" s="1">
        <v>0</v>
      </c>
      <c r="AO314" s="1">
        <v>0</v>
      </c>
      <c r="AP314" s="1">
        <v>0</v>
      </c>
      <c r="AQ314" s="1">
        <v>0</v>
      </c>
      <c r="AR314" s="1">
        <v>0</v>
      </c>
      <c r="AS314" s="1">
        <v>0</v>
      </c>
    </row>
    <row r="315" spans="1:45">
      <c r="A315" s="1" t="str">
        <f>VLOOKUP(D315,epiunits!A$1:C$4000,2,FALSE)</f>
      </c>
      <c r="B315" s="1" t="str">
        <f>VLOOKUP(D315,epiunits!A$1:C$4000,3,FALSE)</f>
      </c>
      <c r="C315" s="1" t="str">
        <f>VLOOKUP(E315,Inspector!A$1:B$50,2,FALSE)</f>
      </c>
      <c r="I315" s="1" t="str">
        <f>VLOOKUP(D315,epiunits!A$1:J$4000,6,FALSE)</f>
      </c>
      <c r="J315" s="1" t="str">
        <f>VLOOKUP(D315,epiunits!A$1:J$4000,7,FALSE)</f>
      </c>
      <c r="K315" s="1" t="str">
        <f>VLOOKUP(D315,epiunits!A$1:J$4000,8,FALSE)</f>
      </c>
      <c r="L315" s="1" t="str">
        <f>VLOOKUP(D315,epiunits!A$1:J$4000,9,FALSE)</f>
      </c>
      <c r="M315" s="1" t="str">
        <f>VLOOKUP(D315,epiunits!A$1:J$4000,10,FALSE)</f>
      </c>
      <c r="N315" s="1">
        <v>0</v>
      </c>
      <c r="O315" s="1">
        <v>0</v>
      </c>
      <c r="P315" s="1">
        <v>0</v>
      </c>
      <c r="Q315" s="1">
        <v>0</v>
      </c>
      <c r="R315" s="1">
        <v>0</v>
      </c>
      <c r="S315" s="1">
        <v>0</v>
      </c>
      <c r="T315" s="1">
        <v>0</v>
      </c>
      <c r="U315" s="1">
        <v>0</v>
      </c>
      <c r="V315" s="1">
        <v>0</v>
      </c>
      <c r="W315" s="1">
        <v>0</v>
      </c>
      <c r="X315" s="1">
        <v>0</v>
      </c>
      <c r="Y315" s="1">
        <v>0</v>
      </c>
      <c r="Z315" s="1">
        <v>0</v>
      </c>
      <c r="AA315" s="1">
        <v>0</v>
      </c>
      <c r="AB315" s="1">
        <v>0</v>
      </c>
      <c r="AC315" s="1">
        <v>0</v>
      </c>
      <c r="AD315" s="1">
        <v>0</v>
      </c>
      <c r="AE315" s="1">
        <v>0</v>
      </c>
      <c r="AF315" s="1">
        <v>0</v>
      </c>
      <c r="AG315" s="1">
        <v>0</v>
      </c>
      <c r="AH315" s="1">
        <v>0</v>
      </c>
      <c r="AI315" s="1">
        <v>0</v>
      </c>
      <c r="AJ315" s="1">
        <v>0</v>
      </c>
      <c r="AK315" s="1">
        <v>0</v>
      </c>
      <c r="AL315" s="1">
        <v>0</v>
      </c>
      <c r="AM315" s="1">
        <v>0</v>
      </c>
      <c r="AN315" s="1">
        <v>0</v>
      </c>
      <c r="AO315" s="1">
        <v>0</v>
      </c>
      <c r="AP315" s="1">
        <v>0</v>
      </c>
      <c r="AQ315" s="1">
        <v>0</v>
      </c>
      <c r="AR315" s="1">
        <v>0</v>
      </c>
      <c r="AS315" s="1">
        <v>0</v>
      </c>
    </row>
    <row r="316" spans="1:45">
      <c r="A316" s="1" t="str">
        <f>VLOOKUP(D316,epiunits!A$1:C$4000,2,FALSE)</f>
      </c>
      <c r="B316" s="1" t="str">
        <f>VLOOKUP(D316,epiunits!A$1:C$4000,3,FALSE)</f>
      </c>
      <c r="C316" s="1" t="str">
        <f>VLOOKUP(E316,Inspector!A$1:B$50,2,FALSE)</f>
      </c>
      <c r="I316" s="1" t="str">
        <f>VLOOKUP(D316,epiunits!A$1:J$4000,6,FALSE)</f>
      </c>
      <c r="J316" s="1" t="str">
        <f>VLOOKUP(D316,epiunits!A$1:J$4000,7,FALSE)</f>
      </c>
      <c r="K316" s="1" t="str">
        <f>VLOOKUP(D316,epiunits!A$1:J$4000,8,FALSE)</f>
      </c>
      <c r="L316" s="1" t="str">
        <f>VLOOKUP(D316,epiunits!A$1:J$4000,9,FALSE)</f>
      </c>
      <c r="M316" s="1" t="str">
        <f>VLOOKUP(D316,epiunits!A$1:J$4000,10,FALSE)</f>
      </c>
      <c r="N316" s="1">
        <v>0</v>
      </c>
      <c r="O316" s="1">
        <v>0</v>
      </c>
      <c r="P316" s="1">
        <v>0</v>
      </c>
      <c r="Q316" s="1">
        <v>0</v>
      </c>
      <c r="R316" s="1">
        <v>0</v>
      </c>
      <c r="S316" s="1">
        <v>0</v>
      </c>
      <c r="T316" s="1">
        <v>0</v>
      </c>
      <c r="U316" s="1">
        <v>0</v>
      </c>
      <c r="V316" s="1">
        <v>0</v>
      </c>
      <c r="W316" s="1">
        <v>0</v>
      </c>
      <c r="X316" s="1">
        <v>0</v>
      </c>
      <c r="Y316" s="1">
        <v>0</v>
      </c>
      <c r="Z316" s="1">
        <v>0</v>
      </c>
      <c r="AA316" s="1">
        <v>0</v>
      </c>
      <c r="AB316" s="1">
        <v>0</v>
      </c>
      <c r="AC316" s="1">
        <v>0</v>
      </c>
      <c r="AD316" s="1">
        <v>0</v>
      </c>
      <c r="AE316" s="1">
        <v>0</v>
      </c>
      <c r="AF316" s="1">
        <v>0</v>
      </c>
      <c r="AG316" s="1">
        <v>0</v>
      </c>
      <c r="AH316" s="1">
        <v>0</v>
      </c>
      <c r="AI316" s="1">
        <v>0</v>
      </c>
      <c r="AJ316" s="1">
        <v>0</v>
      </c>
      <c r="AK316" s="1">
        <v>0</v>
      </c>
      <c r="AL316" s="1">
        <v>0</v>
      </c>
      <c r="AM316" s="1">
        <v>0</v>
      </c>
      <c r="AN316" s="1">
        <v>0</v>
      </c>
      <c r="AO316" s="1">
        <v>0</v>
      </c>
      <c r="AP316" s="1">
        <v>0</v>
      </c>
      <c r="AQ316" s="1">
        <v>0</v>
      </c>
      <c r="AR316" s="1">
        <v>0</v>
      </c>
      <c r="AS316" s="1">
        <v>0</v>
      </c>
    </row>
    <row r="317" spans="1:45">
      <c r="A317" s="1" t="str">
        <f>VLOOKUP(D317,epiunits!A$1:C$4000,2,FALSE)</f>
      </c>
      <c r="B317" s="1" t="str">
        <f>VLOOKUP(D317,epiunits!A$1:C$4000,3,FALSE)</f>
      </c>
      <c r="C317" s="1" t="str">
        <f>VLOOKUP(E317,Inspector!A$1:B$50,2,FALSE)</f>
      </c>
      <c r="I317" s="1" t="str">
        <f>VLOOKUP(D317,epiunits!A$1:J$4000,6,FALSE)</f>
      </c>
      <c r="J317" s="1" t="str">
        <f>VLOOKUP(D317,epiunits!A$1:J$4000,7,FALSE)</f>
      </c>
      <c r="K317" s="1" t="str">
        <f>VLOOKUP(D317,epiunits!A$1:J$4000,8,FALSE)</f>
      </c>
      <c r="L317" s="1" t="str">
        <f>VLOOKUP(D317,epiunits!A$1:J$4000,9,FALSE)</f>
      </c>
      <c r="M317" s="1" t="str">
        <f>VLOOKUP(D317,epiunits!A$1:J$4000,10,FALSE)</f>
      </c>
      <c r="N317" s="1">
        <v>0</v>
      </c>
      <c r="O317" s="1">
        <v>0</v>
      </c>
      <c r="P317" s="1">
        <v>0</v>
      </c>
      <c r="Q317" s="1">
        <v>0</v>
      </c>
      <c r="R317" s="1">
        <v>0</v>
      </c>
      <c r="S317" s="1">
        <v>0</v>
      </c>
      <c r="T317" s="1">
        <v>0</v>
      </c>
      <c r="U317" s="1">
        <v>0</v>
      </c>
      <c r="V317" s="1">
        <v>0</v>
      </c>
      <c r="W317" s="1">
        <v>0</v>
      </c>
      <c r="X317" s="1">
        <v>0</v>
      </c>
      <c r="Y317" s="1">
        <v>0</v>
      </c>
      <c r="Z317" s="1">
        <v>0</v>
      </c>
      <c r="AA317" s="1">
        <v>0</v>
      </c>
      <c r="AB317" s="1">
        <v>0</v>
      </c>
      <c r="AC317" s="1">
        <v>0</v>
      </c>
      <c r="AD317" s="1">
        <v>0</v>
      </c>
      <c r="AE317" s="1">
        <v>0</v>
      </c>
      <c r="AF317" s="1">
        <v>0</v>
      </c>
      <c r="AG317" s="1">
        <v>0</v>
      </c>
      <c r="AH317" s="1">
        <v>0</v>
      </c>
      <c r="AI317" s="1">
        <v>0</v>
      </c>
      <c r="AJ317" s="1">
        <v>0</v>
      </c>
      <c r="AK317" s="1">
        <v>0</v>
      </c>
      <c r="AL317" s="1">
        <v>0</v>
      </c>
      <c r="AM317" s="1">
        <v>0</v>
      </c>
      <c r="AN317" s="1">
        <v>0</v>
      </c>
      <c r="AO317" s="1">
        <v>0</v>
      </c>
      <c r="AP317" s="1">
        <v>0</v>
      </c>
      <c r="AQ317" s="1">
        <v>0</v>
      </c>
      <c r="AR317" s="1">
        <v>0</v>
      </c>
      <c r="AS317" s="1">
        <v>0</v>
      </c>
    </row>
    <row r="318" spans="1:45">
      <c r="A318" s="1" t="str">
        <f>VLOOKUP(D318,epiunits!A$1:C$4000,2,FALSE)</f>
      </c>
      <c r="B318" s="1" t="str">
        <f>VLOOKUP(D318,epiunits!A$1:C$4000,3,FALSE)</f>
      </c>
      <c r="C318" s="1" t="str">
        <f>VLOOKUP(E318,Inspector!A$1:B$50,2,FALSE)</f>
      </c>
      <c r="I318" s="1" t="str">
        <f>VLOOKUP(D318,epiunits!A$1:J$4000,6,FALSE)</f>
      </c>
      <c r="J318" s="1" t="str">
        <f>VLOOKUP(D318,epiunits!A$1:J$4000,7,FALSE)</f>
      </c>
      <c r="K318" s="1" t="str">
        <f>VLOOKUP(D318,epiunits!A$1:J$4000,8,FALSE)</f>
      </c>
      <c r="L318" s="1" t="str">
        <f>VLOOKUP(D318,epiunits!A$1:J$4000,9,FALSE)</f>
      </c>
      <c r="M318" s="1" t="str">
        <f>VLOOKUP(D318,epiunits!A$1:J$4000,10,FALSE)</f>
      </c>
      <c r="N318" s="1">
        <v>0</v>
      </c>
      <c r="O318" s="1">
        <v>0</v>
      </c>
      <c r="P318" s="1">
        <v>0</v>
      </c>
      <c r="Q318" s="1">
        <v>0</v>
      </c>
      <c r="R318" s="1">
        <v>0</v>
      </c>
      <c r="S318" s="1">
        <v>0</v>
      </c>
      <c r="T318" s="1">
        <v>0</v>
      </c>
      <c r="U318" s="1">
        <v>0</v>
      </c>
      <c r="V318" s="1">
        <v>0</v>
      </c>
      <c r="W318" s="1">
        <v>0</v>
      </c>
      <c r="X318" s="1">
        <v>0</v>
      </c>
      <c r="Y318" s="1">
        <v>0</v>
      </c>
      <c r="Z318" s="1">
        <v>0</v>
      </c>
      <c r="AA318" s="1">
        <v>0</v>
      </c>
      <c r="AB318" s="1">
        <v>0</v>
      </c>
      <c r="AC318" s="1">
        <v>0</v>
      </c>
      <c r="AD318" s="1">
        <v>0</v>
      </c>
      <c r="AE318" s="1">
        <v>0</v>
      </c>
      <c r="AF318" s="1">
        <v>0</v>
      </c>
      <c r="AG318" s="1">
        <v>0</v>
      </c>
      <c r="AH318" s="1">
        <v>0</v>
      </c>
      <c r="AI318" s="1">
        <v>0</v>
      </c>
      <c r="AJ318" s="1">
        <v>0</v>
      </c>
      <c r="AK318" s="1">
        <v>0</v>
      </c>
      <c r="AL318" s="1">
        <v>0</v>
      </c>
      <c r="AM318" s="1">
        <v>0</v>
      </c>
      <c r="AN318" s="1">
        <v>0</v>
      </c>
      <c r="AO318" s="1">
        <v>0</v>
      </c>
      <c r="AP318" s="1">
        <v>0</v>
      </c>
      <c r="AQ318" s="1">
        <v>0</v>
      </c>
      <c r="AR318" s="1">
        <v>0</v>
      </c>
      <c r="AS318" s="1">
        <v>0</v>
      </c>
    </row>
    <row r="319" spans="1:45">
      <c r="A319" s="1" t="str">
        <f>VLOOKUP(D319,epiunits!A$1:C$4000,2,FALSE)</f>
      </c>
      <c r="B319" s="1" t="str">
        <f>VLOOKUP(D319,epiunits!A$1:C$4000,3,FALSE)</f>
      </c>
      <c r="C319" s="1" t="str">
        <f>VLOOKUP(E319,Inspector!A$1:B$50,2,FALSE)</f>
      </c>
      <c r="I319" s="1" t="str">
        <f>VLOOKUP(D319,epiunits!A$1:J$4000,6,FALSE)</f>
      </c>
      <c r="J319" s="1" t="str">
        <f>VLOOKUP(D319,epiunits!A$1:J$4000,7,FALSE)</f>
      </c>
      <c r="K319" s="1" t="str">
        <f>VLOOKUP(D319,epiunits!A$1:J$4000,8,FALSE)</f>
      </c>
      <c r="L319" s="1" t="str">
        <f>VLOOKUP(D319,epiunits!A$1:J$4000,9,FALSE)</f>
      </c>
      <c r="M319" s="1" t="str">
        <f>VLOOKUP(D319,epiunits!A$1:J$4000,10,FALSE)</f>
      </c>
      <c r="N319" s="1">
        <v>0</v>
      </c>
      <c r="O319" s="1">
        <v>0</v>
      </c>
      <c r="P319" s="1">
        <v>0</v>
      </c>
      <c r="Q319" s="1">
        <v>0</v>
      </c>
      <c r="R319" s="1">
        <v>0</v>
      </c>
      <c r="S319" s="1">
        <v>0</v>
      </c>
      <c r="T319" s="1">
        <v>0</v>
      </c>
      <c r="U319" s="1">
        <v>0</v>
      </c>
      <c r="V319" s="1">
        <v>0</v>
      </c>
      <c r="W319" s="1">
        <v>0</v>
      </c>
      <c r="X319" s="1">
        <v>0</v>
      </c>
      <c r="Y319" s="1">
        <v>0</v>
      </c>
      <c r="Z319" s="1">
        <v>0</v>
      </c>
      <c r="AA319" s="1">
        <v>0</v>
      </c>
      <c r="AB319" s="1">
        <v>0</v>
      </c>
      <c r="AC319" s="1">
        <v>0</v>
      </c>
      <c r="AD319" s="1">
        <v>0</v>
      </c>
      <c r="AE319" s="1">
        <v>0</v>
      </c>
      <c r="AF319" s="1">
        <v>0</v>
      </c>
      <c r="AG319" s="1">
        <v>0</v>
      </c>
      <c r="AH319" s="1">
        <v>0</v>
      </c>
      <c r="AI319" s="1">
        <v>0</v>
      </c>
      <c r="AJ319" s="1">
        <v>0</v>
      </c>
      <c r="AK319" s="1">
        <v>0</v>
      </c>
      <c r="AL319" s="1">
        <v>0</v>
      </c>
      <c r="AM319" s="1">
        <v>0</v>
      </c>
      <c r="AN319" s="1">
        <v>0</v>
      </c>
      <c r="AO319" s="1">
        <v>0</v>
      </c>
      <c r="AP319" s="1">
        <v>0</v>
      </c>
      <c r="AQ319" s="1">
        <v>0</v>
      </c>
      <c r="AR319" s="1">
        <v>0</v>
      </c>
      <c r="AS319" s="1">
        <v>0</v>
      </c>
    </row>
    <row r="320" spans="1:45">
      <c r="A320" s="1" t="str">
        <f>VLOOKUP(D320,epiunits!A$1:C$4000,2,FALSE)</f>
      </c>
      <c r="B320" s="1" t="str">
        <f>VLOOKUP(D320,epiunits!A$1:C$4000,3,FALSE)</f>
      </c>
      <c r="C320" s="1" t="str">
        <f>VLOOKUP(E320,Inspector!A$1:B$50,2,FALSE)</f>
      </c>
      <c r="I320" s="1" t="str">
        <f>VLOOKUP(D320,epiunits!A$1:J$4000,6,FALSE)</f>
      </c>
      <c r="J320" s="1" t="str">
        <f>VLOOKUP(D320,epiunits!A$1:J$4000,7,FALSE)</f>
      </c>
      <c r="K320" s="1" t="str">
        <f>VLOOKUP(D320,epiunits!A$1:J$4000,8,FALSE)</f>
      </c>
      <c r="L320" s="1" t="str">
        <f>VLOOKUP(D320,epiunits!A$1:J$4000,9,FALSE)</f>
      </c>
      <c r="M320" s="1" t="str">
        <f>VLOOKUP(D320,epiunits!A$1:J$4000,10,FALSE)</f>
      </c>
      <c r="N320" s="1">
        <v>0</v>
      </c>
      <c r="O320" s="1">
        <v>0</v>
      </c>
      <c r="P320" s="1">
        <v>0</v>
      </c>
      <c r="Q320" s="1">
        <v>0</v>
      </c>
      <c r="R320" s="1">
        <v>0</v>
      </c>
      <c r="S320" s="1">
        <v>0</v>
      </c>
      <c r="T320" s="1">
        <v>0</v>
      </c>
      <c r="U320" s="1">
        <v>0</v>
      </c>
      <c r="V320" s="1">
        <v>0</v>
      </c>
      <c r="W320" s="1">
        <v>0</v>
      </c>
      <c r="X320" s="1">
        <v>0</v>
      </c>
      <c r="Y320" s="1">
        <v>0</v>
      </c>
      <c r="Z320" s="1">
        <v>0</v>
      </c>
      <c r="AA320" s="1">
        <v>0</v>
      </c>
      <c r="AB320" s="1">
        <v>0</v>
      </c>
      <c r="AC320" s="1">
        <v>0</v>
      </c>
      <c r="AD320" s="1">
        <v>0</v>
      </c>
      <c r="AE320" s="1">
        <v>0</v>
      </c>
      <c r="AF320" s="1">
        <v>0</v>
      </c>
      <c r="AG320" s="1">
        <v>0</v>
      </c>
      <c r="AH320" s="1">
        <v>0</v>
      </c>
      <c r="AI320" s="1">
        <v>0</v>
      </c>
      <c r="AJ320" s="1">
        <v>0</v>
      </c>
      <c r="AK320" s="1">
        <v>0</v>
      </c>
      <c r="AL320" s="1">
        <v>0</v>
      </c>
      <c r="AM320" s="1">
        <v>0</v>
      </c>
      <c r="AN320" s="1">
        <v>0</v>
      </c>
      <c r="AO320" s="1">
        <v>0</v>
      </c>
      <c r="AP320" s="1">
        <v>0</v>
      </c>
      <c r="AQ320" s="1">
        <v>0</v>
      </c>
      <c r="AR320" s="1">
        <v>0</v>
      </c>
      <c r="AS320" s="1">
        <v>0</v>
      </c>
    </row>
    <row r="321" spans="1:45">
      <c r="A321" s="1" t="str">
        <f>VLOOKUP(D321,epiunits!A$1:C$4000,2,FALSE)</f>
      </c>
      <c r="B321" s="1" t="str">
        <f>VLOOKUP(D321,epiunits!A$1:C$4000,3,FALSE)</f>
      </c>
      <c r="C321" s="1" t="str">
        <f>VLOOKUP(E321,Inspector!A$1:B$50,2,FALSE)</f>
      </c>
      <c r="I321" s="1" t="str">
        <f>VLOOKUP(D321,epiunits!A$1:J$4000,6,FALSE)</f>
      </c>
      <c r="J321" s="1" t="str">
        <f>VLOOKUP(D321,epiunits!A$1:J$4000,7,FALSE)</f>
      </c>
      <c r="K321" s="1" t="str">
        <f>VLOOKUP(D321,epiunits!A$1:J$4000,8,FALSE)</f>
      </c>
      <c r="L321" s="1" t="str">
        <f>VLOOKUP(D321,epiunits!A$1:J$4000,9,FALSE)</f>
      </c>
      <c r="M321" s="1" t="str">
        <f>VLOOKUP(D321,epiunits!A$1:J$4000,10,FALSE)</f>
      </c>
      <c r="N321" s="1">
        <v>0</v>
      </c>
      <c r="O321" s="1">
        <v>0</v>
      </c>
      <c r="P321" s="1">
        <v>0</v>
      </c>
      <c r="Q321" s="1">
        <v>0</v>
      </c>
      <c r="R321" s="1">
        <v>0</v>
      </c>
      <c r="S321" s="1">
        <v>0</v>
      </c>
      <c r="T321" s="1">
        <v>0</v>
      </c>
      <c r="U321" s="1">
        <v>0</v>
      </c>
      <c r="V321" s="1">
        <v>0</v>
      </c>
      <c r="W321" s="1">
        <v>0</v>
      </c>
      <c r="X321" s="1">
        <v>0</v>
      </c>
      <c r="Y321" s="1">
        <v>0</v>
      </c>
      <c r="Z321" s="1">
        <v>0</v>
      </c>
      <c r="AA321" s="1">
        <v>0</v>
      </c>
      <c r="AB321" s="1">
        <v>0</v>
      </c>
      <c r="AC321" s="1">
        <v>0</v>
      </c>
      <c r="AD321" s="1">
        <v>0</v>
      </c>
      <c r="AE321" s="1">
        <v>0</v>
      </c>
      <c r="AF321" s="1">
        <v>0</v>
      </c>
      <c r="AG321" s="1">
        <v>0</v>
      </c>
      <c r="AH321" s="1">
        <v>0</v>
      </c>
      <c r="AI321" s="1">
        <v>0</v>
      </c>
      <c r="AJ321" s="1">
        <v>0</v>
      </c>
      <c r="AK321" s="1">
        <v>0</v>
      </c>
      <c r="AL321" s="1">
        <v>0</v>
      </c>
      <c r="AM321" s="1">
        <v>0</v>
      </c>
      <c r="AN321" s="1">
        <v>0</v>
      </c>
      <c r="AO321" s="1">
        <v>0</v>
      </c>
      <c r="AP321" s="1">
        <v>0</v>
      </c>
      <c r="AQ321" s="1">
        <v>0</v>
      </c>
      <c r="AR321" s="1">
        <v>0</v>
      </c>
      <c r="AS321" s="1">
        <v>0</v>
      </c>
    </row>
    <row r="322" spans="1:45">
      <c r="A322" s="1" t="str">
        <f>VLOOKUP(D322,epiunits!A$1:C$4000,2,FALSE)</f>
      </c>
      <c r="B322" s="1" t="str">
        <f>VLOOKUP(D322,epiunits!A$1:C$4000,3,FALSE)</f>
      </c>
      <c r="C322" s="1" t="str">
        <f>VLOOKUP(E322,Inspector!A$1:B$50,2,FALSE)</f>
      </c>
      <c r="I322" s="1" t="str">
        <f>VLOOKUP(D322,epiunits!A$1:J$4000,6,FALSE)</f>
      </c>
      <c r="J322" s="1" t="str">
        <f>VLOOKUP(D322,epiunits!A$1:J$4000,7,FALSE)</f>
      </c>
      <c r="K322" s="1" t="str">
        <f>VLOOKUP(D322,epiunits!A$1:J$4000,8,FALSE)</f>
      </c>
      <c r="L322" s="1" t="str">
        <f>VLOOKUP(D322,epiunits!A$1:J$4000,9,FALSE)</f>
      </c>
      <c r="M322" s="1" t="str">
        <f>VLOOKUP(D322,epiunits!A$1:J$4000,10,FALSE)</f>
      </c>
      <c r="N322" s="1">
        <v>0</v>
      </c>
      <c r="O322" s="1">
        <v>0</v>
      </c>
      <c r="P322" s="1">
        <v>0</v>
      </c>
      <c r="Q322" s="1">
        <v>0</v>
      </c>
      <c r="R322" s="1">
        <v>0</v>
      </c>
      <c r="S322" s="1">
        <v>0</v>
      </c>
      <c r="T322" s="1">
        <v>0</v>
      </c>
      <c r="U322" s="1">
        <v>0</v>
      </c>
      <c r="V322" s="1">
        <v>0</v>
      </c>
      <c r="W322" s="1">
        <v>0</v>
      </c>
      <c r="X322" s="1">
        <v>0</v>
      </c>
      <c r="Y322" s="1">
        <v>0</v>
      </c>
      <c r="Z322" s="1">
        <v>0</v>
      </c>
      <c r="AA322" s="1">
        <v>0</v>
      </c>
      <c r="AB322" s="1">
        <v>0</v>
      </c>
      <c r="AC322" s="1">
        <v>0</v>
      </c>
      <c r="AD322" s="1">
        <v>0</v>
      </c>
      <c r="AE322" s="1">
        <v>0</v>
      </c>
      <c r="AF322" s="1">
        <v>0</v>
      </c>
      <c r="AG322" s="1">
        <v>0</v>
      </c>
      <c r="AH322" s="1">
        <v>0</v>
      </c>
      <c r="AI322" s="1">
        <v>0</v>
      </c>
      <c r="AJ322" s="1">
        <v>0</v>
      </c>
      <c r="AK322" s="1">
        <v>0</v>
      </c>
      <c r="AL322" s="1">
        <v>0</v>
      </c>
      <c r="AM322" s="1">
        <v>0</v>
      </c>
      <c r="AN322" s="1">
        <v>0</v>
      </c>
      <c r="AO322" s="1">
        <v>0</v>
      </c>
      <c r="AP322" s="1">
        <v>0</v>
      </c>
      <c r="AQ322" s="1">
        <v>0</v>
      </c>
      <c r="AR322" s="1">
        <v>0</v>
      </c>
      <c r="AS322" s="1">
        <v>0</v>
      </c>
    </row>
    <row r="323" spans="1:45">
      <c r="A323" s="1" t="str">
        <f>VLOOKUP(D323,epiunits!A$1:C$4000,2,FALSE)</f>
      </c>
      <c r="B323" s="1" t="str">
        <f>VLOOKUP(D323,epiunits!A$1:C$4000,3,FALSE)</f>
      </c>
      <c r="C323" s="1" t="str">
        <f>VLOOKUP(E323,Inspector!A$1:B$50,2,FALSE)</f>
      </c>
      <c r="I323" s="1" t="str">
        <f>VLOOKUP(D323,epiunits!A$1:J$4000,6,FALSE)</f>
      </c>
      <c r="J323" s="1" t="str">
        <f>VLOOKUP(D323,epiunits!A$1:J$4000,7,FALSE)</f>
      </c>
      <c r="K323" s="1" t="str">
        <f>VLOOKUP(D323,epiunits!A$1:J$4000,8,FALSE)</f>
      </c>
      <c r="L323" s="1" t="str">
        <f>VLOOKUP(D323,epiunits!A$1:J$4000,9,FALSE)</f>
      </c>
      <c r="M323" s="1" t="str">
        <f>VLOOKUP(D323,epiunits!A$1:J$4000,10,FALSE)</f>
      </c>
      <c r="N323" s="1">
        <v>0</v>
      </c>
      <c r="O323" s="1">
        <v>0</v>
      </c>
      <c r="P323" s="1">
        <v>0</v>
      </c>
      <c r="Q323" s="1">
        <v>0</v>
      </c>
      <c r="R323" s="1">
        <v>0</v>
      </c>
      <c r="S323" s="1">
        <v>0</v>
      </c>
      <c r="T323" s="1">
        <v>0</v>
      </c>
      <c r="U323" s="1">
        <v>0</v>
      </c>
      <c r="V323" s="1">
        <v>0</v>
      </c>
      <c r="W323" s="1">
        <v>0</v>
      </c>
      <c r="X323" s="1">
        <v>0</v>
      </c>
      <c r="Y323" s="1">
        <v>0</v>
      </c>
      <c r="Z323" s="1">
        <v>0</v>
      </c>
      <c r="AA323" s="1">
        <v>0</v>
      </c>
      <c r="AB323" s="1">
        <v>0</v>
      </c>
      <c r="AC323" s="1">
        <v>0</v>
      </c>
      <c r="AD323" s="1">
        <v>0</v>
      </c>
      <c r="AE323" s="1">
        <v>0</v>
      </c>
      <c r="AF323" s="1">
        <v>0</v>
      </c>
      <c r="AG323" s="1">
        <v>0</v>
      </c>
      <c r="AH323" s="1">
        <v>0</v>
      </c>
      <c r="AI323" s="1">
        <v>0</v>
      </c>
      <c r="AJ323" s="1">
        <v>0</v>
      </c>
      <c r="AK323" s="1">
        <v>0</v>
      </c>
      <c r="AL323" s="1">
        <v>0</v>
      </c>
      <c r="AM323" s="1">
        <v>0</v>
      </c>
      <c r="AN323" s="1">
        <v>0</v>
      </c>
      <c r="AO323" s="1">
        <v>0</v>
      </c>
      <c r="AP323" s="1">
        <v>0</v>
      </c>
      <c r="AQ323" s="1">
        <v>0</v>
      </c>
      <c r="AR323" s="1">
        <v>0</v>
      </c>
      <c r="AS323" s="1">
        <v>0</v>
      </c>
    </row>
    <row r="324" spans="1:45">
      <c r="A324" s="1" t="str">
        <f>VLOOKUP(D324,epiunits!A$1:C$4000,2,FALSE)</f>
      </c>
      <c r="B324" s="1" t="str">
        <f>VLOOKUP(D324,epiunits!A$1:C$4000,3,FALSE)</f>
      </c>
      <c r="C324" s="1" t="str">
        <f>VLOOKUP(E324,Inspector!A$1:B$50,2,FALSE)</f>
      </c>
      <c r="I324" s="1" t="str">
        <f>VLOOKUP(D324,epiunits!A$1:J$4000,6,FALSE)</f>
      </c>
      <c r="J324" s="1" t="str">
        <f>VLOOKUP(D324,epiunits!A$1:J$4000,7,FALSE)</f>
      </c>
      <c r="K324" s="1" t="str">
        <f>VLOOKUP(D324,epiunits!A$1:J$4000,8,FALSE)</f>
      </c>
      <c r="L324" s="1" t="str">
        <f>VLOOKUP(D324,epiunits!A$1:J$4000,9,FALSE)</f>
      </c>
      <c r="M324" s="1" t="str">
        <f>VLOOKUP(D324,epiunits!A$1:J$4000,10,FALSE)</f>
      </c>
      <c r="N324" s="1">
        <v>0</v>
      </c>
      <c r="O324" s="1">
        <v>0</v>
      </c>
      <c r="P324" s="1">
        <v>0</v>
      </c>
      <c r="Q324" s="1">
        <v>0</v>
      </c>
      <c r="R324" s="1">
        <v>0</v>
      </c>
      <c r="S324" s="1">
        <v>0</v>
      </c>
      <c r="T324" s="1">
        <v>0</v>
      </c>
      <c r="U324" s="1">
        <v>0</v>
      </c>
      <c r="V324" s="1">
        <v>0</v>
      </c>
      <c r="W324" s="1">
        <v>0</v>
      </c>
      <c r="X324" s="1">
        <v>0</v>
      </c>
      <c r="Y324" s="1">
        <v>0</v>
      </c>
      <c r="Z324" s="1">
        <v>0</v>
      </c>
      <c r="AA324" s="1">
        <v>0</v>
      </c>
      <c r="AB324" s="1">
        <v>0</v>
      </c>
      <c r="AC324" s="1">
        <v>0</v>
      </c>
      <c r="AD324" s="1">
        <v>0</v>
      </c>
      <c r="AE324" s="1">
        <v>0</v>
      </c>
      <c r="AF324" s="1">
        <v>0</v>
      </c>
      <c r="AG324" s="1">
        <v>0</v>
      </c>
      <c r="AH324" s="1">
        <v>0</v>
      </c>
      <c r="AI324" s="1">
        <v>0</v>
      </c>
      <c r="AJ324" s="1">
        <v>0</v>
      </c>
      <c r="AK324" s="1">
        <v>0</v>
      </c>
      <c r="AL324" s="1">
        <v>0</v>
      </c>
      <c r="AM324" s="1">
        <v>0</v>
      </c>
      <c r="AN324" s="1">
        <v>0</v>
      </c>
      <c r="AO324" s="1">
        <v>0</v>
      </c>
      <c r="AP324" s="1">
        <v>0</v>
      </c>
      <c r="AQ324" s="1">
        <v>0</v>
      </c>
      <c r="AR324" s="1">
        <v>0</v>
      </c>
      <c r="AS324" s="1">
        <v>0</v>
      </c>
    </row>
    <row r="325" spans="1:45">
      <c r="A325" s="1" t="str">
        <f>VLOOKUP(D325,epiunits!A$1:C$4000,2,FALSE)</f>
      </c>
      <c r="B325" s="1" t="str">
        <f>VLOOKUP(D325,epiunits!A$1:C$4000,3,FALSE)</f>
      </c>
      <c r="C325" s="1" t="str">
        <f>VLOOKUP(E325,Inspector!A$1:B$50,2,FALSE)</f>
      </c>
      <c r="I325" s="1" t="str">
        <f>VLOOKUP(D325,epiunits!A$1:J$4000,6,FALSE)</f>
      </c>
      <c r="J325" s="1" t="str">
        <f>VLOOKUP(D325,epiunits!A$1:J$4000,7,FALSE)</f>
      </c>
      <c r="K325" s="1" t="str">
        <f>VLOOKUP(D325,epiunits!A$1:J$4000,8,FALSE)</f>
      </c>
      <c r="L325" s="1" t="str">
        <f>VLOOKUP(D325,epiunits!A$1:J$4000,9,FALSE)</f>
      </c>
      <c r="M325" s="1" t="str">
        <f>VLOOKUP(D325,epiunits!A$1:J$4000,10,FALSE)</f>
      </c>
      <c r="N325" s="1">
        <v>0</v>
      </c>
      <c r="O325" s="1">
        <v>0</v>
      </c>
      <c r="P325" s="1">
        <v>0</v>
      </c>
      <c r="Q325" s="1">
        <v>0</v>
      </c>
      <c r="R325" s="1">
        <v>0</v>
      </c>
      <c r="S325" s="1">
        <v>0</v>
      </c>
      <c r="T325" s="1">
        <v>0</v>
      </c>
      <c r="U325" s="1">
        <v>0</v>
      </c>
      <c r="V325" s="1">
        <v>0</v>
      </c>
      <c r="W325" s="1">
        <v>0</v>
      </c>
      <c r="X325" s="1">
        <v>0</v>
      </c>
      <c r="Y325" s="1">
        <v>0</v>
      </c>
      <c r="Z325" s="1">
        <v>0</v>
      </c>
      <c r="AA325" s="1">
        <v>0</v>
      </c>
      <c r="AB325" s="1">
        <v>0</v>
      </c>
      <c r="AC325" s="1">
        <v>0</v>
      </c>
      <c r="AD325" s="1">
        <v>0</v>
      </c>
      <c r="AE325" s="1">
        <v>0</v>
      </c>
      <c r="AF325" s="1">
        <v>0</v>
      </c>
      <c r="AG325" s="1">
        <v>0</v>
      </c>
      <c r="AH325" s="1">
        <v>0</v>
      </c>
      <c r="AI325" s="1">
        <v>0</v>
      </c>
      <c r="AJ325" s="1">
        <v>0</v>
      </c>
      <c r="AK325" s="1">
        <v>0</v>
      </c>
      <c r="AL325" s="1">
        <v>0</v>
      </c>
      <c r="AM325" s="1">
        <v>0</v>
      </c>
      <c r="AN325" s="1">
        <v>0</v>
      </c>
      <c r="AO325" s="1">
        <v>0</v>
      </c>
      <c r="AP325" s="1">
        <v>0</v>
      </c>
      <c r="AQ325" s="1">
        <v>0</v>
      </c>
      <c r="AR325" s="1">
        <v>0</v>
      </c>
      <c r="AS325" s="1">
        <v>0</v>
      </c>
    </row>
    <row r="326" spans="1:45">
      <c r="A326" s="1" t="str">
        <f>VLOOKUP(D326,epiunits!A$1:C$4000,2,FALSE)</f>
      </c>
      <c r="B326" s="1" t="str">
        <f>VLOOKUP(D326,epiunits!A$1:C$4000,3,FALSE)</f>
      </c>
      <c r="C326" s="1" t="str">
        <f>VLOOKUP(E326,Inspector!A$1:B$50,2,FALSE)</f>
      </c>
      <c r="I326" s="1" t="str">
        <f>VLOOKUP(D326,epiunits!A$1:J$4000,6,FALSE)</f>
      </c>
      <c r="J326" s="1" t="str">
        <f>VLOOKUP(D326,epiunits!A$1:J$4000,7,FALSE)</f>
      </c>
      <c r="K326" s="1" t="str">
        <f>VLOOKUP(D326,epiunits!A$1:J$4000,8,FALSE)</f>
      </c>
      <c r="L326" s="1" t="str">
        <f>VLOOKUP(D326,epiunits!A$1:J$4000,9,FALSE)</f>
      </c>
      <c r="M326" s="1" t="str">
        <f>VLOOKUP(D326,epiunits!A$1:J$4000,10,FALSE)</f>
      </c>
      <c r="N326" s="1">
        <v>0</v>
      </c>
      <c r="O326" s="1">
        <v>0</v>
      </c>
      <c r="P326" s="1">
        <v>0</v>
      </c>
      <c r="Q326" s="1">
        <v>0</v>
      </c>
      <c r="R326" s="1">
        <v>0</v>
      </c>
      <c r="S326" s="1">
        <v>0</v>
      </c>
      <c r="T326" s="1">
        <v>0</v>
      </c>
      <c r="U326" s="1">
        <v>0</v>
      </c>
      <c r="V326" s="1">
        <v>0</v>
      </c>
      <c r="W326" s="1">
        <v>0</v>
      </c>
      <c r="X326" s="1">
        <v>0</v>
      </c>
      <c r="Y326" s="1">
        <v>0</v>
      </c>
      <c r="Z326" s="1">
        <v>0</v>
      </c>
      <c r="AA326" s="1">
        <v>0</v>
      </c>
      <c r="AB326" s="1">
        <v>0</v>
      </c>
      <c r="AC326" s="1">
        <v>0</v>
      </c>
      <c r="AD326" s="1">
        <v>0</v>
      </c>
      <c r="AE326" s="1">
        <v>0</v>
      </c>
      <c r="AF326" s="1">
        <v>0</v>
      </c>
      <c r="AG326" s="1">
        <v>0</v>
      </c>
      <c r="AH326" s="1">
        <v>0</v>
      </c>
      <c r="AI326" s="1">
        <v>0</v>
      </c>
      <c r="AJ326" s="1">
        <v>0</v>
      </c>
      <c r="AK326" s="1">
        <v>0</v>
      </c>
      <c r="AL326" s="1">
        <v>0</v>
      </c>
      <c r="AM326" s="1">
        <v>0</v>
      </c>
      <c r="AN326" s="1">
        <v>0</v>
      </c>
      <c r="AO326" s="1">
        <v>0</v>
      </c>
      <c r="AP326" s="1">
        <v>0</v>
      </c>
      <c r="AQ326" s="1">
        <v>0</v>
      </c>
      <c r="AR326" s="1">
        <v>0</v>
      </c>
      <c r="AS326" s="1">
        <v>0</v>
      </c>
    </row>
    <row r="327" spans="1:45">
      <c r="A327" s="1" t="str">
        <f>VLOOKUP(D327,epiunits!A$1:C$4000,2,FALSE)</f>
      </c>
      <c r="B327" s="1" t="str">
        <f>VLOOKUP(D327,epiunits!A$1:C$4000,3,FALSE)</f>
      </c>
      <c r="C327" s="1" t="str">
        <f>VLOOKUP(E327,Inspector!A$1:B$50,2,FALSE)</f>
      </c>
      <c r="I327" s="1" t="str">
        <f>VLOOKUP(D327,epiunits!A$1:J$4000,6,FALSE)</f>
      </c>
      <c r="J327" s="1" t="str">
        <f>VLOOKUP(D327,epiunits!A$1:J$4000,7,FALSE)</f>
      </c>
      <c r="K327" s="1" t="str">
        <f>VLOOKUP(D327,epiunits!A$1:J$4000,8,FALSE)</f>
      </c>
      <c r="L327" s="1" t="str">
        <f>VLOOKUP(D327,epiunits!A$1:J$4000,9,FALSE)</f>
      </c>
      <c r="M327" s="1" t="str">
        <f>VLOOKUP(D327,epiunits!A$1:J$4000,10,FALSE)</f>
      </c>
      <c r="N327" s="1">
        <v>0</v>
      </c>
      <c r="O327" s="1">
        <v>0</v>
      </c>
      <c r="P327" s="1">
        <v>0</v>
      </c>
      <c r="Q327" s="1">
        <v>0</v>
      </c>
      <c r="R327" s="1">
        <v>0</v>
      </c>
      <c r="S327" s="1">
        <v>0</v>
      </c>
      <c r="T327" s="1">
        <v>0</v>
      </c>
      <c r="U327" s="1">
        <v>0</v>
      </c>
      <c r="V327" s="1">
        <v>0</v>
      </c>
      <c r="W327" s="1">
        <v>0</v>
      </c>
      <c r="X327" s="1">
        <v>0</v>
      </c>
      <c r="Y327" s="1">
        <v>0</v>
      </c>
      <c r="Z327" s="1">
        <v>0</v>
      </c>
      <c r="AA327" s="1">
        <v>0</v>
      </c>
      <c r="AB327" s="1">
        <v>0</v>
      </c>
      <c r="AC327" s="1">
        <v>0</v>
      </c>
      <c r="AD327" s="1">
        <v>0</v>
      </c>
      <c r="AE327" s="1">
        <v>0</v>
      </c>
      <c r="AF327" s="1">
        <v>0</v>
      </c>
      <c r="AG327" s="1">
        <v>0</v>
      </c>
      <c r="AH327" s="1">
        <v>0</v>
      </c>
      <c r="AI327" s="1">
        <v>0</v>
      </c>
      <c r="AJ327" s="1">
        <v>0</v>
      </c>
      <c r="AK327" s="1">
        <v>0</v>
      </c>
      <c r="AL327" s="1">
        <v>0</v>
      </c>
      <c r="AM327" s="1">
        <v>0</v>
      </c>
      <c r="AN327" s="1">
        <v>0</v>
      </c>
      <c r="AO327" s="1">
        <v>0</v>
      </c>
      <c r="AP327" s="1">
        <v>0</v>
      </c>
      <c r="AQ327" s="1">
        <v>0</v>
      </c>
      <c r="AR327" s="1">
        <v>0</v>
      </c>
      <c r="AS327" s="1">
        <v>0</v>
      </c>
    </row>
    <row r="328" spans="1:45">
      <c r="A328" s="1" t="str">
        <f>VLOOKUP(D328,epiunits!A$1:C$4000,2,FALSE)</f>
      </c>
      <c r="B328" s="1" t="str">
        <f>VLOOKUP(D328,epiunits!A$1:C$4000,3,FALSE)</f>
      </c>
      <c r="C328" s="1" t="str">
        <f>VLOOKUP(E328,Inspector!A$1:B$50,2,FALSE)</f>
      </c>
      <c r="I328" s="1" t="str">
        <f>VLOOKUP(D328,epiunits!A$1:J$4000,6,FALSE)</f>
      </c>
      <c r="J328" s="1" t="str">
        <f>VLOOKUP(D328,epiunits!A$1:J$4000,7,FALSE)</f>
      </c>
      <c r="K328" s="1" t="str">
        <f>VLOOKUP(D328,epiunits!A$1:J$4000,8,FALSE)</f>
      </c>
      <c r="L328" s="1" t="str">
        <f>VLOOKUP(D328,epiunits!A$1:J$4000,9,FALSE)</f>
      </c>
      <c r="M328" s="1" t="str">
        <f>VLOOKUP(D328,epiunits!A$1:J$4000,10,FALSE)</f>
      </c>
      <c r="N328" s="1">
        <v>0</v>
      </c>
      <c r="O328" s="1">
        <v>0</v>
      </c>
      <c r="P328" s="1">
        <v>0</v>
      </c>
      <c r="Q328" s="1">
        <v>0</v>
      </c>
      <c r="R328" s="1">
        <v>0</v>
      </c>
      <c r="S328" s="1">
        <v>0</v>
      </c>
      <c r="T328" s="1">
        <v>0</v>
      </c>
      <c r="U328" s="1">
        <v>0</v>
      </c>
      <c r="V328" s="1">
        <v>0</v>
      </c>
      <c r="W328" s="1">
        <v>0</v>
      </c>
      <c r="X328" s="1">
        <v>0</v>
      </c>
      <c r="Y328" s="1">
        <v>0</v>
      </c>
      <c r="Z328" s="1">
        <v>0</v>
      </c>
      <c r="AA328" s="1">
        <v>0</v>
      </c>
      <c r="AB328" s="1">
        <v>0</v>
      </c>
      <c r="AC328" s="1">
        <v>0</v>
      </c>
      <c r="AD328" s="1">
        <v>0</v>
      </c>
      <c r="AE328" s="1">
        <v>0</v>
      </c>
      <c r="AF328" s="1">
        <v>0</v>
      </c>
      <c r="AG328" s="1">
        <v>0</v>
      </c>
      <c r="AH328" s="1">
        <v>0</v>
      </c>
      <c r="AI328" s="1">
        <v>0</v>
      </c>
      <c r="AJ328" s="1">
        <v>0</v>
      </c>
      <c r="AK328" s="1">
        <v>0</v>
      </c>
      <c r="AL328" s="1">
        <v>0</v>
      </c>
      <c r="AM328" s="1">
        <v>0</v>
      </c>
      <c r="AN328" s="1">
        <v>0</v>
      </c>
      <c r="AO328" s="1">
        <v>0</v>
      </c>
      <c r="AP328" s="1">
        <v>0</v>
      </c>
      <c r="AQ328" s="1">
        <v>0</v>
      </c>
      <c r="AR328" s="1">
        <v>0</v>
      </c>
      <c r="AS328" s="1">
        <v>0</v>
      </c>
    </row>
    <row r="329" spans="1:45">
      <c r="A329" s="1" t="str">
        <f>VLOOKUP(D329,epiunits!A$1:C$4000,2,FALSE)</f>
      </c>
      <c r="B329" s="1" t="str">
        <f>VLOOKUP(D329,epiunits!A$1:C$4000,3,FALSE)</f>
      </c>
      <c r="C329" s="1" t="str">
        <f>VLOOKUP(E329,Inspector!A$1:B$50,2,FALSE)</f>
      </c>
      <c r="I329" s="1" t="str">
        <f>VLOOKUP(D329,epiunits!A$1:J$4000,6,FALSE)</f>
      </c>
      <c r="J329" s="1" t="str">
        <f>VLOOKUP(D329,epiunits!A$1:J$4000,7,FALSE)</f>
      </c>
      <c r="K329" s="1" t="str">
        <f>VLOOKUP(D329,epiunits!A$1:J$4000,8,FALSE)</f>
      </c>
      <c r="L329" s="1" t="str">
        <f>VLOOKUP(D329,epiunits!A$1:J$4000,9,FALSE)</f>
      </c>
      <c r="M329" s="1" t="str">
        <f>VLOOKUP(D329,epiunits!A$1:J$4000,10,FALSE)</f>
      </c>
      <c r="N329" s="1">
        <v>0</v>
      </c>
      <c r="O329" s="1">
        <v>0</v>
      </c>
      <c r="P329" s="1">
        <v>0</v>
      </c>
      <c r="Q329" s="1">
        <v>0</v>
      </c>
      <c r="R329" s="1">
        <v>0</v>
      </c>
      <c r="S329" s="1">
        <v>0</v>
      </c>
      <c r="T329" s="1">
        <v>0</v>
      </c>
      <c r="U329" s="1">
        <v>0</v>
      </c>
      <c r="V329" s="1">
        <v>0</v>
      </c>
      <c r="W329" s="1">
        <v>0</v>
      </c>
      <c r="X329" s="1">
        <v>0</v>
      </c>
      <c r="Y329" s="1">
        <v>0</v>
      </c>
      <c r="Z329" s="1">
        <v>0</v>
      </c>
      <c r="AA329" s="1">
        <v>0</v>
      </c>
      <c r="AB329" s="1">
        <v>0</v>
      </c>
      <c r="AC329" s="1">
        <v>0</v>
      </c>
      <c r="AD329" s="1">
        <v>0</v>
      </c>
      <c r="AE329" s="1">
        <v>0</v>
      </c>
      <c r="AF329" s="1">
        <v>0</v>
      </c>
      <c r="AG329" s="1">
        <v>0</v>
      </c>
      <c r="AH329" s="1">
        <v>0</v>
      </c>
      <c r="AI329" s="1">
        <v>0</v>
      </c>
      <c r="AJ329" s="1">
        <v>0</v>
      </c>
      <c r="AK329" s="1">
        <v>0</v>
      </c>
      <c r="AL329" s="1">
        <v>0</v>
      </c>
      <c r="AM329" s="1">
        <v>0</v>
      </c>
      <c r="AN329" s="1">
        <v>0</v>
      </c>
      <c r="AO329" s="1">
        <v>0</v>
      </c>
      <c r="AP329" s="1">
        <v>0</v>
      </c>
      <c r="AQ329" s="1">
        <v>0</v>
      </c>
      <c r="AR329" s="1">
        <v>0</v>
      </c>
      <c r="AS329" s="1">
        <v>0</v>
      </c>
    </row>
    <row r="330" spans="1:45">
      <c r="A330" s="1" t="str">
        <f>VLOOKUP(D330,epiunits!A$1:C$4000,2,FALSE)</f>
      </c>
      <c r="B330" s="1" t="str">
        <f>VLOOKUP(D330,epiunits!A$1:C$4000,3,FALSE)</f>
      </c>
      <c r="C330" s="1" t="str">
        <f>VLOOKUP(E330,Inspector!A$1:B$50,2,FALSE)</f>
      </c>
      <c r="I330" s="1" t="str">
        <f>VLOOKUP(D330,epiunits!A$1:J$4000,6,FALSE)</f>
      </c>
      <c r="J330" s="1" t="str">
        <f>VLOOKUP(D330,epiunits!A$1:J$4000,7,FALSE)</f>
      </c>
      <c r="K330" s="1" t="str">
        <f>VLOOKUP(D330,epiunits!A$1:J$4000,8,FALSE)</f>
      </c>
      <c r="L330" s="1" t="str">
        <f>VLOOKUP(D330,epiunits!A$1:J$4000,9,FALSE)</f>
      </c>
      <c r="M330" s="1" t="str">
        <f>VLOOKUP(D330,epiunits!A$1:J$4000,10,FALSE)</f>
      </c>
      <c r="N330" s="1">
        <v>0</v>
      </c>
      <c r="O330" s="1">
        <v>0</v>
      </c>
      <c r="P330" s="1">
        <v>0</v>
      </c>
      <c r="Q330" s="1">
        <v>0</v>
      </c>
      <c r="R330" s="1">
        <v>0</v>
      </c>
      <c r="S330" s="1">
        <v>0</v>
      </c>
      <c r="T330" s="1">
        <v>0</v>
      </c>
      <c r="U330" s="1">
        <v>0</v>
      </c>
      <c r="V330" s="1">
        <v>0</v>
      </c>
      <c r="W330" s="1">
        <v>0</v>
      </c>
      <c r="X330" s="1">
        <v>0</v>
      </c>
      <c r="Y330" s="1">
        <v>0</v>
      </c>
      <c r="Z330" s="1">
        <v>0</v>
      </c>
      <c r="AA330" s="1">
        <v>0</v>
      </c>
      <c r="AB330" s="1">
        <v>0</v>
      </c>
      <c r="AC330" s="1">
        <v>0</v>
      </c>
      <c r="AD330" s="1">
        <v>0</v>
      </c>
      <c r="AE330" s="1">
        <v>0</v>
      </c>
      <c r="AF330" s="1">
        <v>0</v>
      </c>
      <c r="AG330" s="1">
        <v>0</v>
      </c>
      <c r="AH330" s="1">
        <v>0</v>
      </c>
      <c r="AI330" s="1">
        <v>0</v>
      </c>
      <c r="AJ330" s="1">
        <v>0</v>
      </c>
      <c r="AK330" s="1">
        <v>0</v>
      </c>
      <c r="AL330" s="1">
        <v>0</v>
      </c>
      <c r="AM330" s="1">
        <v>0</v>
      </c>
      <c r="AN330" s="1">
        <v>0</v>
      </c>
      <c r="AO330" s="1">
        <v>0</v>
      </c>
      <c r="AP330" s="1">
        <v>0</v>
      </c>
      <c r="AQ330" s="1">
        <v>0</v>
      </c>
      <c r="AR330" s="1">
        <v>0</v>
      </c>
      <c r="AS330" s="1">
        <v>0</v>
      </c>
    </row>
    <row r="331" spans="1:45">
      <c r="A331" s="1" t="str">
        <f>VLOOKUP(D331,epiunits!A$1:C$4000,2,FALSE)</f>
      </c>
      <c r="B331" s="1" t="str">
        <f>VLOOKUP(D331,epiunits!A$1:C$4000,3,FALSE)</f>
      </c>
      <c r="C331" s="1" t="str">
        <f>VLOOKUP(E331,Inspector!A$1:B$50,2,FALSE)</f>
      </c>
      <c r="I331" s="1" t="str">
        <f>VLOOKUP(D331,epiunits!A$1:J$4000,6,FALSE)</f>
      </c>
      <c r="J331" s="1" t="str">
        <f>VLOOKUP(D331,epiunits!A$1:J$4000,7,FALSE)</f>
      </c>
      <c r="K331" s="1" t="str">
        <f>VLOOKUP(D331,epiunits!A$1:J$4000,8,FALSE)</f>
      </c>
      <c r="L331" s="1" t="str">
        <f>VLOOKUP(D331,epiunits!A$1:J$4000,9,FALSE)</f>
      </c>
      <c r="M331" s="1" t="str">
        <f>VLOOKUP(D331,epiunits!A$1:J$4000,10,FALSE)</f>
      </c>
      <c r="N331" s="1">
        <v>0</v>
      </c>
      <c r="O331" s="1">
        <v>0</v>
      </c>
      <c r="P331" s="1">
        <v>0</v>
      </c>
      <c r="Q331" s="1">
        <v>0</v>
      </c>
      <c r="R331" s="1">
        <v>0</v>
      </c>
      <c r="S331" s="1">
        <v>0</v>
      </c>
      <c r="T331" s="1">
        <v>0</v>
      </c>
      <c r="U331" s="1">
        <v>0</v>
      </c>
      <c r="V331" s="1">
        <v>0</v>
      </c>
      <c r="W331" s="1">
        <v>0</v>
      </c>
      <c r="X331" s="1">
        <v>0</v>
      </c>
      <c r="Y331" s="1">
        <v>0</v>
      </c>
      <c r="Z331" s="1">
        <v>0</v>
      </c>
      <c r="AA331" s="1">
        <v>0</v>
      </c>
      <c r="AB331" s="1">
        <v>0</v>
      </c>
      <c r="AC331" s="1">
        <v>0</v>
      </c>
      <c r="AD331" s="1">
        <v>0</v>
      </c>
      <c r="AE331" s="1">
        <v>0</v>
      </c>
      <c r="AF331" s="1">
        <v>0</v>
      </c>
      <c r="AG331" s="1">
        <v>0</v>
      </c>
      <c r="AH331" s="1">
        <v>0</v>
      </c>
      <c r="AI331" s="1">
        <v>0</v>
      </c>
      <c r="AJ331" s="1">
        <v>0</v>
      </c>
      <c r="AK331" s="1">
        <v>0</v>
      </c>
      <c r="AL331" s="1">
        <v>0</v>
      </c>
      <c r="AM331" s="1">
        <v>0</v>
      </c>
      <c r="AN331" s="1">
        <v>0</v>
      </c>
      <c r="AO331" s="1">
        <v>0</v>
      </c>
      <c r="AP331" s="1">
        <v>0</v>
      </c>
      <c r="AQ331" s="1">
        <v>0</v>
      </c>
      <c r="AR331" s="1">
        <v>0</v>
      </c>
      <c r="AS331" s="1">
        <v>0</v>
      </c>
    </row>
    <row r="332" spans="1:45">
      <c r="A332" s="1" t="str">
        <f>VLOOKUP(D332,epiunits!A$1:C$4000,2,FALSE)</f>
      </c>
      <c r="B332" s="1" t="str">
        <f>VLOOKUP(D332,epiunits!A$1:C$4000,3,FALSE)</f>
      </c>
      <c r="C332" s="1" t="str">
        <f>VLOOKUP(E332,Inspector!A$1:B$50,2,FALSE)</f>
      </c>
      <c r="I332" s="1" t="str">
        <f>VLOOKUP(D332,epiunits!A$1:J$4000,6,FALSE)</f>
      </c>
      <c r="J332" s="1" t="str">
        <f>VLOOKUP(D332,epiunits!A$1:J$4000,7,FALSE)</f>
      </c>
      <c r="K332" s="1" t="str">
        <f>VLOOKUP(D332,epiunits!A$1:J$4000,8,FALSE)</f>
      </c>
      <c r="L332" s="1" t="str">
        <f>VLOOKUP(D332,epiunits!A$1:J$4000,9,FALSE)</f>
      </c>
      <c r="M332" s="1" t="str">
        <f>VLOOKUP(D332,epiunits!A$1:J$4000,10,FALSE)</f>
      </c>
      <c r="N332" s="1">
        <v>0</v>
      </c>
      <c r="O332" s="1">
        <v>0</v>
      </c>
      <c r="P332" s="1">
        <v>0</v>
      </c>
      <c r="Q332" s="1">
        <v>0</v>
      </c>
      <c r="R332" s="1">
        <v>0</v>
      </c>
      <c r="S332" s="1">
        <v>0</v>
      </c>
      <c r="T332" s="1">
        <v>0</v>
      </c>
      <c r="U332" s="1">
        <v>0</v>
      </c>
      <c r="V332" s="1">
        <v>0</v>
      </c>
      <c r="W332" s="1">
        <v>0</v>
      </c>
      <c r="X332" s="1">
        <v>0</v>
      </c>
      <c r="Y332" s="1">
        <v>0</v>
      </c>
      <c r="Z332" s="1">
        <v>0</v>
      </c>
      <c r="AA332" s="1">
        <v>0</v>
      </c>
      <c r="AB332" s="1">
        <v>0</v>
      </c>
      <c r="AC332" s="1">
        <v>0</v>
      </c>
      <c r="AD332" s="1">
        <v>0</v>
      </c>
      <c r="AE332" s="1">
        <v>0</v>
      </c>
      <c r="AF332" s="1">
        <v>0</v>
      </c>
      <c r="AG332" s="1">
        <v>0</v>
      </c>
      <c r="AH332" s="1">
        <v>0</v>
      </c>
      <c r="AI332" s="1">
        <v>0</v>
      </c>
      <c r="AJ332" s="1">
        <v>0</v>
      </c>
      <c r="AK332" s="1">
        <v>0</v>
      </c>
      <c r="AL332" s="1">
        <v>0</v>
      </c>
      <c r="AM332" s="1">
        <v>0</v>
      </c>
      <c r="AN332" s="1">
        <v>0</v>
      </c>
      <c r="AO332" s="1">
        <v>0</v>
      </c>
      <c r="AP332" s="1">
        <v>0</v>
      </c>
      <c r="AQ332" s="1">
        <v>0</v>
      </c>
      <c r="AR332" s="1">
        <v>0</v>
      </c>
      <c r="AS332" s="1">
        <v>0</v>
      </c>
    </row>
    <row r="333" spans="1:45">
      <c r="A333" s="1" t="str">
        <f>VLOOKUP(D333,epiunits!A$1:C$4000,2,FALSE)</f>
      </c>
      <c r="B333" s="1" t="str">
        <f>VLOOKUP(D333,epiunits!A$1:C$4000,3,FALSE)</f>
      </c>
      <c r="C333" s="1" t="str">
        <f>VLOOKUP(E333,Inspector!A$1:B$50,2,FALSE)</f>
      </c>
      <c r="I333" s="1" t="str">
        <f>VLOOKUP(D333,epiunits!A$1:J$4000,6,FALSE)</f>
      </c>
      <c r="J333" s="1" t="str">
        <f>VLOOKUP(D333,epiunits!A$1:J$4000,7,FALSE)</f>
      </c>
      <c r="K333" s="1" t="str">
        <f>VLOOKUP(D333,epiunits!A$1:J$4000,8,FALSE)</f>
      </c>
      <c r="L333" s="1" t="str">
        <f>VLOOKUP(D333,epiunits!A$1:J$4000,9,FALSE)</f>
      </c>
      <c r="M333" s="1" t="str">
        <f>VLOOKUP(D333,epiunits!A$1:J$4000,10,FALSE)</f>
      </c>
      <c r="N333" s="1">
        <v>0</v>
      </c>
      <c r="O333" s="1">
        <v>0</v>
      </c>
      <c r="P333" s="1">
        <v>0</v>
      </c>
      <c r="Q333" s="1">
        <v>0</v>
      </c>
      <c r="R333" s="1">
        <v>0</v>
      </c>
      <c r="S333" s="1">
        <v>0</v>
      </c>
      <c r="T333" s="1">
        <v>0</v>
      </c>
      <c r="U333" s="1">
        <v>0</v>
      </c>
      <c r="V333" s="1">
        <v>0</v>
      </c>
      <c r="W333" s="1">
        <v>0</v>
      </c>
      <c r="X333" s="1">
        <v>0</v>
      </c>
      <c r="Y333" s="1">
        <v>0</v>
      </c>
      <c r="Z333" s="1">
        <v>0</v>
      </c>
      <c r="AA333" s="1">
        <v>0</v>
      </c>
      <c r="AB333" s="1">
        <v>0</v>
      </c>
      <c r="AC333" s="1">
        <v>0</v>
      </c>
      <c r="AD333" s="1">
        <v>0</v>
      </c>
      <c r="AE333" s="1">
        <v>0</v>
      </c>
      <c r="AF333" s="1">
        <v>0</v>
      </c>
      <c r="AG333" s="1">
        <v>0</v>
      </c>
      <c r="AH333" s="1">
        <v>0</v>
      </c>
      <c r="AI333" s="1">
        <v>0</v>
      </c>
      <c r="AJ333" s="1">
        <v>0</v>
      </c>
      <c r="AK333" s="1">
        <v>0</v>
      </c>
      <c r="AL333" s="1">
        <v>0</v>
      </c>
      <c r="AM333" s="1">
        <v>0</v>
      </c>
      <c r="AN333" s="1">
        <v>0</v>
      </c>
      <c r="AO333" s="1">
        <v>0</v>
      </c>
      <c r="AP333" s="1">
        <v>0</v>
      </c>
      <c r="AQ333" s="1">
        <v>0</v>
      </c>
      <c r="AR333" s="1">
        <v>0</v>
      </c>
      <c r="AS333" s="1">
        <v>0</v>
      </c>
    </row>
    <row r="334" spans="1:45">
      <c r="A334" s="1" t="str">
        <f>VLOOKUP(D334,epiunits!A$1:C$4000,2,FALSE)</f>
      </c>
      <c r="B334" s="1" t="str">
        <f>VLOOKUP(D334,epiunits!A$1:C$4000,3,FALSE)</f>
      </c>
      <c r="C334" s="1" t="str">
        <f>VLOOKUP(E334,Inspector!A$1:B$50,2,FALSE)</f>
      </c>
      <c r="I334" s="1" t="str">
        <f>VLOOKUP(D334,epiunits!A$1:J$4000,6,FALSE)</f>
      </c>
      <c r="J334" s="1" t="str">
        <f>VLOOKUP(D334,epiunits!A$1:J$4000,7,FALSE)</f>
      </c>
      <c r="K334" s="1" t="str">
        <f>VLOOKUP(D334,epiunits!A$1:J$4000,8,FALSE)</f>
      </c>
      <c r="L334" s="1" t="str">
        <f>VLOOKUP(D334,epiunits!A$1:J$4000,9,FALSE)</f>
      </c>
      <c r="M334" s="1" t="str">
        <f>VLOOKUP(D334,epiunits!A$1:J$4000,10,FALSE)</f>
      </c>
      <c r="N334" s="1">
        <v>0</v>
      </c>
      <c r="O334" s="1">
        <v>0</v>
      </c>
      <c r="P334" s="1">
        <v>0</v>
      </c>
      <c r="Q334" s="1">
        <v>0</v>
      </c>
      <c r="R334" s="1">
        <v>0</v>
      </c>
      <c r="S334" s="1">
        <v>0</v>
      </c>
      <c r="T334" s="1">
        <v>0</v>
      </c>
      <c r="U334" s="1">
        <v>0</v>
      </c>
      <c r="V334" s="1">
        <v>0</v>
      </c>
      <c r="W334" s="1">
        <v>0</v>
      </c>
      <c r="X334" s="1">
        <v>0</v>
      </c>
      <c r="Y334" s="1">
        <v>0</v>
      </c>
      <c r="Z334" s="1">
        <v>0</v>
      </c>
      <c r="AA334" s="1">
        <v>0</v>
      </c>
      <c r="AB334" s="1">
        <v>0</v>
      </c>
      <c r="AC334" s="1">
        <v>0</v>
      </c>
      <c r="AD334" s="1">
        <v>0</v>
      </c>
      <c r="AE334" s="1">
        <v>0</v>
      </c>
      <c r="AF334" s="1">
        <v>0</v>
      </c>
      <c r="AG334" s="1">
        <v>0</v>
      </c>
      <c r="AH334" s="1">
        <v>0</v>
      </c>
      <c r="AI334" s="1">
        <v>0</v>
      </c>
      <c r="AJ334" s="1">
        <v>0</v>
      </c>
      <c r="AK334" s="1">
        <v>0</v>
      </c>
      <c r="AL334" s="1">
        <v>0</v>
      </c>
      <c r="AM334" s="1">
        <v>0</v>
      </c>
      <c r="AN334" s="1">
        <v>0</v>
      </c>
      <c r="AO334" s="1">
        <v>0</v>
      </c>
      <c r="AP334" s="1">
        <v>0</v>
      </c>
      <c r="AQ334" s="1">
        <v>0</v>
      </c>
      <c r="AR334" s="1">
        <v>0</v>
      </c>
      <c r="AS334" s="1">
        <v>0</v>
      </c>
    </row>
    <row r="335" spans="1:45">
      <c r="A335" s="1" t="str">
        <f>VLOOKUP(D335,epiunits!A$1:C$4000,2,FALSE)</f>
      </c>
      <c r="B335" s="1" t="str">
        <f>VLOOKUP(D335,epiunits!A$1:C$4000,3,FALSE)</f>
      </c>
      <c r="C335" s="1" t="str">
        <f>VLOOKUP(E335,Inspector!A$1:B$50,2,FALSE)</f>
      </c>
      <c r="I335" s="1" t="str">
        <f>VLOOKUP(D335,epiunits!A$1:J$4000,6,FALSE)</f>
      </c>
      <c r="J335" s="1" t="str">
        <f>VLOOKUP(D335,epiunits!A$1:J$4000,7,FALSE)</f>
      </c>
      <c r="K335" s="1" t="str">
        <f>VLOOKUP(D335,epiunits!A$1:J$4000,8,FALSE)</f>
      </c>
      <c r="L335" s="1" t="str">
        <f>VLOOKUP(D335,epiunits!A$1:J$4000,9,FALSE)</f>
      </c>
      <c r="M335" s="1" t="str">
        <f>VLOOKUP(D335,epiunits!A$1:J$4000,10,FALSE)</f>
      </c>
      <c r="N335" s="1">
        <v>0</v>
      </c>
      <c r="O335" s="1">
        <v>0</v>
      </c>
      <c r="P335" s="1">
        <v>0</v>
      </c>
      <c r="Q335" s="1">
        <v>0</v>
      </c>
      <c r="R335" s="1">
        <v>0</v>
      </c>
      <c r="S335" s="1">
        <v>0</v>
      </c>
      <c r="T335" s="1">
        <v>0</v>
      </c>
      <c r="U335" s="1">
        <v>0</v>
      </c>
      <c r="V335" s="1">
        <v>0</v>
      </c>
      <c r="W335" s="1">
        <v>0</v>
      </c>
      <c r="X335" s="1">
        <v>0</v>
      </c>
      <c r="Y335" s="1">
        <v>0</v>
      </c>
      <c r="Z335" s="1">
        <v>0</v>
      </c>
      <c r="AA335" s="1">
        <v>0</v>
      </c>
      <c r="AB335" s="1">
        <v>0</v>
      </c>
      <c r="AC335" s="1">
        <v>0</v>
      </c>
      <c r="AD335" s="1">
        <v>0</v>
      </c>
      <c r="AE335" s="1">
        <v>0</v>
      </c>
      <c r="AF335" s="1">
        <v>0</v>
      </c>
      <c r="AG335" s="1">
        <v>0</v>
      </c>
      <c r="AH335" s="1">
        <v>0</v>
      </c>
      <c r="AI335" s="1">
        <v>0</v>
      </c>
      <c r="AJ335" s="1">
        <v>0</v>
      </c>
      <c r="AK335" s="1">
        <v>0</v>
      </c>
      <c r="AL335" s="1">
        <v>0</v>
      </c>
      <c r="AM335" s="1">
        <v>0</v>
      </c>
      <c r="AN335" s="1">
        <v>0</v>
      </c>
      <c r="AO335" s="1">
        <v>0</v>
      </c>
      <c r="AP335" s="1">
        <v>0</v>
      </c>
      <c r="AQ335" s="1">
        <v>0</v>
      </c>
      <c r="AR335" s="1">
        <v>0</v>
      </c>
      <c r="AS335" s="1">
        <v>0</v>
      </c>
    </row>
    <row r="336" spans="1:45">
      <c r="A336" s="1" t="str">
        <f>VLOOKUP(D336,epiunits!A$1:C$4000,2,FALSE)</f>
      </c>
      <c r="B336" s="1" t="str">
        <f>VLOOKUP(D336,epiunits!A$1:C$4000,3,FALSE)</f>
      </c>
      <c r="C336" s="1" t="str">
        <f>VLOOKUP(E336,Inspector!A$1:B$50,2,FALSE)</f>
      </c>
      <c r="I336" s="1" t="str">
        <f>VLOOKUP(D336,epiunits!A$1:J$4000,6,FALSE)</f>
      </c>
      <c r="J336" s="1" t="str">
        <f>VLOOKUP(D336,epiunits!A$1:J$4000,7,FALSE)</f>
      </c>
      <c r="K336" s="1" t="str">
        <f>VLOOKUP(D336,epiunits!A$1:J$4000,8,FALSE)</f>
      </c>
      <c r="L336" s="1" t="str">
        <f>VLOOKUP(D336,epiunits!A$1:J$4000,9,FALSE)</f>
      </c>
      <c r="M336" s="1" t="str">
        <f>VLOOKUP(D336,epiunits!A$1:J$4000,10,FALSE)</f>
      </c>
      <c r="N336" s="1">
        <v>0</v>
      </c>
      <c r="O336" s="1">
        <v>0</v>
      </c>
      <c r="P336" s="1">
        <v>0</v>
      </c>
      <c r="Q336" s="1">
        <v>0</v>
      </c>
      <c r="R336" s="1">
        <v>0</v>
      </c>
      <c r="S336" s="1">
        <v>0</v>
      </c>
      <c r="T336" s="1">
        <v>0</v>
      </c>
      <c r="U336" s="1">
        <v>0</v>
      </c>
      <c r="V336" s="1">
        <v>0</v>
      </c>
      <c r="W336" s="1">
        <v>0</v>
      </c>
      <c r="X336" s="1">
        <v>0</v>
      </c>
      <c r="Y336" s="1">
        <v>0</v>
      </c>
      <c r="Z336" s="1">
        <v>0</v>
      </c>
      <c r="AA336" s="1">
        <v>0</v>
      </c>
      <c r="AB336" s="1">
        <v>0</v>
      </c>
      <c r="AC336" s="1">
        <v>0</v>
      </c>
      <c r="AD336" s="1">
        <v>0</v>
      </c>
      <c r="AE336" s="1">
        <v>0</v>
      </c>
      <c r="AF336" s="1">
        <v>0</v>
      </c>
      <c r="AG336" s="1">
        <v>0</v>
      </c>
      <c r="AH336" s="1">
        <v>0</v>
      </c>
      <c r="AI336" s="1">
        <v>0</v>
      </c>
      <c r="AJ336" s="1">
        <v>0</v>
      </c>
      <c r="AK336" s="1">
        <v>0</v>
      </c>
      <c r="AL336" s="1">
        <v>0</v>
      </c>
      <c r="AM336" s="1">
        <v>0</v>
      </c>
      <c r="AN336" s="1">
        <v>0</v>
      </c>
      <c r="AO336" s="1">
        <v>0</v>
      </c>
      <c r="AP336" s="1">
        <v>0</v>
      </c>
      <c r="AQ336" s="1">
        <v>0</v>
      </c>
      <c r="AR336" s="1">
        <v>0</v>
      </c>
      <c r="AS336" s="1">
        <v>0</v>
      </c>
    </row>
    <row r="337" spans="1:45">
      <c r="A337" s="1" t="str">
        <f>VLOOKUP(D337,epiunits!A$1:C$4000,2,FALSE)</f>
      </c>
      <c r="B337" s="1" t="str">
        <f>VLOOKUP(D337,epiunits!A$1:C$4000,3,FALSE)</f>
      </c>
      <c r="C337" s="1" t="str">
        <f>VLOOKUP(E337,Inspector!A$1:B$50,2,FALSE)</f>
      </c>
      <c r="I337" s="1" t="str">
        <f>VLOOKUP(D337,epiunits!A$1:J$4000,6,FALSE)</f>
      </c>
      <c r="J337" s="1" t="str">
        <f>VLOOKUP(D337,epiunits!A$1:J$4000,7,FALSE)</f>
      </c>
      <c r="K337" s="1" t="str">
        <f>VLOOKUP(D337,epiunits!A$1:J$4000,8,FALSE)</f>
      </c>
      <c r="L337" s="1" t="str">
        <f>VLOOKUP(D337,epiunits!A$1:J$4000,9,FALSE)</f>
      </c>
      <c r="M337" s="1" t="str">
        <f>VLOOKUP(D337,epiunits!A$1:J$4000,10,FALSE)</f>
      </c>
      <c r="N337" s="1">
        <v>0</v>
      </c>
      <c r="O337" s="1">
        <v>0</v>
      </c>
      <c r="P337" s="1">
        <v>0</v>
      </c>
      <c r="Q337" s="1">
        <v>0</v>
      </c>
      <c r="R337" s="1">
        <v>0</v>
      </c>
      <c r="S337" s="1">
        <v>0</v>
      </c>
      <c r="T337" s="1">
        <v>0</v>
      </c>
      <c r="U337" s="1">
        <v>0</v>
      </c>
      <c r="V337" s="1">
        <v>0</v>
      </c>
      <c r="W337" s="1">
        <v>0</v>
      </c>
      <c r="X337" s="1">
        <v>0</v>
      </c>
      <c r="Y337" s="1">
        <v>0</v>
      </c>
      <c r="Z337" s="1">
        <v>0</v>
      </c>
      <c r="AA337" s="1">
        <v>0</v>
      </c>
      <c r="AB337" s="1">
        <v>0</v>
      </c>
      <c r="AC337" s="1">
        <v>0</v>
      </c>
      <c r="AD337" s="1">
        <v>0</v>
      </c>
      <c r="AE337" s="1">
        <v>0</v>
      </c>
      <c r="AF337" s="1">
        <v>0</v>
      </c>
      <c r="AG337" s="1">
        <v>0</v>
      </c>
      <c r="AH337" s="1">
        <v>0</v>
      </c>
      <c r="AI337" s="1">
        <v>0</v>
      </c>
      <c r="AJ337" s="1">
        <v>0</v>
      </c>
      <c r="AK337" s="1">
        <v>0</v>
      </c>
      <c r="AL337" s="1">
        <v>0</v>
      </c>
      <c r="AM337" s="1">
        <v>0</v>
      </c>
      <c r="AN337" s="1">
        <v>0</v>
      </c>
      <c r="AO337" s="1">
        <v>0</v>
      </c>
      <c r="AP337" s="1">
        <v>0</v>
      </c>
      <c r="AQ337" s="1">
        <v>0</v>
      </c>
      <c r="AR337" s="1">
        <v>0</v>
      </c>
      <c r="AS337" s="1">
        <v>0</v>
      </c>
    </row>
    <row r="338" spans="1:45">
      <c r="A338" s="1" t="str">
        <f>VLOOKUP(D338,epiunits!A$1:C$4000,2,FALSE)</f>
      </c>
      <c r="B338" s="1" t="str">
        <f>VLOOKUP(D338,epiunits!A$1:C$4000,3,FALSE)</f>
      </c>
      <c r="C338" s="1" t="str">
        <f>VLOOKUP(E338,Inspector!A$1:B$50,2,FALSE)</f>
      </c>
      <c r="I338" s="1" t="str">
        <f>VLOOKUP(D338,epiunits!A$1:J$4000,6,FALSE)</f>
      </c>
      <c r="J338" s="1" t="str">
        <f>VLOOKUP(D338,epiunits!A$1:J$4000,7,FALSE)</f>
      </c>
      <c r="K338" s="1" t="str">
        <f>VLOOKUP(D338,epiunits!A$1:J$4000,8,FALSE)</f>
      </c>
      <c r="L338" s="1" t="str">
        <f>VLOOKUP(D338,epiunits!A$1:J$4000,9,FALSE)</f>
      </c>
      <c r="M338" s="1" t="str">
        <f>VLOOKUP(D338,epiunits!A$1:J$4000,10,FALSE)</f>
      </c>
      <c r="N338" s="1">
        <v>0</v>
      </c>
      <c r="O338" s="1">
        <v>0</v>
      </c>
      <c r="P338" s="1">
        <v>0</v>
      </c>
      <c r="Q338" s="1">
        <v>0</v>
      </c>
      <c r="R338" s="1">
        <v>0</v>
      </c>
      <c r="S338" s="1">
        <v>0</v>
      </c>
      <c r="T338" s="1">
        <v>0</v>
      </c>
      <c r="U338" s="1">
        <v>0</v>
      </c>
      <c r="V338" s="1">
        <v>0</v>
      </c>
      <c r="W338" s="1">
        <v>0</v>
      </c>
      <c r="X338" s="1">
        <v>0</v>
      </c>
      <c r="Y338" s="1">
        <v>0</v>
      </c>
      <c r="Z338" s="1">
        <v>0</v>
      </c>
      <c r="AA338" s="1">
        <v>0</v>
      </c>
      <c r="AB338" s="1">
        <v>0</v>
      </c>
      <c r="AC338" s="1">
        <v>0</v>
      </c>
      <c r="AD338" s="1">
        <v>0</v>
      </c>
      <c r="AE338" s="1">
        <v>0</v>
      </c>
      <c r="AF338" s="1">
        <v>0</v>
      </c>
      <c r="AG338" s="1">
        <v>0</v>
      </c>
      <c r="AH338" s="1">
        <v>0</v>
      </c>
      <c r="AI338" s="1">
        <v>0</v>
      </c>
      <c r="AJ338" s="1">
        <v>0</v>
      </c>
      <c r="AK338" s="1">
        <v>0</v>
      </c>
      <c r="AL338" s="1">
        <v>0</v>
      </c>
      <c r="AM338" s="1">
        <v>0</v>
      </c>
      <c r="AN338" s="1">
        <v>0</v>
      </c>
      <c r="AO338" s="1">
        <v>0</v>
      </c>
      <c r="AP338" s="1">
        <v>0</v>
      </c>
      <c r="AQ338" s="1">
        <v>0</v>
      </c>
      <c r="AR338" s="1">
        <v>0</v>
      </c>
      <c r="AS338" s="1">
        <v>0</v>
      </c>
    </row>
    <row r="339" spans="1:45">
      <c r="A339" s="1" t="str">
        <f>VLOOKUP(D339,epiunits!A$1:C$4000,2,FALSE)</f>
      </c>
      <c r="B339" s="1" t="str">
        <f>VLOOKUP(D339,epiunits!A$1:C$4000,3,FALSE)</f>
      </c>
      <c r="C339" s="1" t="str">
        <f>VLOOKUP(E339,Inspector!A$1:B$50,2,FALSE)</f>
      </c>
      <c r="I339" s="1" t="str">
        <f>VLOOKUP(D339,epiunits!A$1:J$4000,6,FALSE)</f>
      </c>
      <c r="J339" s="1" t="str">
        <f>VLOOKUP(D339,epiunits!A$1:J$4000,7,FALSE)</f>
      </c>
      <c r="K339" s="1" t="str">
        <f>VLOOKUP(D339,epiunits!A$1:J$4000,8,FALSE)</f>
      </c>
      <c r="L339" s="1" t="str">
        <f>VLOOKUP(D339,epiunits!A$1:J$4000,9,FALSE)</f>
      </c>
      <c r="M339" s="1" t="str">
        <f>VLOOKUP(D339,epiunits!A$1:J$4000,10,FALSE)</f>
      </c>
      <c r="N339" s="1">
        <v>0</v>
      </c>
      <c r="O339" s="1">
        <v>0</v>
      </c>
      <c r="P339" s="1">
        <v>0</v>
      </c>
      <c r="Q339" s="1">
        <v>0</v>
      </c>
      <c r="R339" s="1">
        <v>0</v>
      </c>
      <c r="S339" s="1">
        <v>0</v>
      </c>
      <c r="T339" s="1">
        <v>0</v>
      </c>
      <c r="U339" s="1">
        <v>0</v>
      </c>
      <c r="V339" s="1">
        <v>0</v>
      </c>
      <c r="W339" s="1">
        <v>0</v>
      </c>
      <c r="X339" s="1">
        <v>0</v>
      </c>
      <c r="Y339" s="1">
        <v>0</v>
      </c>
      <c r="Z339" s="1">
        <v>0</v>
      </c>
      <c r="AA339" s="1">
        <v>0</v>
      </c>
      <c r="AB339" s="1">
        <v>0</v>
      </c>
      <c r="AC339" s="1">
        <v>0</v>
      </c>
      <c r="AD339" s="1">
        <v>0</v>
      </c>
      <c r="AE339" s="1">
        <v>0</v>
      </c>
      <c r="AF339" s="1">
        <v>0</v>
      </c>
      <c r="AG339" s="1">
        <v>0</v>
      </c>
      <c r="AH339" s="1">
        <v>0</v>
      </c>
      <c r="AI339" s="1">
        <v>0</v>
      </c>
      <c r="AJ339" s="1">
        <v>0</v>
      </c>
      <c r="AK339" s="1">
        <v>0</v>
      </c>
      <c r="AL339" s="1">
        <v>0</v>
      </c>
      <c r="AM339" s="1">
        <v>0</v>
      </c>
      <c r="AN339" s="1">
        <v>0</v>
      </c>
      <c r="AO339" s="1">
        <v>0</v>
      </c>
      <c r="AP339" s="1">
        <v>0</v>
      </c>
      <c r="AQ339" s="1">
        <v>0</v>
      </c>
      <c r="AR339" s="1">
        <v>0</v>
      </c>
      <c r="AS339" s="1">
        <v>0</v>
      </c>
    </row>
    <row r="340" spans="1:45">
      <c r="A340" s="1" t="str">
        <f>VLOOKUP(D340,epiunits!A$1:C$4000,2,FALSE)</f>
      </c>
      <c r="B340" s="1" t="str">
        <f>VLOOKUP(D340,epiunits!A$1:C$4000,3,FALSE)</f>
      </c>
      <c r="C340" s="1" t="str">
        <f>VLOOKUP(E340,Inspector!A$1:B$50,2,FALSE)</f>
      </c>
      <c r="I340" s="1" t="str">
        <f>VLOOKUP(D340,epiunits!A$1:J$4000,6,FALSE)</f>
      </c>
      <c r="J340" s="1" t="str">
        <f>VLOOKUP(D340,epiunits!A$1:J$4000,7,FALSE)</f>
      </c>
      <c r="K340" s="1" t="str">
        <f>VLOOKUP(D340,epiunits!A$1:J$4000,8,FALSE)</f>
      </c>
      <c r="L340" s="1" t="str">
        <f>VLOOKUP(D340,epiunits!A$1:J$4000,9,FALSE)</f>
      </c>
      <c r="M340" s="1" t="str">
        <f>VLOOKUP(D340,epiunits!A$1:J$4000,10,FALSE)</f>
      </c>
      <c r="N340" s="1">
        <v>0</v>
      </c>
      <c r="O340" s="1">
        <v>0</v>
      </c>
      <c r="P340" s="1">
        <v>0</v>
      </c>
      <c r="Q340" s="1">
        <v>0</v>
      </c>
      <c r="R340" s="1">
        <v>0</v>
      </c>
      <c r="S340" s="1">
        <v>0</v>
      </c>
      <c r="T340" s="1">
        <v>0</v>
      </c>
      <c r="U340" s="1">
        <v>0</v>
      </c>
      <c r="V340" s="1">
        <v>0</v>
      </c>
      <c r="W340" s="1">
        <v>0</v>
      </c>
      <c r="X340" s="1">
        <v>0</v>
      </c>
      <c r="Y340" s="1">
        <v>0</v>
      </c>
      <c r="Z340" s="1">
        <v>0</v>
      </c>
      <c r="AA340" s="1">
        <v>0</v>
      </c>
      <c r="AB340" s="1">
        <v>0</v>
      </c>
      <c r="AC340" s="1">
        <v>0</v>
      </c>
      <c r="AD340" s="1">
        <v>0</v>
      </c>
      <c r="AE340" s="1">
        <v>0</v>
      </c>
      <c r="AF340" s="1">
        <v>0</v>
      </c>
      <c r="AG340" s="1">
        <v>0</v>
      </c>
      <c r="AH340" s="1">
        <v>0</v>
      </c>
      <c r="AI340" s="1">
        <v>0</v>
      </c>
      <c r="AJ340" s="1">
        <v>0</v>
      </c>
      <c r="AK340" s="1">
        <v>0</v>
      </c>
      <c r="AL340" s="1">
        <v>0</v>
      </c>
      <c r="AM340" s="1">
        <v>0</v>
      </c>
      <c r="AN340" s="1">
        <v>0</v>
      </c>
      <c r="AO340" s="1">
        <v>0</v>
      </c>
      <c r="AP340" s="1">
        <v>0</v>
      </c>
      <c r="AQ340" s="1">
        <v>0</v>
      </c>
      <c r="AR340" s="1">
        <v>0</v>
      </c>
      <c r="AS340" s="1">
        <v>0</v>
      </c>
    </row>
    <row r="341" spans="1:45">
      <c r="A341" s="1" t="str">
        <f>VLOOKUP(D341,epiunits!A$1:C$4000,2,FALSE)</f>
      </c>
      <c r="B341" s="1" t="str">
        <f>VLOOKUP(D341,epiunits!A$1:C$4000,3,FALSE)</f>
      </c>
      <c r="C341" s="1" t="str">
        <f>VLOOKUP(E341,Inspector!A$1:B$50,2,FALSE)</f>
      </c>
      <c r="I341" s="1" t="str">
        <f>VLOOKUP(D341,epiunits!A$1:J$4000,6,FALSE)</f>
      </c>
      <c r="J341" s="1" t="str">
        <f>VLOOKUP(D341,epiunits!A$1:J$4000,7,FALSE)</f>
      </c>
      <c r="K341" s="1" t="str">
        <f>VLOOKUP(D341,epiunits!A$1:J$4000,8,FALSE)</f>
      </c>
      <c r="L341" s="1" t="str">
        <f>VLOOKUP(D341,epiunits!A$1:J$4000,9,FALSE)</f>
      </c>
      <c r="M341" s="1" t="str">
        <f>VLOOKUP(D341,epiunits!A$1:J$4000,10,FALSE)</f>
      </c>
      <c r="N341" s="1">
        <v>0</v>
      </c>
      <c r="O341" s="1">
        <v>0</v>
      </c>
      <c r="P341" s="1">
        <v>0</v>
      </c>
      <c r="Q341" s="1">
        <v>0</v>
      </c>
      <c r="R341" s="1">
        <v>0</v>
      </c>
      <c r="S341" s="1">
        <v>0</v>
      </c>
      <c r="T341" s="1">
        <v>0</v>
      </c>
      <c r="U341" s="1">
        <v>0</v>
      </c>
      <c r="V341" s="1">
        <v>0</v>
      </c>
      <c r="W341" s="1">
        <v>0</v>
      </c>
      <c r="X341" s="1">
        <v>0</v>
      </c>
      <c r="Y341" s="1">
        <v>0</v>
      </c>
      <c r="Z341" s="1">
        <v>0</v>
      </c>
      <c r="AA341" s="1">
        <v>0</v>
      </c>
      <c r="AB341" s="1">
        <v>0</v>
      </c>
      <c r="AC341" s="1">
        <v>0</v>
      </c>
      <c r="AD341" s="1">
        <v>0</v>
      </c>
      <c r="AE341" s="1">
        <v>0</v>
      </c>
      <c r="AF341" s="1">
        <v>0</v>
      </c>
      <c r="AG341" s="1">
        <v>0</v>
      </c>
      <c r="AH341" s="1">
        <v>0</v>
      </c>
      <c r="AI341" s="1">
        <v>0</v>
      </c>
      <c r="AJ341" s="1">
        <v>0</v>
      </c>
      <c r="AK341" s="1">
        <v>0</v>
      </c>
      <c r="AL341" s="1">
        <v>0</v>
      </c>
      <c r="AM341" s="1">
        <v>0</v>
      </c>
      <c r="AN341" s="1">
        <v>0</v>
      </c>
      <c r="AO341" s="1">
        <v>0</v>
      </c>
      <c r="AP341" s="1">
        <v>0</v>
      </c>
      <c r="AQ341" s="1">
        <v>0</v>
      </c>
      <c r="AR341" s="1">
        <v>0</v>
      </c>
      <c r="AS341" s="1">
        <v>0</v>
      </c>
    </row>
    <row r="342" spans="1:45">
      <c r="A342" s="1" t="str">
        <f>VLOOKUP(D342,epiunits!A$1:C$4000,2,FALSE)</f>
      </c>
      <c r="B342" s="1" t="str">
        <f>VLOOKUP(D342,epiunits!A$1:C$4000,3,FALSE)</f>
      </c>
      <c r="C342" s="1" t="str">
        <f>VLOOKUP(E342,Inspector!A$1:B$50,2,FALSE)</f>
      </c>
      <c r="I342" s="1" t="str">
        <f>VLOOKUP(D342,epiunits!A$1:J$4000,6,FALSE)</f>
      </c>
      <c r="J342" s="1" t="str">
        <f>VLOOKUP(D342,epiunits!A$1:J$4000,7,FALSE)</f>
      </c>
      <c r="K342" s="1" t="str">
        <f>VLOOKUP(D342,epiunits!A$1:J$4000,8,FALSE)</f>
      </c>
      <c r="L342" s="1" t="str">
        <f>VLOOKUP(D342,epiunits!A$1:J$4000,9,FALSE)</f>
      </c>
      <c r="M342" s="1" t="str">
        <f>VLOOKUP(D342,epiunits!A$1:J$4000,10,FALSE)</f>
      </c>
      <c r="N342" s="1">
        <v>0</v>
      </c>
      <c r="O342" s="1">
        <v>0</v>
      </c>
      <c r="P342" s="1">
        <v>0</v>
      </c>
      <c r="Q342" s="1">
        <v>0</v>
      </c>
      <c r="R342" s="1">
        <v>0</v>
      </c>
      <c r="S342" s="1">
        <v>0</v>
      </c>
      <c r="T342" s="1">
        <v>0</v>
      </c>
      <c r="U342" s="1">
        <v>0</v>
      </c>
      <c r="V342" s="1">
        <v>0</v>
      </c>
      <c r="W342" s="1">
        <v>0</v>
      </c>
      <c r="X342" s="1">
        <v>0</v>
      </c>
      <c r="Y342" s="1">
        <v>0</v>
      </c>
      <c r="Z342" s="1">
        <v>0</v>
      </c>
      <c r="AA342" s="1">
        <v>0</v>
      </c>
      <c r="AB342" s="1">
        <v>0</v>
      </c>
      <c r="AC342" s="1">
        <v>0</v>
      </c>
      <c r="AD342" s="1">
        <v>0</v>
      </c>
      <c r="AE342" s="1">
        <v>0</v>
      </c>
      <c r="AF342" s="1">
        <v>0</v>
      </c>
      <c r="AG342" s="1">
        <v>0</v>
      </c>
      <c r="AH342" s="1">
        <v>0</v>
      </c>
      <c r="AI342" s="1">
        <v>0</v>
      </c>
      <c r="AJ342" s="1">
        <v>0</v>
      </c>
      <c r="AK342" s="1">
        <v>0</v>
      </c>
      <c r="AL342" s="1">
        <v>0</v>
      </c>
      <c r="AM342" s="1">
        <v>0</v>
      </c>
      <c r="AN342" s="1">
        <v>0</v>
      </c>
      <c r="AO342" s="1">
        <v>0</v>
      </c>
      <c r="AP342" s="1">
        <v>0</v>
      </c>
      <c r="AQ342" s="1">
        <v>0</v>
      </c>
      <c r="AR342" s="1">
        <v>0</v>
      </c>
      <c r="AS342" s="1">
        <v>0</v>
      </c>
    </row>
    <row r="343" spans="1:45">
      <c r="A343" s="1" t="str">
        <f>VLOOKUP(D343,epiunits!A$1:C$4000,2,FALSE)</f>
      </c>
      <c r="B343" s="1" t="str">
        <f>VLOOKUP(D343,epiunits!A$1:C$4000,3,FALSE)</f>
      </c>
      <c r="C343" s="1" t="str">
        <f>VLOOKUP(E343,Inspector!A$1:B$50,2,FALSE)</f>
      </c>
      <c r="I343" s="1" t="str">
        <f>VLOOKUP(D343,epiunits!A$1:J$4000,6,FALSE)</f>
      </c>
      <c r="J343" s="1" t="str">
        <f>VLOOKUP(D343,epiunits!A$1:J$4000,7,FALSE)</f>
      </c>
      <c r="K343" s="1" t="str">
        <f>VLOOKUP(D343,epiunits!A$1:J$4000,8,FALSE)</f>
      </c>
      <c r="L343" s="1" t="str">
        <f>VLOOKUP(D343,epiunits!A$1:J$4000,9,FALSE)</f>
      </c>
      <c r="M343" s="1" t="str">
        <f>VLOOKUP(D343,epiunits!A$1:J$4000,10,FALSE)</f>
      </c>
      <c r="N343" s="1">
        <v>0</v>
      </c>
      <c r="O343" s="1">
        <v>0</v>
      </c>
      <c r="P343" s="1">
        <v>0</v>
      </c>
      <c r="Q343" s="1">
        <v>0</v>
      </c>
      <c r="R343" s="1">
        <v>0</v>
      </c>
      <c r="S343" s="1">
        <v>0</v>
      </c>
      <c r="T343" s="1">
        <v>0</v>
      </c>
      <c r="U343" s="1">
        <v>0</v>
      </c>
      <c r="V343" s="1">
        <v>0</v>
      </c>
      <c r="W343" s="1">
        <v>0</v>
      </c>
      <c r="X343" s="1">
        <v>0</v>
      </c>
      <c r="Y343" s="1">
        <v>0</v>
      </c>
      <c r="Z343" s="1">
        <v>0</v>
      </c>
      <c r="AA343" s="1">
        <v>0</v>
      </c>
      <c r="AB343" s="1">
        <v>0</v>
      </c>
      <c r="AC343" s="1">
        <v>0</v>
      </c>
      <c r="AD343" s="1">
        <v>0</v>
      </c>
      <c r="AE343" s="1">
        <v>0</v>
      </c>
      <c r="AF343" s="1">
        <v>0</v>
      </c>
      <c r="AG343" s="1">
        <v>0</v>
      </c>
      <c r="AH343" s="1">
        <v>0</v>
      </c>
      <c r="AI343" s="1">
        <v>0</v>
      </c>
      <c r="AJ343" s="1">
        <v>0</v>
      </c>
      <c r="AK343" s="1">
        <v>0</v>
      </c>
      <c r="AL343" s="1">
        <v>0</v>
      </c>
      <c r="AM343" s="1">
        <v>0</v>
      </c>
      <c r="AN343" s="1">
        <v>0</v>
      </c>
      <c r="AO343" s="1">
        <v>0</v>
      </c>
      <c r="AP343" s="1">
        <v>0</v>
      </c>
      <c r="AQ343" s="1">
        <v>0</v>
      </c>
      <c r="AR343" s="1">
        <v>0</v>
      </c>
      <c r="AS343" s="1">
        <v>0</v>
      </c>
    </row>
    <row r="344" spans="1:45">
      <c r="A344" s="1" t="str">
        <f>VLOOKUP(D344,epiunits!A$1:C$4000,2,FALSE)</f>
      </c>
      <c r="B344" s="1" t="str">
        <f>VLOOKUP(D344,epiunits!A$1:C$4000,3,FALSE)</f>
      </c>
      <c r="C344" s="1" t="str">
        <f>VLOOKUP(E344,Inspector!A$1:B$50,2,FALSE)</f>
      </c>
      <c r="I344" s="1" t="str">
        <f>VLOOKUP(D344,epiunits!A$1:J$4000,6,FALSE)</f>
      </c>
      <c r="J344" s="1" t="str">
        <f>VLOOKUP(D344,epiunits!A$1:J$4000,7,FALSE)</f>
      </c>
      <c r="K344" s="1" t="str">
        <f>VLOOKUP(D344,epiunits!A$1:J$4000,8,FALSE)</f>
      </c>
      <c r="L344" s="1" t="str">
        <f>VLOOKUP(D344,epiunits!A$1:J$4000,9,FALSE)</f>
      </c>
      <c r="M344" s="1" t="str">
        <f>VLOOKUP(D344,epiunits!A$1:J$4000,10,FALSE)</f>
      </c>
      <c r="N344" s="1">
        <v>0</v>
      </c>
      <c r="O344" s="1">
        <v>0</v>
      </c>
      <c r="P344" s="1">
        <v>0</v>
      </c>
      <c r="Q344" s="1">
        <v>0</v>
      </c>
      <c r="R344" s="1">
        <v>0</v>
      </c>
      <c r="S344" s="1">
        <v>0</v>
      </c>
      <c r="T344" s="1">
        <v>0</v>
      </c>
      <c r="U344" s="1">
        <v>0</v>
      </c>
      <c r="V344" s="1">
        <v>0</v>
      </c>
      <c r="W344" s="1">
        <v>0</v>
      </c>
      <c r="X344" s="1">
        <v>0</v>
      </c>
      <c r="Y344" s="1">
        <v>0</v>
      </c>
      <c r="Z344" s="1">
        <v>0</v>
      </c>
      <c r="AA344" s="1">
        <v>0</v>
      </c>
      <c r="AB344" s="1">
        <v>0</v>
      </c>
      <c r="AC344" s="1">
        <v>0</v>
      </c>
      <c r="AD344" s="1">
        <v>0</v>
      </c>
      <c r="AE344" s="1">
        <v>0</v>
      </c>
      <c r="AF344" s="1">
        <v>0</v>
      </c>
      <c r="AG344" s="1">
        <v>0</v>
      </c>
      <c r="AH344" s="1">
        <v>0</v>
      </c>
      <c r="AI344" s="1">
        <v>0</v>
      </c>
      <c r="AJ344" s="1">
        <v>0</v>
      </c>
      <c r="AK344" s="1">
        <v>0</v>
      </c>
      <c r="AL344" s="1">
        <v>0</v>
      </c>
      <c r="AM344" s="1">
        <v>0</v>
      </c>
      <c r="AN344" s="1">
        <v>0</v>
      </c>
      <c r="AO344" s="1">
        <v>0</v>
      </c>
      <c r="AP344" s="1">
        <v>0</v>
      </c>
      <c r="AQ344" s="1">
        <v>0</v>
      </c>
      <c r="AR344" s="1">
        <v>0</v>
      </c>
      <c r="AS344" s="1">
        <v>0</v>
      </c>
    </row>
    <row r="345" spans="1:45">
      <c r="A345" s="1" t="str">
        <f>VLOOKUP(D345,epiunits!A$1:C$4000,2,FALSE)</f>
      </c>
      <c r="B345" s="1" t="str">
        <f>VLOOKUP(D345,epiunits!A$1:C$4000,3,FALSE)</f>
      </c>
      <c r="C345" s="1" t="str">
        <f>VLOOKUP(E345,Inspector!A$1:B$50,2,FALSE)</f>
      </c>
      <c r="I345" s="1" t="str">
        <f>VLOOKUP(D345,epiunits!A$1:J$4000,6,FALSE)</f>
      </c>
      <c r="J345" s="1" t="str">
        <f>VLOOKUP(D345,epiunits!A$1:J$4000,7,FALSE)</f>
      </c>
      <c r="K345" s="1" t="str">
        <f>VLOOKUP(D345,epiunits!A$1:J$4000,8,FALSE)</f>
      </c>
      <c r="L345" s="1" t="str">
        <f>VLOOKUP(D345,epiunits!A$1:J$4000,9,FALSE)</f>
      </c>
      <c r="M345" s="1" t="str">
        <f>VLOOKUP(D345,epiunits!A$1:J$4000,10,FALSE)</f>
      </c>
      <c r="N345" s="1">
        <v>0</v>
      </c>
      <c r="O345" s="1">
        <v>0</v>
      </c>
      <c r="P345" s="1">
        <v>0</v>
      </c>
      <c r="Q345" s="1">
        <v>0</v>
      </c>
      <c r="R345" s="1">
        <v>0</v>
      </c>
      <c r="S345" s="1">
        <v>0</v>
      </c>
      <c r="T345" s="1">
        <v>0</v>
      </c>
      <c r="U345" s="1">
        <v>0</v>
      </c>
      <c r="V345" s="1">
        <v>0</v>
      </c>
      <c r="W345" s="1">
        <v>0</v>
      </c>
      <c r="X345" s="1">
        <v>0</v>
      </c>
      <c r="Y345" s="1">
        <v>0</v>
      </c>
      <c r="Z345" s="1">
        <v>0</v>
      </c>
      <c r="AA345" s="1">
        <v>0</v>
      </c>
      <c r="AB345" s="1">
        <v>0</v>
      </c>
      <c r="AC345" s="1">
        <v>0</v>
      </c>
      <c r="AD345" s="1">
        <v>0</v>
      </c>
      <c r="AE345" s="1">
        <v>0</v>
      </c>
      <c r="AF345" s="1">
        <v>0</v>
      </c>
      <c r="AG345" s="1">
        <v>0</v>
      </c>
      <c r="AH345" s="1">
        <v>0</v>
      </c>
      <c r="AI345" s="1">
        <v>0</v>
      </c>
      <c r="AJ345" s="1">
        <v>0</v>
      </c>
      <c r="AK345" s="1">
        <v>0</v>
      </c>
      <c r="AL345" s="1">
        <v>0</v>
      </c>
      <c r="AM345" s="1">
        <v>0</v>
      </c>
      <c r="AN345" s="1">
        <v>0</v>
      </c>
      <c r="AO345" s="1">
        <v>0</v>
      </c>
      <c r="AP345" s="1">
        <v>0</v>
      </c>
      <c r="AQ345" s="1">
        <v>0</v>
      </c>
      <c r="AR345" s="1">
        <v>0</v>
      </c>
      <c r="AS345" s="1">
        <v>0</v>
      </c>
    </row>
    <row r="346" spans="1:45">
      <c r="A346" s="1" t="str">
        <f>VLOOKUP(D346,epiunits!A$1:C$4000,2,FALSE)</f>
      </c>
      <c r="B346" s="1" t="str">
        <f>VLOOKUP(D346,epiunits!A$1:C$4000,3,FALSE)</f>
      </c>
      <c r="C346" s="1" t="str">
        <f>VLOOKUP(E346,Inspector!A$1:B$50,2,FALSE)</f>
      </c>
      <c r="I346" s="1" t="str">
        <f>VLOOKUP(D346,epiunits!A$1:J$4000,6,FALSE)</f>
      </c>
      <c r="J346" s="1" t="str">
        <f>VLOOKUP(D346,epiunits!A$1:J$4000,7,FALSE)</f>
      </c>
      <c r="K346" s="1" t="str">
        <f>VLOOKUP(D346,epiunits!A$1:J$4000,8,FALSE)</f>
      </c>
      <c r="L346" s="1" t="str">
        <f>VLOOKUP(D346,epiunits!A$1:J$4000,9,FALSE)</f>
      </c>
      <c r="M346" s="1" t="str">
        <f>VLOOKUP(D346,epiunits!A$1:J$4000,10,FALSE)</f>
      </c>
      <c r="N346" s="1">
        <v>0</v>
      </c>
      <c r="O346" s="1">
        <v>0</v>
      </c>
      <c r="P346" s="1">
        <v>0</v>
      </c>
      <c r="Q346" s="1">
        <v>0</v>
      </c>
      <c r="R346" s="1">
        <v>0</v>
      </c>
      <c r="S346" s="1">
        <v>0</v>
      </c>
      <c r="T346" s="1">
        <v>0</v>
      </c>
      <c r="U346" s="1">
        <v>0</v>
      </c>
      <c r="V346" s="1">
        <v>0</v>
      </c>
      <c r="W346" s="1">
        <v>0</v>
      </c>
      <c r="X346" s="1">
        <v>0</v>
      </c>
      <c r="Y346" s="1">
        <v>0</v>
      </c>
      <c r="Z346" s="1">
        <v>0</v>
      </c>
      <c r="AA346" s="1">
        <v>0</v>
      </c>
      <c r="AB346" s="1">
        <v>0</v>
      </c>
      <c r="AC346" s="1">
        <v>0</v>
      </c>
      <c r="AD346" s="1">
        <v>0</v>
      </c>
      <c r="AE346" s="1">
        <v>0</v>
      </c>
      <c r="AF346" s="1">
        <v>0</v>
      </c>
      <c r="AG346" s="1">
        <v>0</v>
      </c>
      <c r="AH346" s="1">
        <v>0</v>
      </c>
      <c r="AI346" s="1">
        <v>0</v>
      </c>
      <c r="AJ346" s="1">
        <v>0</v>
      </c>
      <c r="AK346" s="1">
        <v>0</v>
      </c>
      <c r="AL346" s="1">
        <v>0</v>
      </c>
      <c r="AM346" s="1">
        <v>0</v>
      </c>
      <c r="AN346" s="1">
        <v>0</v>
      </c>
      <c r="AO346" s="1">
        <v>0</v>
      </c>
      <c r="AP346" s="1">
        <v>0</v>
      </c>
      <c r="AQ346" s="1">
        <v>0</v>
      </c>
      <c r="AR346" s="1">
        <v>0</v>
      </c>
      <c r="AS346" s="1">
        <v>0</v>
      </c>
    </row>
    <row r="347" spans="1:45">
      <c r="A347" s="1" t="str">
        <f>VLOOKUP(D347,epiunits!A$1:C$4000,2,FALSE)</f>
      </c>
      <c r="B347" s="1" t="str">
        <f>VLOOKUP(D347,epiunits!A$1:C$4000,3,FALSE)</f>
      </c>
      <c r="C347" s="1" t="str">
        <f>VLOOKUP(E347,Inspector!A$1:B$50,2,FALSE)</f>
      </c>
      <c r="I347" s="1" t="str">
        <f>VLOOKUP(D347,epiunits!A$1:J$4000,6,FALSE)</f>
      </c>
      <c r="J347" s="1" t="str">
        <f>VLOOKUP(D347,epiunits!A$1:J$4000,7,FALSE)</f>
      </c>
      <c r="K347" s="1" t="str">
        <f>VLOOKUP(D347,epiunits!A$1:J$4000,8,FALSE)</f>
      </c>
      <c r="L347" s="1" t="str">
        <f>VLOOKUP(D347,epiunits!A$1:J$4000,9,FALSE)</f>
      </c>
      <c r="M347" s="1" t="str">
        <f>VLOOKUP(D347,epiunits!A$1:J$4000,10,FALSE)</f>
      </c>
      <c r="N347" s="1">
        <v>0</v>
      </c>
      <c r="O347" s="1">
        <v>0</v>
      </c>
      <c r="P347" s="1">
        <v>0</v>
      </c>
      <c r="Q347" s="1">
        <v>0</v>
      </c>
      <c r="R347" s="1">
        <v>0</v>
      </c>
      <c r="S347" s="1">
        <v>0</v>
      </c>
      <c r="T347" s="1">
        <v>0</v>
      </c>
      <c r="U347" s="1">
        <v>0</v>
      </c>
      <c r="V347" s="1">
        <v>0</v>
      </c>
      <c r="W347" s="1">
        <v>0</v>
      </c>
      <c r="X347" s="1">
        <v>0</v>
      </c>
      <c r="Y347" s="1">
        <v>0</v>
      </c>
      <c r="Z347" s="1">
        <v>0</v>
      </c>
      <c r="AA347" s="1">
        <v>0</v>
      </c>
      <c r="AB347" s="1">
        <v>0</v>
      </c>
      <c r="AC347" s="1">
        <v>0</v>
      </c>
      <c r="AD347" s="1">
        <v>0</v>
      </c>
      <c r="AE347" s="1">
        <v>0</v>
      </c>
      <c r="AF347" s="1">
        <v>0</v>
      </c>
      <c r="AG347" s="1">
        <v>0</v>
      </c>
      <c r="AH347" s="1">
        <v>0</v>
      </c>
      <c r="AI347" s="1">
        <v>0</v>
      </c>
      <c r="AJ347" s="1">
        <v>0</v>
      </c>
      <c r="AK347" s="1">
        <v>0</v>
      </c>
      <c r="AL347" s="1">
        <v>0</v>
      </c>
      <c r="AM347" s="1">
        <v>0</v>
      </c>
      <c r="AN347" s="1">
        <v>0</v>
      </c>
      <c r="AO347" s="1">
        <v>0</v>
      </c>
      <c r="AP347" s="1">
        <v>0</v>
      </c>
      <c r="AQ347" s="1">
        <v>0</v>
      </c>
      <c r="AR347" s="1">
        <v>0</v>
      </c>
      <c r="AS347" s="1">
        <v>0</v>
      </c>
    </row>
    <row r="348" spans="1:45">
      <c r="A348" s="1" t="str">
        <f>VLOOKUP(D348,epiunits!A$1:C$4000,2,FALSE)</f>
      </c>
      <c r="B348" s="1" t="str">
        <f>VLOOKUP(D348,epiunits!A$1:C$4000,3,FALSE)</f>
      </c>
      <c r="C348" s="1" t="str">
        <f>VLOOKUP(E348,Inspector!A$1:B$50,2,FALSE)</f>
      </c>
      <c r="I348" s="1" t="str">
        <f>VLOOKUP(D348,epiunits!A$1:J$4000,6,FALSE)</f>
      </c>
      <c r="J348" s="1" t="str">
        <f>VLOOKUP(D348,epiunits!A$1:J$4000,7,FALSE)</f>
      </c>
      <c r="K348" s="1" t="str">
        <f>VLOOKUP(D348,epiunits!A$1:J$4000,8,FALSE)</f>
      </c>
      <c r="L348" s="1" t="str">
        <f>VLOOKUP(D348,epiunits!A$1:J$4000,9,FALSE)</f>
      </c>
      <c r="M348" s="1" t="str">
        <f>VLOOKUP(D348,epiunits!A$1:J$4000,10,FALSE)</f>
      </c>
      <c r="N348" s="1">
        <v>0</v>
      </c>
      <c r="O348" s="1">
        <v>0</v>
      </c>
      <c r="P348" s="1">
        <v>0</v>
      </c>
      <c r="Q348" s="1">
        <v>0</v>
      </c>
      <c r="R348" s="1">
        <v>0</v>
      </c>
      <c r="S348" s="1">
        <v>0</v>
      </c>
      <c r="T348" s="1">
        <v>0</v>
      </c>
      <c r="U348" s="1">
        <v>0</v>
      </c>
      <c r="V348" s="1">
        <v>0</v>
      </c>
      <c r="W348" s="1">
        <v>0</v>
      </c>
      <c r="X348" s="1">
        <v>0</v>
      </c>
      <c r="Y348" s="1">
        <v>0</v>
      </c>
      <c r="Z348" s="1">
        <v>0</v>
      </c>
      <c r="AA348" s="1">
        <v>0</v>
      </c>
      <c r="AB348" s="1">
        <v>0</v>
      </c>
      <c r="AC348" s="1">
        <v>0</v>
      </c>
      <c r="AD348" s="1">
        <v>0</v>
      </c>
      <c r="AE348" s="1">
        <v>0</v>
      </c>
      <c r="AF348" s="1">
        <v>0</v>
      </c>
      <c r="AG348" s="1">
        <v>0</v>
      </c>
      <c r="AH348" s="1">
        <v>0</v>
      </c>
      <c r="AI348" s="1">
        <v>0</v>
      </c>
      <c r="AJ348" s="1">
        <v>0</v>
      </c>
      <c r="AK348" s="1">
        <v>0</v>
      </c>
      <c r="AL348" s="1">
        <v>0</v>
      </c>
      <c r="AM348" s="1">
        <v>0</v>
      </c>
      <c r="AN348" s="1">
        <v>0</v>
      </c>
      <c r="AO348" s="1">
        <v>0</v>
      </c>
      <c r="AP348" s="1">
        <v>0</v>
      </c>
      <c r="AQ348" s="1">
        <v>0</v>
      </c>
      <c r="AR348" s="1">
        <v>0</v>
      </c>
      <c r="AS348" s="1">
        <v>0</v>
      </c>
    </row>
    <row r="349" spans="1:45">
      <c r="A349" s="1" t="str">
        <f>VLOOKUP(D349,epiunits!A$1:C$4000,2,FALSE)</f>
      </c>
      <c r="B349" s="1" t="str">
        <f>VLOOKUP(D349,epiunits!A$1:C$4000,3,FALSE)</f>
      </c>
      <c r="C349" s="1" t="str">
        <f>VLOOKUP(E349,Inspector!A$1:B$50,2,FALSE)</f>
      </c>
      <c r="I349" s="1" t="str">
        <f>VLOOKUP(D349,epiunits!A$1:J$4000,6,FALSE)</f>
      </c>
      <c r="J349" s="1" t="str">
        <f>VLOOKUP(D349,epiunits!A$1:J$4000,7,FALSE)</f>
      </c>
      <c r="K349" s="1" t="str">
        <f>VLOOKUP(D349,epiunits!A$1:J$4000,8,FALSE)</f>
      </c>
      <c r="L349" s="1" t="str">
        <f>VLOOKUP(D349,epiunits!A$1:J$4000,9,FALSE)</f>
      </c>
      <c r="M349" s="1" t="str">
        <f>VLOOKUP(D349,epiunits!A$1:J$4000,10,FALSE)</f>
      </c>
      <c r="N349" s="1">
        <v>0</v>
      </c>
      <c r="O349" s="1">
        <v>0</v>
      </c>
      <c r="P349" s="1">
        <v>0</v>
      </c>
      <c r="Q349" s="1">
        <v>0</v>
      </c>
      <c r="R349" s="1">
        <v>0</v>
      </c>
      <c r="S349" s="1">
        <v>0</v>
      </c>
      <c r="T349" s="1">
        <v>0</v>
      </c>
      <c r="U349" s="1">
        <v>0</v>
      </c>
      <c r="V349" s="1">
        <v>0</v>
      </c>
      <c r="W349" s="1">
        <v>0</v>
      </c>
      <c r="X349" s="1">
        <v>0</v>
      </c>
      <c r="Y349" s="1">
        <v>0</v>
      </c>
      <c r="Z349" s="1">
        <v>0</v>
      </c>
      <c r="AA349" s="1">
        <v>0</v>
      </c>
      <c r="AB349" s="1">
        <v>0</v>
      </c>
      <c r="AC349" s="1">
        <v>0</v>
      </c>
      <c r="AD349" s="1">
        <v>0</v>
      </c>
      <c r="AE349" s="1">
        <v>0</v>
      </c>
      <c r="AF349" s="1">
        <v>0</v>
      </c>
      <c r="AG349" s="1">
        <v>0</v>
      </c>
      <c r="AH349" s="1">
        <v>0</v>
      </c>
      <c r="AI349" s="1">
        <v>0</v>
      </c>
      <c r="AJ349" s="1">
        <v>0</v>
      </c>
      <c r="AK349" s="1">
        <v>0</v>
      </c>
      <c r="AL349" s="1">
        <v>0</v>
      </c>
      <c r="AM349" s="1">
        <v>0</v>
      </c>
      <c r="AN349" s="1">
        <v>0</v>
      </c>
      <c r="AO349" s="1">
        <v>0</v>
      </c>
      <c r="AP349" s="1">
        <v>0</v>
      </c>
      <c r="AQ349" s="1">
        <v>0</v>
      </c>
      <c r="AR349" s="1">
        <v>0</v>
      </c>
      <c r="AS349" s="1">
        <v>0</v>
      </c>
    </row>
    <row r="350" spans="1:45">
      <c r="A350" s="1" t="str">
        <f>VLOOKUP(D350,epiunits!A$1:C$4000,2,FALSE)</f>
      </c>
      <c r="B350" s="1" t="str">
        <f>VLOOKUP(D350,epiunits!A$1:C$4000,3,FALSE)</f>
      </c>
      <c r="C350" s="1" t="str">
        <f>VLOOKUP(E350,Inspector!A$1:B$50,2,FALSE)</f>
      </c>
      <c r="I350" s="1" t="str">
        <f>VLOOKUP(D350,epiunits!A$1:J$4000,6,FALSE)</f>
      </c>
      <c r="J350" s="1" t="str">
        <f>VLOOKUP(D350,epiunits!A$1:J$4000,7,FALSE)</f>
      </c>
      <c r="K350" s="1" t="str">
        <f>VLOOKUP(D350,epiunits!A$1:J$4000,8,FALSE)</f>
      </c>
      <c r="L350" s="1" t="str">
        <f>VLOOKUP(D350,epiunits!A$1:J$4000,9,FALSE)</f>
      </c>
      <c r="M350" s="1" t="str">
        <f>VLOOKUP(D350,epiunits!A$1:J$4000,10,FALSE)</f>
      </c>
      <c r="N350" s="1">
        <v>0</v>
      </c>
      <c r="O350" s="1">
        <v>0</v>
      </c>
      <c r="P350" s="1">
        <v>0</v>
      </c>
      <c r="Q350" s="1">
        <v>0</v>
      </c>
      <c r="R350" s="1">
        <v>0</v>
      </c>
      <c r="S350" s="1">
        <v>0</v>
      </c>
      <c r="T350" s="1">
        <v>0</v>
      </c>
      <c r="U350" s="1">
        <v>0</v>
      </c>
      <c r="V350" s="1">
        <v>0</v>
      </c>
      <c r="W350" s="1">
        <v>0</v>
      </c>
      <c r="X350" s="1">
        <v>0</v>
      </c>
      <c r="Y350" s="1">
        <v>0</v>
      </c>
      <c r="Z350" s="1">
        <v>0</v>
      </c>
      <c r="AA350" s="1">
        <v>0</v>
      </c>
      <c r="AB350" s="1">
        <v>0</v>
      </c>
      <c r="AC350" s="1">
        <v>0</v>
      </c>
      <c r="AD350" s="1">
        <v>0</v>
      </c>
      <c r="AE350" s="1">
        <v>0</v>
      </c>
      <c r="AF350" s="1">
        <v>0</v>
      </c>
      <c r="AG350" s="1">
        <v>0</v>
      </c>
      <c r="AH350" s="1">
        <v>0</v>
      </c>
      <c r="AI350" s="1">
        <v>0</v>
      </c>
      <c r="AJ350" s="1">
        <v>0</v>
      </c>
      <c r="AK350" s="1">
        <v>0</v>
      </c>
      <c r="AL350" s="1">
        <v>0</v>
      </c>
      <c r="AM350" s="1">
        <v>0</v>
      </c>
      <c r="AN350" s="1">
        <v>0</v>
      </c>
      <c r="AO350" s="1">
        <v>0</v>
      </c>
      <c r="AP350" s="1">
        <v>0</v>
      </c>
      <c r="AQ350" s="1">
        <v>0</v>
      </c>
      <c r="AR350" s="1">
        <v>0</v>
      </c>
      <c r="AS350" s="1">
        <v>0</v>
      </c>
    </row>
    <row r="351" spans="1:45">
      <c r="A351" s="1" t="str">
        <f>VLOOKUP(D351,epiunits!A$1:C$4000,2,FALSE)</f>
      </c>
      <c r="B351" s="1" t="str">
        <f>VLOOKUP(D351,epiunits!A$1:C$4000,3,FALSE)</f>
      </c>
      <c r="C351" s="1" t="str">
        <f>VLOOKUP(E351,Inspector!A$1:B$50,2,FALSE)</f>
      </c>
      <c r="I351" s="1" t="str">
        <f>VLOOKUP(D351,epiunits!A$1:J$4000,6,FALSE)</f>
      </c>
      <c r="J351" s="1" t="str">
        <f>VLOOKUP(D351,epiunits!A$1:J$4000,7,FALSE)</f>
      </c>
      <c r="K351" s="1" t="str">
        <f>VLOOKUP(D351,epiunits!A$1:J$4000,8,FALSE)</f>
      </c>
      <c r="L351" s="1" t="str">
        <f>VLOOKUP(D351,epiunits!A$1:J$4000,9,FALSE)</f>
      </c>
      <c r="M351" s="1" t="str">
        <f>VLOOKUP(D351,epiunits!A$1:J$4000,10,FALSE)</f>
      </c>
      <c r="N351" s="1">
        <v>0</v>
      </c>
      <c r="O351" s="1">
        <v>0</v>
      </c>
      <c r="P351" s="1">
        <v>0</v>
      </c>
      <c r="Q351" s="1">
        <v>0</v>
      </c>
      <c r="R351" s="1">
        <v>0</v>
      </c>
      <c r="S351" s="1">
        <v>0</v>
      </c>
      <c r="T351" s="1">
        <v>0</v>
      </c>
      <c r="U351" s="1">
        <v>0</v>
      </c>
      <c r="V351" s="1">
        <v>0</v>
      </c>
      <c r="W351" s="1">
        <v>0</v>
      </c>
      <c r="X351" s="1">
        <v>0</v>
      </c>
      <c r="Y351" s="1">
        <v>0</v>
      </c>
      <c r="Z351" s="1">
        <v>0</v>
      </c>
      <c r="AA351" s="1">
        <v>0</v>
      </c>
      <c r="AB351" s="1">
        <v>0</v>
      </c>
      <c r="AC351" s="1">
        <v>0</v>
      </c>
      <c r="AD351" s="1">
        <v>0</v>
      </c>
      <c r="AE351" s="1">
        <v>0</v>
      </c>
      <c r="AF351" s="1">
        <v>0</v>
      </c>
      <c r="AG351" s="1">
        <v>0</v>
      </c>
      <c r="AH351" s="1">
        <v>0</v>
      </c>
      <c r="AI351" s="1">
        <v>0</v>
      </c>
      <c r="AJ351" s="1">
        <v>0</v>
      </c>
      <c r="AK351" s="1">
        <v>0</v>
      </c>
      <c r="AL351" s="1">
        <v>0</v>
      </c>
      <c r="AM351" s="1">
        <v>0</v>
      </c>
      <c r="AN351" s="1">
        <v>0</v>
      </c>
      <c r="AO351" s="1">
        <v>0</v>
      </c>
      <c r="AP351" s="1">
        <v>0</v>
      </c>
      <c r="AQ351" s="1">
        <v>0</v>
      </c>
      <c r="AR351" s="1">
        <v>0</v>
      </c>
      <c r="AS351" s="1">
        <v>0</v>
      </c>
    </row>
    <row r="352" spans="1:45">
      <c r="A352" s="1" t="str">
        <f>VLOOKUP(D352,epiunits!A$1:C$4000,2,FALSE)</f>
      </c>
      <c r="B352" s="1" t="str">
        <f>VLOOKUP(D352,epiunits!A$1:C$4000,3,FALSE)</f>
      </c>
      <c r="C352" s="1" t="str">
        <f>VLOOKUP(E352,Inspector!A$1:B$50,2,FALSE)</f>
      </c>
      <c r="I352" s="1" t="str">
        <f>VLOOKUP(D352,epiunits!A$1:J$4000,6,FALSE)</f>
      </c>
      <c r="J352" s="1" t="str">
        <f>VLOOKUP(D352,epiunits!A$1:J$4000,7,FALSE)</f>
      </c>
      <c r="K352" s="1" t="str">
        <f>VLOOKUP(D352,epiunits!A$1:J$4000,8,FALSE)</f>
      </c>
      <c r="L352" s="1" t="str">
        <f>VLOOKUP(D352,epiunits!A$1:J$4000,9,FALSE)</f>
      </c>
      <c r="M352" s="1" t="str">
        <f>VLOOKUP(D352,epiunits!A$1:J$4000,10,FALSE)</f>
      </c>
      <c r="N352" s="1">
        <v>0</v>
      </c>
      <c r="O352" s="1">
        <v>0</v>
      </c>
      <c r="P352" s="1">
        <v>0</v>
      </c>
      <c r="Q352" s="1">
        <v>0</v>
      </c>
      <c r="R352" s="1">
        <v>0</v>
      </c>
      <c r="S352" s="1">
        <v>0</v>
      </c>
      <c r="T352" s="1">
        <v>0</v>
      </c>
      <c r="U352" s="1">
        <v>0</v>
      </c>
      <c r="V352" s="1">
        <v>0</v>
      </c>
      <c r="W352" s="1">
        <v>0</v>
      </c>
      <c r="X352" s="1">
        <v>0</v>
      </c>
      <c r="Y352" s="1">
        <v>0</v>
      </c>
      <c r="Z352" s="1">
        <v>0</v>
      </c>
      <c r="AA352" s="1">
        <v>0</v>
      </c>
      <c r="AB352" s="1">
        <v>0</v>
      </c>
      <c r="AC352" s="1">
        <v>0</v>
      </c>
      <c r="AD352" s="1">
        <v>0</v>
      </c>
      <c r="AE352" s="1">
        <v>0</v>
      </c>
      <c r="AF352" s="1">
        <v>0</v>
      </c>
      <c r="AG352" s="1">
        <v>0</v>
      </c>
      <c r="AH352" s="1">
        <v>0</v>
      </c>
      <c r="AI352" s="1">
        <v>0</v>
      </c>
      <c r="AJ352" s="1">
        <v>0</v>
      </c>
      <c r="AK352" s="1">
        <v>0</v>
      </c>
      <c r="AL352" s="1">
        <v>0</v>
      </c>
      <c r="AM352" s="1">
        <v>0</v>
      </c>
      <c r="AN352" s="1">
        <v>0</v>
      </c>
      <c r="AO352" s="1">
        <v>0</v>
      </c>
      <c r="AP352" s="1">
        <v>0</v>
      </c>
      <c r="AQ352" s="1">
        <v>0</v>
      </c>
      <c r="AR352" s="1">
        <v>0</v>
      </c>
      <c r="AS352" s="1">
        <v>0</v>
      </c>
    </row>
    <row r="353" spans="1:45">
      <c r="A353" s="1" t="str">
        <f>VLOOKUP(D353,epiunits!A$1:C$4000,2,FALSE)</f>
      </c>
      <c r="B353" s="1" t="str">
        <f>VLOOKUP(D353,epiunits!A$1:C$4000,3,FALSE)</f>
      </c>
      <c r="C353" s="1" t="str">
        <f>VLOOKUP(E353,Inspector!A$1:B$50,2,FALSE)</f>
      </c>
      <c r="I353" s="1" t="str">
        <f>VLOOKUP(D353,epiunits!A$1:J$4000,6,FALSE)</f>
      </c>
      <c r="J353" s="1" t="str">
        <f>VLOOKUP(D353,epiunits!A$1:J$4000,7,FALSE)</f>
      </c>
      <c r="K353" s="1" t="str">
        <f>VLOOKUP(D353,epiunits!A$1:J$4000,8,FALSE)</f>
      </c>
      <c r="L353" s="1" t="str">
        <f>VLOOKUP(D353,epiunits!A$1:J$4000,9,FALSE)</f>
      </c>
      <c r="M353" s="1" t="str">
        <f>VLOOKUP(D353,epiunits!A$1:J$4000,10,FALSE)</f>
      </c>
      <c r="N353" s="1">
        <v>0</v>
      </c>
      <c r="O353" s="1">
        <v>0</v>
      </c>
      <c r="P353" s="1">
        <v>0</v>
      </c>
      <c r="Q353" s="1">
        <v>0</v>
      </c>
      <c r="R353" s="1">
        <v>0</v>
      </c>
      <c r="S353" s="1">
        <v>0</v>
      </c>
      <c r="T353" s="1">
        <v>0</v>
      </c>
      <c r="U353" s="1">
        <v>0</v>
      </c>
      <c r="V353" s="1">
        <v>0</v>
      </c>
      <c r="W353" s="1">
        <v>0</v>
      </c>
      <c r="X353" s="1">
        <v>0</v>
      </c>
      <c r="Y353" s="1">
        <v>0</v>
      </c>
      <c r="Z353" s="1">
        <v>0</v>
      </c>
      <c r="AA353" s="1">
        <v>0</v>
      </c>
      <c r="AB353" s="1">
        <v>0</v>
      </c>
      <c r="AC353" s="1">
        <v>0</v>
      </c>
      <c r="AD353" s="1">
        <v>0</v>
      </c>
      <c r="AE353" s="1">
        <v>0</v>
      </c>
      <c r="AF353" s="1">
        <v>0</v>
      </c>
      <c r="AG353" s="1">
        <v>0</v>
      </c>
      <c r="AH353" s="1">
        <v>0</v>
      </c>
      <c r="AI353" s="1">
        <v>0</v>
      </c>
      <c r="AJ353" s="1">
        <v>0</v>
      </c>
      <c r="AK353" s="1">
        <v>0</v>
      </c>
      <c r="AL353" s="1">
        <v>0</v>
      </c>
      <c r="AM353" s="1">
        <v>0</v>
      </c>
      <c r="AN353" s="1">
        <v>0</v>
      </c>
      <c r="AO353" s="1">
        <v>0</v>
      </c>
      <c r="AP353" s="1">
        <v>0</v>
      </c>
      <c r="AQ353" s="1">
        <v>0</v>
      </c>
      <c r="AR353" s="1">
        <v>0</v>
      </c>
      <c r="AS353" s="1">
        <v>0</v>
      </c>
    </row>
    <row r="354" spans="1:45">
      <c r="A354" s="1" t="str">
        <f>VLOOKUP(D354,epiunits!A$1:C$4000,2,FALSE)</f>
      </c>
      <c r="B354" s="1" t="str">
        <f>VLOOKUP(D354,epiunits!A$1:C$4000,3,FALSE)</f>
      </c>
      <c r="C354" s="1" t="str">
        <f>VLOOKUP(E354,Inspector!A$1:B$50,2,FALSE)</f>
      </c>
      <c r="I354" s="1" t="str">
        <f>VLOOKUP(D354,epiunits!A$1:J$4000,6,FALSE)</f>
      </c>
      <c r="J354" s="1" t="str">
        <f>VLOOKUP(D354,epiunits!A$1:J$4000,7,FALSE)</f>
      </c>
      <c r="K354" s="1" t="str">
        <f>VLOOKUP(D354,epiunits!A$1:J$4000,8,FALSE)</f>
      </c>
      <c r="L354" s="1" t="str">
        <f>VLOOKUP(D354,epiunits!A$1:J$4000,9,FALSE)</f>
      </c>
      <c r="M354" s="1" t="str">
        <f>VLOOKUP(D354,epiunits!A$1:J$4000,10,FALSE)</f>
      </c>
      <c r="N354" s="1">
        <v>0</v>
      </c>
      <c r="O354" s="1">
        <v>0</v>
      </c>
      <c r="P354" s="1">
        <v>0</v>
      </c>
      <c r="Q354" s="1">
        <v>0</v>
      </c>
      <c r="R354" s="1">
        <v>0</v>
      </c>
      <c r="S354" s="1">
        <v>0</v>
      </c>
      <c r="T354" s="1">
        <v>0</v>
      </c>
      <c r="U354" s="1">
        <v>0</v>
      </c>
      <c r="V354" s="1">
        <v>0</v>
      </c>
      <c r="W354" s="1">
        <v>0</v>
      </c>
      <c r="X354" s="1">
        <v>0</v>
      </c>
      <c r="Y354" s="1">
        <v>0</v>
      </c>
      <c r="Z354" s="1">
        <v>0</v>
      </c>
      <c r="AA354" s="1">
        <v>0</v>
      </c>
      <c r="AB354" s="1">
        <v>0</v>
      </c>
      <c r="AC354" s="1">
        <v>0</v>
      </c>
      <c r="AD354" s="1">
        <v>0</v>
      </c>
      <c r="AE354" s="1">
        <v>0</v>
      </c>
      <c r="AF354" s="1">
        <v>0</v>
      </c>
      <c r="AG354" s="1">
        <v>0</v>
      </c>
      <c r="AH354" s="1">
        <v>0</v>
      </c>
      <c r="AI354" s="1">
        <v>0</v>
      </c>
      <c r="AJ354" s="1">
        <v>0</v>
      </c>
      <c r="AK354" s="1">
        <v>0</v>
      </c>
      <c r="AL354" s="1">
        <v>0</v>
      </c>
      <c r="AM354" s="1">
        <v>0</v>
      </c>
      <c r="AN354" s="1">
        <v>0</v>
      </c>
      <c r="AO354" s="1">
        <v>0</v>
      </c>
      <c r="AP354" s="1">
        <v>0</v>
      </c>
      <c r="AQ354" s="1">
        <v>0</v>
      </c>
      <c r="AR354" s="1">
        <v>0</v>
      </c>
      <c r="AS354" s="1">
        <v>0</v>
      </c>
    </row>
    <row r="355" spans="1:45">
      <c r="A355" s="1" t="str">
        <f>VLOOKUP(D355,epiunits!A$1:C$4000,2,FALSE)</f>
      </c>
      <c r="B355" s="1" t="str">
        <f>VLOOKUP(D355,epiunits!A$1:C$4000,3,FALSE)</f>
      </c>
      <c r="C355" s="1" t="str">
        <f>VLOOKUP(E355,Inspector!A$1:B$50,2,FALSE)</f>
      </c>
      <c r="I355" s="1" t="str">
        <f>VLOOKUP(D355,epiunits!A$1:J$4000,6,FALSE)</f>
      </c>
      <c r="J355" s="1" t="str">
        <f>VLOOKUP(D355,epiunits!A$1:J$4000,7,FALSE)</f>
      </c>
      <c r="K355" s="1" t="str">
        <f>VLOOKUP(D355,epiunits!A$1:J$4000,8,FALSE)</f>
      </c>
      <c r="L355" s="1" t="str">
        <f>VLOOKUP(D355,epiunits!A$1:J$4000,9,FALSE)</f>
      </c>
      <c r="M355" s="1" t="str">
        <f>VLOOKUP(D355,epiunits!A$1:J$4000,10,FALSE)</f>
      </c>
      <c r="N355" s="1">
        <v>0</v>
      </c>
      <c r="O355" s="1">
        <v>0</v>
      </c>
      <c r="P355" s="1">
        <v>0</v>
      </c>
      <c r="Q355" s="1">
        <v>0</v>
      </c>
      <c r="R355" s="1">
        <v>0</v>
      </c>
      <c r="S355" s="1">
        <v>0</v>
      </c>
      <c r="T355" s="1">
        <v>0</v>
      </c>
      <c r="U355" s="1">
        <v>0</v>
      </c>
      <c r="V355" s="1">
        <v>0</v>
      </c>
      <c r="W355" s="1">
        <v>0</v>
      </c>
      <c r="X355" s="1">
        <v>0</v>
      </c>
      <c r="Y355" s="1">
        <v>0</v>
      </c>
      <c r="Z355" s="1">
        <v>0</v>
      </c>
      <c r="AA355" s="1">
        <v>0</v>
      </c>
      <c r="AB355" s="1">
        <v>0</v>
      </c>
      <c r="AC355" s="1">
        <v>0</v>
      </c>
      <c r="AD355" s="1">
        <v>0</v>
      </c>
      <c r="AE355" s="1">
        <v>0</v>
      </c>
      <c r="AF355" s="1">
        <v>0</v>
      </c>
      <c r="AG355" s="1">
        <v>0</v>
      </c>
      <c r="AH355" s="1">
        <v>0</v>
      </c>
      <c r="AI355" s="1">
        <v>0</v>
      </c>
      <c r="AJ355" s="1">
        <v>0</v>
      </c>
      <c r="AK355" s="1">
        <v>0</v>
      </c>
      <c r="AL355" s="1">
        <v>0</v>
      </c>
      <c r="AM355" s="1">
        <v>0</v>
      </c>
      <c r="AN355" s="1">
        <v>0</v>
      </c>
      <c r="AO355" s="1">
        <v>0</v>
      </c>
      <c r="AP355" s="1">
        <v>0</v>
      </c>
      <c r="AQ355" s="1">
        <v>0</v>
      </c>
      <c r="AR355" s="1">
        <v>0</v>
      </c>
      <c r="AS355" s="1">
        <v>0</v>
      </c>
    </row>
    <row r="356" spans="1:45">
      <c r="A356" s="1" t="str">
        <f>VLOOKUP(D356,epiunits!A$1:C$4000,2,FALSE)</f>
      </c>
      <c r="B356" s="1" t="str">
        <f>VLOOKUP(D356,epiunits!A$1:C$4000,3,FALSE)</f>
      </c>
      <c r="C356" s="1" t="str">
        <f>VLOOKUP(E356,Inspector!A$1:B$50,2,FALSE)</f>
      </c>
      <c r="I356" s="1" t="str">
        <f>VLOOKUP(D356,epiunits!A$1:J$4000,6,FALSE)</f>
      </c>
      <c r="J356" s="1" t="str">
        <f>VLOOKUP(D356,epiunits!A$1:J$4000,7,FALSE)</f>
      </c>
      <c r="K356" s="1" t="str">
        <f>VLOOKUP(D356,epiunits!A$1:J$4000,8,FALSE)</f>
      </c>
      <c r="L356" s="1" t="str">
        <f>VLOOKUP(D356,epiunits!A$1:J$4000,9,FALSE)</f>
      </c>
      <c r="M356" s="1" t="str">
        <f>VLOOKUP(D356,epiunits!A$1:J$4000,10,FALSE)</f>
      </c>
      <c r="N356" s="1">
        <v>0</v>
      </c>
      <c r="O356" s="1">
        <v>0</v>
      </c>
      <c r="P356" s="1">
        <v>0</v>
      </c>
      <c r="Q356" s="1">
        <v>0</v>
      </c>
      <c r="R356" s="1">
        <v>0</v>
      </c>
      <c r="S356" s="1">
        <v>0</v>
      </c>
      <c r="T356" s="1">
        <v>0</v>
      </c>
      <c r="U356" s="1">
        <v>0</v>
      </c>
      <c r="V356" s="1">
        <v>0</v>
      </c>
      <c r="W356" s="1">
        <v>0</v>
      </c>
      <c r="X356" s="1">
        <v>0</v>
      </c>
      <c r="Y356" s="1">
        <v>0</v>
      </c>
      <c r="Z356" s="1">
        <v>0</v>
      </c>
      <c r="AA356" s="1">
        <v>0</v>
      </c>
      <c r="AB356" s="1">
        <v>0</v>
      </c>
      <c r="AC356" s="1">
        <v>0</v>
      </c>
      <c r="AD356" s="1">
        <v>0</v>
      </c>
      <c r="AE356" s="1">
        <v>0</v>
      </c>
      <c r="AF356" s="1">
        <v>0</v>
      </c>
      <c r="AG356" s="1">
        <v>0</v>
      </c>
      <c r="AH356" s="1">
        <v>0</v>
      </c>
      <c r="AI356" s="1">
        <v>0</v>
      </c>
      <c r="AJ356" s="1">
        <v>0</v>
      </c>
      <c r="AK356" s="1">
        <v>0</v>
      </c>
      <c r="AL356" s="1">
        <v>0</v>
      </c>
      <c r="AM356" s="1">
        <v>0</v>
      </c>
      <c r="AN356" s="1">
        <v>0</v>
      </c>
      <c r="AO356" s="1">
        <v>0</v>
      </c>
      <c r="AP356" s="1">
        <v>0</v>
      </c>
      <c r="AQ356" s="1">
        <v>0</v>
      </c>
      <c r="AR356" s="1">
        <v>0</v>
      </c>
      <c r="AS356" s="1">
        <v>0</v>
      </c>
    </row>
    <row r="357" spans="1:45">
      <c r="A357" s="1" t="str">
        <f>VLOOKUP(D357,epiunits!A$1:C$4000,2,FALSE)</f>
      </c>
      <c r="B357" s="1" t="str">
        <f>VLOOKUP(D357,epiunits!A$1:C$4000,3,FALSE)</f>
      </c>
      <c r="C357" s="1" t="str">
        <f>VLOOKUP(E357,Inspector!A$1:B$50,2,FALSE)</f>
      </c>
      <c r="I357" s="1" t="str">
        <f>VLOOKUP(D357,epiunits!A$1:J$4000,6,FALSE)</f>
      </c>
      <c r="J357" s="1" t="str">
        <f>VLOOKUP(D357,epiunits!A$1:J$4000,7,FALSE)</f>
      </c>
      <c r="K357" s="1" t="str">
        <f>VLOOKUP(D357,epiunits!A$1:J$4000,8,FALSE)</f>
      </c>
      <c r="L357" s="1" t="str">
        <f>VLOOKUP(D357,epiunits!A$1:J$4000,9,FALSE)</f>
      </c>
      <c r="M357" s="1" t="str">
        <f>VLOOKUP(D357,epiunits!A$1:J$4000,10,FALSE)</f>
      </c>
      <c r="N357" s="1">
        <v>0</v>
      </c>
      <c r="O357" s="1">
        <v>0</v>
      </c>
      <c r="P357" s="1">
        <v>0</v>
      </c>
      <c r="Q357" s="1">
        <v>0</v>
      </c>
      <c r="R357" s="1">
        <v>0</v>
      </c>
      <c r="S357" s="1">
        <v>0</v>
      </c>
      <c r="T357" s="1">
        <v>0</v>
      </c>
      <c r="U357" s="1">
        <v>0</v>
      </c>
      <c r="V357" s="1">
        <v>0</v>
      </c>
      <c r="W357" s="1">
        <v>0</v>
      </c>
      <c r="X357" s="1">
        <v>0</v>
      </c>
      <c r="Y357" s="1">
        <v>0</v>
      </c>
      <c r="Z357" s="1">
        <v>0</v>
      </c>
      <c r="AA357" s="1">
        <v>0</v>
      </c>
      <c r="AB357" s="1">
        <v>0</v>
      </c>
      <c r="AC357" s="1">
        <v>0</v>
      </c>
      <c r="AD357" s="1">
        <v>0</v>
      </c>
      <c r="AE357" s="1">
        <v>0</v>
      </c>
      <c r="AF357" s="1">
        <v>0</v>
      </c>
      <c r="AG357" s="1">
        <v>0</v>
      </c>
      <c r="AH357" s="1">
        <v>0</v>
      </c>
      <c r="AI357" s="1">
        <v>0</v>
      </c>
      <c r="AJ357" s="1">
        <v>0</v>
      </c>
      <c r="AK357" s="1">
        <v>0</v>
      </c>
      <c r="AL357" s="1">
        <v>0</v>
      </c>
      <c r="AM357" s="1">
        <v>0</v>
      </c>
      <c r="AN357" s="1">
        <v>0</v>
      </c>
      <c r="AO357" s="1">
        <v>0</v>
      </c>
      <c r="AP357" s="1">
        <v>0</v>
      </c>
      <c r="AQ357" s="1">
        <v>0</v>
      </c>
      <c r="AR357" s="1">
        <v>0</v>
      </c>
      <c r="AS357" s="1">
        <v>0</v>
      </c>
    </row>
    <row r="358" spans="1:45">
      <c r="A358" s="1" t="str">
        <f>VLOOKUP(D358,epiunits!A$1:C$4000,2,FALSE)</f>
      </c>
      <c r="B358" s="1" t="str">
        <f>VLOOKUP(D358,epiunits!A$1:C$4000,3,FALSE)</f>
      </c>
      <c r="C358" s="1" t="str">
        <f>VLOOKUP(E358,Inspector!A$1:B$50,2,FALSE)</f>
      </c>
      <c r="I358" s="1" t="str">
        <f>VLOOKUP(D358,epiunits!A$1:J$4000,6,FALSE)</f>
      </c>
      <c r="J358" s="1" t="str">
        <f>VLOOKUP(D358,epiunits!A$1:J$4000,7,FALSE)</f>
      </c>
      <c r="K358" s="1" t="str">
        <f>VLOOKUP(D358,epiunits!A$1:J$4000,8,FALSE)</f>
      </c>
      <c r="L358" s="1" t="str">
        <f>VLOOKUP(D358,epiunits!A$1:J$4000,9,FALSE)</f>
      </c>
      <c r="M358" s="1" t="str">
        <f>VLOOKUP(D358,epiunits!A$1:J$4000,10,FALSE)</f>
      </c>
      <c r="N358" s="1">
        <v>0</v>
      </c>
      <c r="O358" s="1">
        <v>0</v>
      </c>
      <c r="P358" s="1">
        <v>0</v>
      </c>
      <c r="Q358" s="1">
        <v>0</v>
      </c>
      <c r="R358" s="1">
        <v>0</v>
      </c>
      <c r="S358" s="1">
        <v>0</v>
      </c>
      <c r="T358" s="1">
        <v>0</v>
      </c>
      <c r="U358" s="1">
        <v>0</v>
      </c>
      <c r="V358" s="1">
        <v>0</v>
      </c>
      <c r="W358" s="1">
        <v>0</v>
      </c>
      <c r="X358" s="1">
        <v>0</v>
      </c>
      <c r="Y358" s="1">
        <v>0</v>
      </c>
      <c r="Z358" s="1">
        <v>0</v>
      </c>
      <c r="AA358" s="1">
        <v>0</v>
      </c>
      <c r="AB358" s="1">
        <v>0</v>
      </c>
      <c r="AC358" s="1">
        <v>0</v>
      </c>
      <c r="AD358" s="1">
        <v>0</v>
      </c>
      <c r="AE358" s="1">
        <v>0</v>
      </c>
      <c r="AF358" s="1">
        <v>0</v>
      </c>
      <c r="AG358" s="1">
        <v>0</v>
      </c>
      <c r="AH358" s="1">
        <v>0</v>
      </c>
      <c r="AI358" s="1">
        <v>0</v>
      </c>
      <c r="AJ358" s="1">
        <v>0</v>
      </c>
      <c r="AK358" s="1">
        <v>0</v>
      </c>
      <c r="AL358" s="1">
        <v>0</v>
      </c>
      <c r="AM358" s="1">
        <v>0</v>
      </c>
      <c r="AN358" s="1">
        <v>0</v>
      </c>
      <c r="AO358" s="1">
        <v>0</v>
      </c>
      <c r="AP358" s="1">
        <v>0</v>
      </c>
      <c r="AQ358" s="1">
        <v>0</v>
      </c>
      <c r="AR358" s="1">
        <v>0</v>
      </c>
      <c r="AS358" s="1">
        <v>0</v>
      </c>
    </row>
    <row r="359" spans="1:45">
      <c r="A359" s="1" t="str">
        <f>VLOOKUP(D359,epiunits!A$1:C$4000,2,FALSE)</f>
      </c>
      <c r="B359" s="1" t="str">
        <f>VLOOKUP(D359,epiunits!A$1:C$4000,3,FALSE)</f>
      </c>
      <c r="C359" s="1" t="str">
        <f>VLOOKUP(E359,Inspector!A$1:B$50,2,FALSE)</f>
      </c>
      <c r="I359" s="1" t="str">
        <f>VLOOKUP(D359,epiunits!A$1:J$4000,6,FALSE)</f>
      </c>
      <c r="J359" s="1" t="str">
        <f>VLOOKUP(D359,epiunits!A$1:J$4000,7,FALSE)</f>
      </c>
      <c r="K359" s="1" t="str">
        <f>VLOOKUP(D359,epiunits!A$1:J$4000,8,FALSE)</f>
      </c>
      <c r="L359" s="1" t="str">
        <f>VLOOKUP(D359,epiunits!A$1:J$4000,9,FALSE)</f>
      </c>
      <c r="M359" s="1" t="str">
        <f>VLOOKUP(D359,epiunits!A$1:J$4000,10,FALSE)</f>
      </c>
      <c r="N359" s="1">
        <v>0</v>
      </c>
      <c r="O359" s="1">
        <v>0</v>
      </c>
      <c r="P359" s="1">
        <v>0</v>
      </c>
      <c r="Q359" s="1">
        <v>0</v>
      </c>
      <c r="R359" s="1">
        <v>0</v>
      </c>
      <c r="S359" s="1">
        <v>0</v>
      </c>
      <c r="T359" s="1">
        <v>0</v>
      </c>
      <c r="U359" s="1">
        <v>0</v>
      </c>
      <c r="V359" s="1">
        <v>0</v>
      </c>
      <c r="W359" s="1">
        <v>0</v>
      </c>
      <c r="X359" s="1">
        <v>0</v>
      </c>
      <c r="Y359" s="1">
        <v>0</v>
      </c>
      <c r="Z359" s="1">
        <v>0</v>
      </c>
      <c r="AA359" s="1">
        <v>0</v>
      </c>
      <c r="AB359" s="1">
        <v>0</v>
      </c>
      <c r="AC359" s="1">
        <v>0</v>
      </c>
      <c r="AD359" s="1">
        <v>0</v>
      </c>
      <c r="AE359" s="1">
        <v>0</v>
      </c>
      <c r="AF359" s="1">
        <v>0</v>
      </c>
      <c r="AG359" s="1">
        <v>0</v>
      </c>
      <c r="AH359" s="1">
        <v>0</v>
      </c>
      <c r="AI359" s="1">
        <v>0</v>
      </c>
      <c r="AJ359" s="1">
        <v>0</v>
      </c>
      <c r="AK359" s="1">
        <v>0</v>
      </c>
      <c r="AL359" s="1">
        <v>0</v>
      </c>
      <c r="AM359" s="1">
        <v>0</v>
      </c>
      <c r="AN359" s="1">
        <v>0</v>
      </c>
      <c r="AO359" s="1">
        <v>0</v>
      </c>
      <c r="AP359" s="1">
        <v>0</v>
      </c>
      <c r="AQ359" s="1">
        <v>0</v>
      </c>
      <c r="AR359" s="1">
        <v>0</v>
      </c>
      <c r="AS359" s="1">
        <v>0</v>
      </c>
    </row>
    <row r="360" spans="1:45">
      <c r="A360" s="1" t="str">
        <f>VLOOKUP(D360,epiunits!A$1:C$4000,2,FALSE)</f>
      </c>
      <c r="B360" s="1" t="str">
        <f>VLOOKUP(D360,epiunits!A$1:C$4000,3,FALSE)</f>
      </c>
      <c r="C360" s="1" t="str">
        <f>VLOOKUP(E360,Inspector!A$1:B$50,2,FALSE)</f>
      </c>
      <c r="I360" s="1" t="str">
        <f>VLOOKUP(D360,epiunits!A$1:J$4000,6,FALSE)</f>
      </c>
      <c r="J360" s="1" t="str">
        <f>VLOOKUP(D360,epiunits!A$1:J$4000,7,FALSE)</f>
      </c>
      <c r="K360" s="1" t="str">
        <f>VLOOKUP(D360,epiunits!A$1:J$4000,8,FALSE)</f>
      </c>
      <c r="L360" s="1" t="str">
        <f>VLOOKUP(D360,epiunits!A$1:J$4000,9,FALSE)</f>
      </c>
      <c r="M360" s="1" t="str">
        <f>VLOOKUP(D360,epiunits!A$1:J$4000,10,FALSE)</f>
      </c>
      <c r="N360" s="1">
        <v>0</v>
      </c>
      <c r="O360" s="1">
        <v>0</v>
      </c>
      <c r="P360" s="1">
        <v>0</v>
      </c>
      <c r="Q360" s="1">
        <v>0</v>
      </c>
      <c r="R360" s="1">
        <v>0</v>
      </c>
      <c r="S360" s="1">
        <v>0</v>
      </c>
      <c r="T360" s="1">
        <v>0</v>
      </c>
      <c r="U360" s="1">
        <v>0</v>
      </c>
      <c r="V360" s="1">
        <v>0</v>
      </c>
      <c r="W360" s="1">
        <v>0</v>
      </c>
      <c r="X360" s="1">
        <v>0</v>
      </c>
      <c r="Y360" s="1">
        <v>0</v>
      </c>
      <c r="Z360" s="1">
        <v>0</v>
      </c>
      <c r="AA360" s="1">
        <v>0</v>
      </c>
      <c r="AB360" s="1">
        <v>0</v>
      </c>
      <c r="AC360" s="1">
        <v>0</v>
      </c>
      <c r="AD360" s="1">
        <v>0</v>
      </c>
      <c r="AE360" s="1">
        <v>0</v>
      </c>
      <c r="AF360" s="1">
        <v>0</v>
      </c>
      <c r="AG360" s="1">
        <v>0</v>
      </c>
      <c r="AH360" s="1">
        <v>0</v>
      </c>
      <c r="AI360" s="1">
        <v>0</v>
      </c>
      <c r="AJ360" s="1">
        <v>0</v>
      </c>
      <c r="AK360" s="1">
        <v>0</v>
      </c>
      <c r="AL360" s="1">
        <v>0</v>
      </c>
      <c r="AM360" s="1">
        <v>0</v>
      </c>
      <c r="AN360" s="1">
        <v>0</v>
      </c>
      <c r="AO360" s="1">
        <v>0</v>
      </c>
      <c r="AP360" s="1">
        <v>0</v>
      </c>
      <c r="AQ360" s="1">
        <v>0</v>
      </c>
      <c r="AR360" s="1">
        <v>0</v>
      </c>
      <c r="AS360" s="1">
        <v>0</v>
      </c>
    </row>
    <row r="361" spans="1:45">
      <c r="A361" s="1" t="str">
        <f>VLOOKUP(D361,epiunits!A$1:C$4000,2,FALSE)</f>
      </c>
      <c r="B361" s="1" t="str">
        <f>VLOOKUP(D361,epiunits!A$1:C$4000,3,FALSE)</f>
      </c>
      <c r="C361" s="1" t="str">
        <f>VLOOKUP(E361,Inspector!A$1:B$50,2,FALSE)</f>
      </c>
      <c r="I361" s="1" t="str">
        <f>VLOOKUP(D361,epiunits!A$1:J$4000,6,FALSE)</f>
      </c>
      <c r="J361" s="1" t="str">
        <f>VLOOKUP(D361,epiunits!A$1:J$4000,7,FALSE)</f>
      </c>
      <c r="K361" s="1" t="str">
        <f>VLOOKUP(D361,epiunits!A$1:J$4000,8,FALSE)</f>
      </c>
      <c r="L361" s="1" t="str">
        <f>VLOOKUP(D361,epiunits!A$1:J$4000,9,FALSE)</f>
      </c>
      <c r="M361" s="1" t="str">
        <f>VLOOKUP(D361,epiunits!A$1:J$4000,10,FALSE)</f>
      </c>
      <c r="N361" s="1">
        <v>0</v>
      </c>
      <c r="O361" s="1">
        <v>0</v>
      </c>
      <c r="P361" s="1">
        <v>0</v>
      </c>
      <c r="Q361" s="1">
        <v>0</v>
      </c>
      <c r="R361" s="1">
        <v>0</v>
      </c>
      <c r="S361" s="1">
        <v>0</v>
      </c>
      <c r="T361" s="1">
        <v>0</v>
      </c>
      <c r="U361" s="1">
        <v>0</v>
      </c>
      <c r="V361" s="1">
        <v>0</v>
      </c>
      <c r="W361" s="1">
        <v>0</v>
      </c>
      <c r="X361" s="1">
        <v>0</v>
      </c>
      <c r="Y361" s="1">
        <v>0</v>
      </c>
      <c r="Z361" s="1">
        <v>0</v>
      </c>
      <c r="AA361" s="1">
        <v>0</v>
      </c>
      <c r="AB361" s="1">
        <v>0</v>
      </c>
      <c r="AC361" s="1">
        <v>0</v>
      </c>
      <c r="AD361" s="1">
        <v>0</v>
      </c>
      <c r="AE361" s="1">
        <v>0</v>
      </c>
      <c r="AF361" s="1">
        <v>0</v>
      </c>
      <c r="AG361" s="1">
        <v>0</v>
      </c>
      <c r="AH361" s="1">
        <v>0</v>
      </c>
      <c r="AI361" s="1">
        <v>0</v>
      </c>
      <c r="AJ361" s="1">
        <v>0</v>
      </c>
      <c r="AK361" s="1">
        <v>0</v>
      </c>
      <c r="AL361" s="1">
        <v>0</v>
      </c>
      <c r="AM361" s="1">
        <v>0</v>
      </c>
      <c r="AN361" s="1">
        <v>0</v>
      </c>
      <c r="AO361" s="1">
        <v>0</v>
      </c>
      <c r="AP361" s="1">
        <v>0</v>
      </c>
      <c r="AQ361" s="1">
        <v>0</v>
      </c>
      <c r="AR361" s="1">
        <v>0</v>
      </c>
      <c r="AS361" s="1">
        <v>0</v>
      </c>
    </row>
    <row r="362" spans="1:45">
      <c r="A362" s="1" t="str">
        <f>VLOOKUP(D362,epiunits!A$1:C$4000,2,FALSE)</f>
      </c>
      <c r="B362" s="1" t="str">
        <f>VLOOKUP(D362,epiunits!A$1:C$4000,3,FALSE)</f>
      </c>
      <c r="C362" s="1" t="str">
        <f>VLOOKUP(E362,Inspector!A$1:B$50,2,FALSE)</f>
      </c>
      <c r="I362" s="1" t="str">
        <f>VLOOKUP(D362,epiunits!A$1:J$4000,6,FALSE)</f>
      </c>
      <c r="J362" s="1" t="str">
        <f>VLOOKUP(D362,epiunits!A$1:J$4000,7,FALSE)</f>
      </c>
      <c r="K362" s="1" t="str">
        <f>VLOOKUP(D362,epiunits!A$1:J$4000,8,FALSE)</f>
      </c>
      <c r="L362" s="1" t="str">
        <f>VLOOKUP(D362,epiunits!A$1:J$4000,9,FALSE)</f>
      </c>
      <c r="M362" s="1" t="str">
        <f>VLOOKUP(D362,epiunits!A$1:J$4000,10,FALSE)</f>
      </c>
      <c r="N362" s="1">
        <v>0</v>
      </c>
      <c r="O362" s="1">
        <v>0</v>
      </c>
      <c r="P362" s="1">
        <v>0</v>
      </c>
      <c r="Q362" s="1">
        <v>0</v>
      </c>
      <c r="R362" s="1">
        <v>0</v>
      </c>
      <c r="S362" s="1">
        <v>0</v>
      </c>
      <c r="T362" s="1">
        <v>0</v>
      </c>
      <c r="U362" s="1">
        <v>0</v>
      </c>
      <c r="V362" s="1">
        <v>0</v>
      </c>
      <c r="W362" s="1">
        <v>0</v>
      </c>
      <c r="X362" s="1">
        <v>0</v>
      </c>
      <c r="Y362" s="1">
        <v>0</v>
      </c>
      <c r="Z362" s="1">
        <v>0</v>
      </c>
      <c r="AA362" s="1">
        <v>0</v>
      </c>
      <c r="AB362" s="1">
        <v>0</v>
      </c>
      <c r="AC362" s="1">
        <v>0</v>
      </c>
      <c r="AD362" s="1">
        <v>0</v>
      </c>
      <c r="AE362" s="1">
        <v>0</v>
      </c>
      <c r="AF362" s="1">
        <v>0</v>
      </c>
      <c r="AG362" s="1">
        <v>0</v>
      </c>
      <c r="AH362" s="1">
        <v>0</v>
      </c>
      <c r="AI362" s="1">
        <v>0</v>
      </c>
      <c r="AJ362" s="1">
        <v>0</v>
      </c>
      <c r="AK362" s="1">
        <v>0</v>
      </c>
      <c r="AL362" s="1">
        <v>0</v>
      </c>
      <c r="AM362" s="1">
        <v>0</v>
      </c>
      <c r="AN362" s="1">
        <v>0</v>
      </c>
      <c r="AO362" s="1">
        <v>0</v>
      </c>
      <c r="AP362" s="1">
        <v>0</v>
      </c>
      <c r="AQ362" s="1">
        <v>0</v>
      </c>
      <c r="AR362" s="1">
        <v>0</v>
      </c>
      <c r="AS362" s="1">
        <v>0</v>
      </c>
    </row>
    <row r="363" spans="1:45">
      <c r="A363" s="1" t="str">
        <f>VLOOKUP(D363,epiunits!A$1:C$4000,2,FALSE)</f>
      </c>
      <c r="B363" s="1" t="str">
        <f>VLOOKUP(D363,epiunits!A$1:C$4000,3,FALSE)</f>
      </c>
      <c r="C363" s="1" t="str">
        <f>VLOOKUP(E363,Inspector!A$1:B$50,2,FALSE)</f>
      </c>
      <c r="I363" s="1" t="str">
        <f>VLOOKUP(D363,epiunits!A$1:J$4000,6,FALSE)</f>
      </c>
      <c r="J363" s="1" t="str">
        <f>VLOOKUP(D363,epiunits!A$1:J$4000,7,FALSE)</f>
      </c>
      <c r="K363" s="1" t="str">
        <f>VLOOKUP(D363,epiunits!A$1:J$4000,8,FALSE)</f>
      </c>
      <c r="L363" s="1" t="str">
        <f>VLOOKUP(D363,epiunits!A$1:J$4000,9,FALSE)</f>
      </c>
      <c r="M363" s="1" t="str">
        <f>VLOOKUP(D363,epiunits!A$1:J$4000,10,FALSE)</f>
      </c>
      <c r="N363" s="1">
        <v>0</v>
      </c>
      <c r="O363" s="1">
        <v>0</v>
      </c>
      <c r="P363" s="1">
        <v>0</v>
      </c>
      <c r="Q363" s="1">
        <v>0</v>
      </c>
      <c r="R363" s="1">
        <v>0</v>
      </c>
      <c r="S363" s="1">
        <v>0</v>
      </c>
      <c r="T363" s="1">
        <v>0</v>
      </c>
      <c r="U363" s="1">
        <v>0</v>
      </c>
      <c r="V363" s="1">
        <v>0</v>
      </c>
      <c r="W363" s="1">
        <v>0</v>
      </c>
      <c r="X363" s="1">
        <v>0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  <c r="AD363" s="1">
        <v>0</v>
      </c>
      <c r="AE363" s="1">
        <v>0</v>
      </c>
      <c r="AF363" s="1">
        <v>0</v>
      </c>
      <c r="AG363" s="1">
        <v>0</v>
      </c>
      <c r="AH363" s="1">
        <v>0</v>
      </c>
      <c r="AI363" s="1">
        <v>0</v>
      </c>
      <c r="AJ363" s="1">
        <v>0</v>
      </c>
      <c r="AK363" s="1">
        <v>0</v>
      </c>
      <c r="AL363" s="1">
        <v>0</v>
      </c>
      <c r="AM363" s="1">
        <v>0</v>
      </c>
      <c r="AN363" s="1">
        <v>0</v>
      </c>
      <c r="AO363" s="1">
        <v>0</v>
      </c>
      <c r="AP363" s="1">
        <v>0</v>
      </c>
      <c r="AQ363" s="1">
        <v>0</v>
      </c>
      <c r="AR363" s="1">
        <v>0</v>
      </c>
      <c r="AS363" s="1">
        <v>0</v>
      </c>
    </row>
    <row r="364" spans="1:45">
      <c r="A364" s="1" t="str">
        <f>VLOOKUP(D364,epiunits!A$1:C$4000,2,FALSE)</f>
      </c>
      <c r="B364" s="1" t="str">
        <f>VLOOKUP(D364,epiunits!A$1:C$4000,3,FALSE)</f>
      </c>
      <c r="C364" s="1" t="str">
        <f>VLOOKUP(E364,Inspector!A$1:B$50,2,FALSE)</f>
      </c>
      <c r="I364" s="1" t="str">
        <f>VLOOKUP(D364,epiunits!A$1:J$4000,6,FALSE)</f>
      </c>
      <c r="J364" s="1" t="str">
        <f>VLOOKUP(D364,epiunits!A$1:J$4000,7,FALSE)</f>
      </c>
      <c r="K364" s="1" t="str">
        <f>VLOOKUP(D364,epiunits!A$1:J$4000,8,FALSE)</f>
      </c>
      <c r="L364" s="1" t="str">
        <f>VLOOKUP(D364,epiunits!A$1:J$4000,9,FALSE)</f>
      </c>
      <c r="M364" s="1" t="str">
        <f>VLOOKUP(D364,epiunits!A$1:J$4000,10,FALSE)</f>
      </c>
      <c r="N364" s="1">
        <v>0</v>
      </c>
      <c r="O364" s="1">
        <v>0</v>
      </c>
      <c r="P364" s="1">
        <v>0</v>
      </c>
      <c r="Q364" s="1">
        <v>0</v>
      </c>
      <c r="R364" s="1">
        <v>0</v>
      </c>
      <c r="S364" s="1">
        <v>0</v>
      </c>
      <c r="T364" s="1">
        <v>0</v>
      </c>
      <c r="U364" s="1">
        <v>0</v>
      </c>
      <c r="V364" s="1">
        <v>0</v>
      </c>
      <c r="W364" s="1">
        <v>0</v>
      </c>
      <c r="X364" s="1">
        <v>0</v>
      </c>
      <c r="Y364" s="1">
        <v>0</v>
      </c>
      <c r="Z364" s="1">
        <v>0</v>
      </c>
      <c r="AA364" s="1">
        <v>0</v>
      </c>
      <c r="AB364" s="1">
        <v>0</v>
      </c>
      <c r="AC364" s="1">
        <v>0</v>
      </c>
      <c r="AD364" s="1">
        <v>0</v>
      </c>
      <c r="AE364" s="1">
        <v>0</v>
      </c>
      <c r="AF364" s="1">
        <v>0</v>
      </c>
      <c r="AG364" s="1">
        <v>0</v>
      </c>
      <c r="AH364" s="1">
        <v>0</v>
      </c>
      <c r="AI364" s="1">
        <v>0</v>
      </c>
      <c r="AJ364" s="1">
        <v>0</v>
      </c>
      <c r="AK364" s="1">
        <v>0</v>
      </c>
      <c r="AL364" s="1">
        <v>0</v>
      </c>
      <c r="AM364" s="1">
        <v>0</v>
      </c>
      <c r="AN364" s="1">
        <v>0</v>
      </c>
      <c r="AO364" s="1">
        <v>0</v>
      </c>
      <c r="AP364" s="1">
        <v>0</v>
      </c>
      <c r="AQ364" s="1">
        <v>0</v>
      </c>
      <c r="AR364" s="1">
        <v>0</v>
      </c>
      <c r="AS364" s="1">
        <v>0</v>
      </c>
    </row>
    <row r="365" spans="1:45">
      <c r="A365" s="1" t="str">
        <f>VLOOKUP(D365,epiunits!A$1:C$4000,2,FALSE)</f>
      </c>
      <c r="B365" s="1" t="str">
        <f>VLOOKUP(D365,epiunits!A$1:C$4000,3,FALSE)</f>
      </c>
      <c r="C365" s="1" t="str">
        <f>VLOOKUP(E365,Inspector!A$1:B$50,2,FALSE)</f>
      </c>
      <c r="I365" s="1" t="str">
        <f>VLOOKUP(D365,epiunits!A$1:J$4000,6,FALSE)</f>
      </c>
      <c r="J365" s="1" t="str">
        <f>VLOOKUP(D365,epiunits!A$1:J$4000,7,FALSE)</f>
      </c>
      <c r="K365" s="1" t="str">
        <f>VLOOKUP(D365,epiunits!A$1:J$4000,8,FALSE)</f>
      </c>
      <c r="L365" s="1" t="str">
        <f>VLOOKUP(D365,epiunits!A$1:J$4000,9,FALSE)</f>
      </c>
      <c r="M365" s="1" t="str">
        <f>VLOOKUP(D365,epiunits!A$1:J$4000,10,FALSE)</f>
      </c>
      <c r="N365" s="1">
        <v>0</v>
      </c>
      <c r="O365" s="1">
        <v>0</v>
      </c>
      <c r="P365" s="1">
        <v>0</v>
      </c>
      <c r="Q365" s="1">
        <v>0</v>
      </c>
      <c r="R365" s="1">
        <v>0</v>
      </c>
      <c r="S365" s="1">
        <v>0</v>
      </c>
      <c r="T365" s="1">
        <v>0</v>
      </c>
      <c r="U365" s="1">
        <v>0</v>
      </c>
      <c r="V365" s="1">
        <v>0</v>
      </c>
      <c r="W365" s="1">
        <v>0</v>
      </c>
      <c r="X365" s="1">
        <v>0</v>
      </c>
      <c r="Y365" s="1">
        <v>0</v>
      </c>
      <c r="Z365" s="1">
        <v>0</v>
      </c>
      <c r="AA365" s="1">
        <v>0</v>
      </c>
      <c r="AB365" s="1">
        <v>0</v>
      </c>
      <c r="AC365" s="1">
        <v>0</v>
      </c>
      <c r="AD365" s="1">
        <v>0</v>
      </c>
      <c r="AE365" s="1">
        <v>0</v>
      </c>
      <c r="AF365" s="1">
        <v>0</v>
      </c>
      <c r="AG365" s="1">
        <v>0</v>
      </c>
      <c r="AH365" s="1">
        <v>0</v>
      </c>
      <c r="AI365" s="1">
        <v>0</v>
      </c>
      <c r="AJ365" s="1">
        <v>0</v>
      </c>
      <c r="AK365" s="1">
        <v>0</v>
      </c>
      <c r="AL365" s="1">
        <v>0</v>
      </c>
      <c r="AM365" s="1">
        <v>0</v>
      </c>
      <c r="AN365" s="1">
        <v>0</v>
      </c>
      <c r="AO365" s="1">
        <v>0</v>
      </c>
      <c r="AP365" s="1">
        <v>0</v>
      </c>
      <c r="AQ365" s="1">
        <v>0</v>
      </c>
      <c r="AR365" s="1">
        <v>0</v>
      </c>
      <c r="AS365" s="1">
        <v>0</v>
      </c>
    </row>
    <row r="366" spans="1:45">
      <c r="A366" s="1" t="str">
        <f>VLOOKUP(D366,epiunits!A$1:C$4000,2,FALSE)</f>
      </c>
      <c r="B366" s="1" t="str">
        <f>VLOOKUP(D366,epiunits!A$1:C$4000,3,FALSE)</f>
      </c>
      <c r="C366" s="1" t="str">
        <f>VLOOKUP(E366,Inspector!A$1:B$50,2,FALSE)</f>
      </c>
      <c r="I366" s="1" t="str">
        <f>VLOOKUP(D366,epiunits!A$1:J$4000,6,FALSE)</f>
      </c>
      <c r="J366" s="1" t="str">
        <f>VLOOKUP(D366,epiunits!A$1:J$4000,7,FALSE)</f>
      </c>
      <c r="K366" s="1" t="str">
        <f>VLOOKUP(D366,epiunits!A$1:J$4000,8,FALSE)</f>
      </c>
      <c r="L366" s="1" t="str">
        <f>VLOOKUP(D366,epiunits!A$1:J$4000,9,FALSE)</f>
      </c>
      <c r="M366" s="1" t="str">
        <f>VLOOKUP(D366,epiunits!A$1:J$4000,10,FALSE)</f>
      </c>
      <c r="N366" s="1">
        <v>0</v>
      </c>
      <c r="O366" s="1">
        <v>0</v>
      </c>
      <c r="P366" s="1">
        <v>0</v>
      </c>
      <c r="Q366" s="1">
        <v>0</v>
      </c>
      <c r="R366" s="1">
        <v>0</v>
      </c>
      <c r="S366" s="1">
        <v>0</v>
      </c>
      <c r="T366" s="1">
        <v>0</v>
      </c>
      <c r="U366" s="1">
        <v>0</v>
      </c>
      <c r="V366" s="1">
        <v>0</v>
      </c>
      <c r="W366" s="1">
        <v>0</v>
      </c>
      <c r="X366" s="1">
        <v>0</v>
      </c>
      <c r="Y366" s="1">
        <v>0</v>
      </c>
      <c r="Z366" s="1">
        <v>0</v>
      </c>
      <c r="AA366" s="1">
        <v>0</v>
      </c>
      <c r="AB366" s="1">
        <v>0</v>
      </c>
      <c r="AC366" s="1">
        <v>0</v>
      </c>
      <c r="AD366" s="1">
        <v>0</v>
      </c>
      <c r="AE366" s="1">
        <v>0</v>
      </c>
      <c r="AF366" s="1">
        <v>0</v>
      </c>
      <c r="AG366" s="1">
        <v>0</v>
      </c>
      <c r="AH366" s="1">
        <v>0</v>
      </c>
      <c r="AI366" s="1">
        <v>0</v>
      </c>
      <c r="AJ366" s="1">
        <v>0</v>
      </c>
      <c r="AK366" s="1">
        <v>0</v>
      </c>
      <c r="AL366" s="1">
        <v>0</v>
      </c>
      <c r="AM366" s="1">
        <v>0</v>
      </c>
      <c r="AN366" s="1">
        <v>0</v>
      </c>
      <c r="AO366" s="1">
        <v>0</v>
      </c>
      <c r="AP366" s="1">
        <v>0</v>
      </c>
      <c r="AQ366" s="1">
        <v>0</v>
      </c>
      <c r="AR366" s="1">
        <v>0</v>
      </c>
      <c r="AS366" s="1">
        <v>0</v>
      </c>
    </row>
    <row r="367" spans="1:45">
      <c r="A367" s="1" t="str">
        <f>VLOOKUP(D367,epiunits!A$1:C$4000,2,FALSE)</f>
      </c>
      <c r="B367" s="1" t="str">
        <f>VLOOKUP(D367,epiunits!A$1:C$4000,3,FALSE)</f>
      </c>
      <c r="C367" s="1" t="str">
        <f>VLOOKUP(E367,Inspector!A$1:B$50,2,FALSE)</f>
      </c>
      <c r="I367" s="1" t="str">
        <f>VLOOKUP(D367,epiunits!A$1:J$4000,6,FALSE)</f>
      </c>
      <c r="J367" s="1" t="str">
        <f>VLOOKUP(D367,epiunits!A$1:J$4000,7,FALSE)</f>
      </c>
      <c r="K367" s="1" t="str">
        <f>VLOOKUP(D367,epiunits!A$1:J$4000,8,FALSE)</f>
      </c>
      <c r="L367" s="1" t="str">
        <f>VLOOKUP(D367,epiunits!A$1:J$4000,9,FALSE)</f>
      </c>
      <c r="M367" s="1" t="str">
        <f>VLOOKUP(D367,epiunits!A$1:J$4000,10,FALSE)</f>
      </c>
      <c r="N367" s="1">
        <v>0</v>
      </c>
      <c r="O367" s="1">
        <v>0</v>
      </c>
      <c r="P367" s="1">
        <v>0</v>
      </c>
      <c r="Q367" s="1">
        <v>0</v>
      </c>
      <c r="R367" s="1">
        <v>0</v>
      </c>
      <c r="S367" s="1">
        <v>0</v>
      </c>
      <c r="T367" s="1">
        <v>0</v>
      </c>
      <c r="U367" s="1">
        <v>0</v>
      </c>
      <c r="V367" s="1">
        <v>0</v>
      </c>
      <c r="W367" s="1">
        <v>0</v>
      </c>
      <c r="X367" s="1">
        <v>0</v>
      </c>
      <c r="Y367" s="1">
        <v>0</v>
      </c>
      <c r="Z367" s="1">
        <v>0</v>
      </c>
      <c r="AA367" s="1">
        <v>0</v>
      </c>
      <c r="AB367" s="1">
        <v>0</v>
      </c>
      <c r="AC367" s="1">
        <v>0</v>
      </c>
      <c r="AD367" s="1">
        <v>0</v>
      </c>
      <c r="AE367" s="1">
        <v>0</v>
      </c>
      <c r="AF367" s="1">
        <v>0</v>
      </c>
      <c r="AG367" s="1">
        <v>0</v>
      </c>
      <c r="AH367" s="1">
        <v>0</v>
      </c>
      <c r="AI367" s="1">
        <v>0</v>
      </c>
      <c r="AJ367" s="1">
        <v>0</v>
      </c>
      <c r="AK367" s="1">
        <v>0</v>
      </c>
      <c r="AL367" s="1">
        <v>0</v>
      </c>
      <c r="AM367" s="1">
        <v>0</v>
      </c>
      <c r="AN367" s="1">
        <v>0</v>
      </c>
      <c r="AO367" s="1">
        <v>0</v>
      </c>
      <c r="AP367" s="1">
        <v>0</v>
      </c>
      <c r="AQ367" s="1">
        <v>0</v>
      </c>
      <c r="AR367" s="1">
        <v>0</v>
      </c>
      <c r="AS367" s="1">
        <v>0</v>
      </c>
    </row>
    <row r="368" spans="1:45">
      <c r="A368" s="1" t="str">
        <f>VLOOKUP(D368,epiunits!A$1:C$4000,2,FALSE)</f>
      </c>
      <c r="B368" s="1" t="str">
        <f>VLOOKUP(D368,epiunits!A$1:C$4000,3,FALSE)</f>
      </c>
      <c r="C368" s="1" t="str">
        <f>VLOOKUP(E368,Inspector!A$1:B$50,2,FALSE)</f>
      </c>
      <c r="I368" s="1" t="str">
        <f>VLOOKUP(D368,epiunits!A$1:J$4000,6,FALSE)</f>
      </c>
      <c r="J368" s="1" t="str">
        <f>VLOOKUP(D368,epiunits!A$1:J$4000,7,FALSE)</f>
      </c>
      <c r="K368" s="1" t="str">
        <f>VLOOKUP(D368,epiunits!A$1:J$4000,8,FALSE)</f>
      </c>
      <c r="L368" s="1" t="str">
        <f>VLOOKUP(D368,epiunits!A$1:J$4000,9,FALSE)</f>
      </c>
      <c r="M368" s="1" t="str">
        <f>VLOOKUP(D368,epiunits!A$1:J$4000,10,FALSE)</f>
      </c>
      <c r="N368" s="1">
        <v>0</v>
      </c>
      <c r="O368" s="1">
        <v>0</v>
      </c>
      <c r="P368" s="1">
        <v>0</v>
      </c>
      <c r="Q368" s="1">
        <v>0</v>
      </c>
      <c r="R368" s="1">
        <v>0</v>
      </c>
      <c r="S368" s="1">
        <v>0</v>
      </c>
      <c r="T368" s="1">
        <v>0</v>
      </c>
      <c r="U368" s="1">
        <v>0</v>
      </c>
      <c r="V368" s="1">
        <v>0</v>
      </c>
      <c r="W368" s="1">
        <v>0</v>
      </c>
      <c r="X368" s="1">
        <v>0</v>
      </c>
      <c r="Y368" s="1">
        <v>0</v>
      </c>
      <c r="Z368" s="1">
        <v>0</v>
      </c>
      <c r="AA368" s="1">
        <v>0</v>
      </c>
      <c r="AB368" s="1">
        <v>0</v>
      </c>
      <c r="AC368" s="1">
        <v>0</v>
      </c>
      <c r="AD368" s="1">
        <v>0</v>
      </c>
      <c r="AE368" s="1">
        <v>0</v>
      </c>
      <c r="AF368" s="1">
        <v>0</v>
      </c>
      <c r="AG368" s="1">
        <v>0</v>
      </c>
      <c r="AH368" s="1">
        <v>0</v>
      </c>
      <c r="AI368" s="1">
        <v>0</v>
      </c>
      <c r="AJ368" s="1">
        <v>0</v>
      </c>
      <c r="AK368" s="1">
        <v>0</v>
      </c>
      <c r="AL368" s="1">
        <v>0</v>
      </c>
      <c r="AM368" s="1">
        <v>0</v>
      </c>
      <c r="AN368" s="1">
        <v>0</v>
      </c>
      <c r="AO368" s="1">
        <v>0</v>
      </c>
      <c r="AP368" s="1">
        <v>0</v>
      </c>
      <c r="AQ368" s="1">
        <v>0</v>
      </c>
      <c r="AR368" s="1">
        <v>0</v>
      </c>
      <c r="AS368" s="1">
        <v>0</v>
      </c>
    </row>
    <row r="369" spans="1:45">
      <c r="A369" s="1" t="str">
        <f>VLOOKUP(D369,epiunits!A$1:C$4000,2,FALSE)</f>
      </c>
      <c r="B369" s="1" t="str">
        <f>VLOOKUP(D369,epiunits!A$1:C$4000,3,FALSE)</f>
      </c>
      <c r="C369" s="1" t="str">
        <f>VLOOKUP(E369,Inspector!A$1:B$50,2,FALSE)</f>
      </c>
      <c r="I369" s="1" t="str">
        <f>VLOOKUP(D369,epiunits!A$1:J$4000,6,FALSE)</f>
      </c>
      <c r="J369" s="1" t="str">
        <f>VLOOKUP(D369,epiunits!A$1:J$4000,7,FALSE)</f>
      </c>
      <c r="K369" s="1" t="str">
        <f>VLOOKUP(D369,epiunits!A$1:J$4000,8,FALSE)</f>
      </c>
      <c r="L369" s="1" t="str">
        <f>VLOOKUP(D369,epiunits!A$1:J$4000,9,FALSE)</f>
      </c>
      <c r="M369" s="1" t="str">
        <f>VLOOKUP(D369,epiunits!A$1:J$4000,10,FALSE)</f>
      </c>
      <c r="N369" s="1">
        <v>0</v>
      </c>
      <c r="O369" s="1">
        <v>0</v>
      </c>
      <c r="P369" s="1">
        <v>0</v>
      </c>
      <c r="Q369" s="1">
        <v>0</v>
      </c>
      <c r="R369" s="1">
        <v>0</v>
      </c>
      <c r="S369" s="1">
        <v>0</v>
      </c>
      <c r="T369" s="1">
        <v>0</v>
      </c>
      <c r="U369" s="1">
        <v>0</v>
      </c>
      <c r="V369" s="1">
        <v>0</v>
      </c>
      <c r="W369" s="1">
        <v>0</v>
      </c>
      <c r="X369" s="1">
        <v>0</v>
      </c>
      <c r="Y369" s="1">
        <v>0</v>
      </c>
      <c r="Z369" s="1">
        <v>0</v>
      </c>
      <c r="AA369" s="1">
        <v>0</v>
      </c>
      <c r="AB369" s="1">
        <v>0</v>
      </c>
      <c r="AC369" s="1">
        <v>0</v>
      </c>
      <c r="AD369" s="1">
        <v>0</v>
      </c>
      <c r="AE369" s="1">
        <v>0</v>
      </c>
      <c r="AF369" s="1">
        <v>0</v>
      </c>
      <c r="AG369" s="1">
        <v>0</v>
      </c>
      <c r="AH369" s="1">
        <v>0</v>
      </c>
      <c r="AI369" s="1">
        <v>0</v>
      </c>
      <c r="AJ369" s="1">
        <v>0</v>
      </c>
      <c r="AK369" s="1">
        <v>0</v>
      </c>
      <c r="AL369" s="1">
        <v>0</v>
      </c>
      <c r="AM369" s="1">
        <v>0</v>
      </c>
      <c r="AN369" s="1">
        <v>0</v>
      </c>
      <c r="AO369" s="1">
        <v>0</v>
      </c>
      <c r="AP369" s="1">
        <v>0</v>
      </c>
      <c r="AQ369" s="1">
        <v>0</v>
      </c>
      <c r="AR369" s="1">
        <v>0</v>
      </c>
      <c r="AS369" s="1">
        <v>0</v>
      </c>
    </row>
    <row r="370" spans="1:45">
      <c r="A370" s="1" t="str">
        <f>VLOOKUP(D370,epiunits!A$1:C$4000,2,FALSE)</f>
      </c>
      <c r="B370" s="1" t="str">
        <f>VLOOKUP(D370,epiunits!A$1:C$4000,3,FALSE)</f>
      </c>
      <c r="C370" s="1" t="str">
        <f>VLOOKUP(E370,Inspector!A$1:B$50,2,FALSE)</f>
      </c>
      <c r="I370" s="1" t="str">
        <f>VLOOKUP(D370,epiunits!A$1:J$4000,6,FALSE)</f>
      </c>
      <c r="J370" s="1" t="str">
        <f>VLOOKUP(D370,epiunits!A$1:J$4000,7,FALSE)</f>
      </c>
      <c r="K370" s="1" t="str">
        <f>VLOOKUP(D370,epiunits!A$1:J$4000,8,FALSE)</f>
      </c>
      <c r="L370" s="1" t="str">
        <f>VLOOKUP(D370,epiunits!A$1:J$4000,9,FALSE)</f>
      </c>
      <c r="M370" s="1" t="str">
        <f>VLOOKUP(D370,epiunits!A$1:J$4000,10,FALSE)</f>
      </c>
      <c r="N370" s="1">
        <v>0</v>
      </c>
      <c r="O370" s="1">
        <v>0</v>
      </c>
      <c r="P370" s="1">
        <v>0</v>
      </c>
      <c r="Q370" s="1">
        <v>0</v>
      </c>
      <c r="R370" s="1">
        <v>0</v>
      </c>
      <c r="S370" s="1">
        <v>0</v>
      </c>
      <c r="T370" s="1">
        <v>0</v>
      </c>
      <c r="U370" s="1">
        <v>0</v>
      </c>
      <c r="V370" s="1">
        <v>0</v>
      </c>
      <c r="W370" s="1">
        <v>0</v>
      </c>
      <c r="X370" s="1">
        <v>0</v>
      </c>
      <c r="Y370" s="1">
        <v>0</v>
      </c>
      <c r="Z370" s="1">
        <v>0</v>
      </c>
      <c r="AA370" s="1">
        <v>0</v>
      </c>
      <c r="AB370" s="1">
        <v>0</v>
      </c>
      <c r="AC370" s="1">
        <v>0</v>
      </c>
      <c r="AD370" s="1">
        <v>0</v>
      </c>
      <c r="AE370" s="1">
        <v>0</v>
      </c>
      <c r="AF370" s="1">
        <v>0</v>
      </c>
      <c r="AG370" s="1">
        <v>0</v>
      </c>
      <c r="AH370" s="1">
        <v>0</v>
      </c>
      <c r="AI370" s="1">
        <v>0</v>
      </c>
      <c r="AJ370" s="1">
        <v>0</v>
      </c>
      <c r="AK370" s="1">
        <v>0</v>
      </c>
      <c r="AL370" s="1">
        <v>0</v>
      </c>
      <c r="AM370" s="1">
        <v>0</v>
      </c>
      <c r="AN370" s="1">
        <v>0</v>
      </c>
      <c r="AO370" s="1">
        <v>0</v>
      </c>
      <c r="AP370" s="1">
        <v>0</v>
      </c>
      <c r="AQ370" s="1">
        <v>0</v>
      </c>
      <c r="AR370" s="1">
        <v>0</v>
      </c>
      <c r="AS370" s="1">
        <v>0</v>
      </c>
    </row>
    <row r="371" spans="1:45">
      <c r="A371" s="1" t="str">
        <f>VLOOKUP(D371,epiunits!A$1:C$4000,2,FALSE)</f>
      </c>
      <c r="B371" s="1" t="str">
        <f>VLOOKUP(D371,epiunits!A$1:C$4000,3,FALSE)</f>
      </c>
      <c r="C371" s="1" t="str">
        <f>VLOOKUP(E371,Inspector!A$1:B$50,2,FALSE)</f>
      </c>
      <c r="I371" s="1" t="str">
        <f>VLOOKUP(D371,epiunits!A$1:J$4000,6,FALSE)</f>
      </c>
      <c r="J371" s="1" t="str">
        <f>VLOOKUP(D371,epiunits!A$1:J$4000,7,FALSE)</f>
      </c>
      <c r="K371" s="1" t="str">
        <f>VLOOKUP(D371,epiunits!A$1:J$4000,8,FALSE)</f>
      </c>
      <c r="L371" s="1" t="str">
        <f>VLOOKUP(D371,epiunits!A$1:J$4000,9,FALSE)</f>
      </c>
      <c r="M371" s="1" t="str">
        <f>VLOOKUP(D371,epiunits!A$1:J$4000,10,FALSE)</f>
      </c>
      <c r="N371" s="1">
        <v>0</v>
      </c>
      <c r="O371" s="1">
        <v>0</v>
      </c>
      <c r="P371" s="1">
        <v>0</v>
      </c>
      <c r="Q371" s="1">
        <v>0</v>
      </c>
      <c r="R371" s="1">
        <v>0</v>
      </c>
      <c r="S371" s="1">
        <v>0</v>
      </c>
      <c r="T371" s="1">
        <v>0</v>
      </c>
      <c r="U371" s="1">
        <v>0</v>
      </c>
      <c r="V371" s="1">
        <v>0</v>
      </c>
      <c r="W371" s="1">
        <v>0</v>
      </c>
      <c r="X371" s="1">
        <v>0</v>
      </c>
      <c r="Y371" s="1">
        <v>0</v>
      </c>
      <c r="Z371" s="1">
        <v>0</v>
      </c>
      <c r="AA371" s="1">
        <v>0</v>
      </c>
      <c r="AB371" s="1">
        <v>0</v>
      </c>
      <c r="AC371" s="1">
        <v>0</v>
      </c>
      <c r="AD371" s="1">
        <v>0</v>
      </c>
      <c r="AE371" s="1">
        <v>0</v>
      </c>
      <c r="AF371" s="1">
        <v>0</v>
      </c>
      <c r="AG371" s="1">
        <v>0</v>
      </c>
      <c r="AH371" s="1">
        <v>0</v>
      </c>
      <c r="AI371" s="1">
        <v>0</v>
      </c>
      <c r="AJ371" s="1">
        <v>0</v>
      </c>
      <c r="AK371" s="1">
        <v>0</v>
      </c>
      <c r="AL371" s="1">
        <v>0</v>
      </c>
      <c r="AM371" s="1">
        <v>0</v>
      </c>
      <c r="AN371" s="1">
        <v>0</v>
      </c>
      <c r="AO371" s="1">
        <v>0</v>
      </c>
      <c r="AP371" s="1">
        <v>0</v>
      </c>
      <c r="AQ371" s="1">
        <v>0</v>
      </c>
      <c r="AR371" s="1">
        <v>0</v>
      </c>
      <c r="AS371" s="1">
        <v>0</v>
      </c>
    </row>
    <row r="372" spans="1:45">
      <c r="A372" s="1" t="str">
        <f>VLOOKUP(D372,epiunits!A$1:C$4000,2,FALSE)</f>
      </c>
      <c r="B372" s="1" t="str">
        <f>VLOOKUP(D372,epiunits!A$1:C$4000,3,FALSE)</f>
      </c>
      <c r="C372" s="1" t="str">
        <f>VLOOKUP(E372,Inspector!A$1:B$50,2,FALSE)</f>
      </c>
      <c r="I372" s="1" t="str">
        <f>VLOOKUP(D372,epiunits!A$1:J$4000,6,FALSE)</f>
      </c>
      <c r="J372" s="1" t="str">
        <f>VLOOKUP(D372,epiunits!A$1:J$4000,7,FALSE)</f>
      </c>
      <c r="K372" s="1" t="str">
        <f>VLOOKUP(D372,epiunits!A$1:J$4000,8,FALSE)</f>
      </c>
      <c r="L372" s="1" t="str">
        <f>VLOOKUP(D372,epiunits!A$1:J$4000,9,FALSE)</f>
      </c>
      <c r="M372" s="1" t="str">
        <f>VLOOKUP(D372,epiunits!A$1:J$4000,10,FALSE)</f>
      </c>
      <c r="N372" s="1">
        <v>0</v>
      </c>
      <c r="O372" s="1">
        <v>0</v>
      </c>
      <c r="P372" s="1">
        <v>0</v>
      </c>
      <c r="Q372" s="1">
        <v>0</v>
      </c>
      <c r="R372" s="1">
        <v>0</v>
      </c>
      <c r="S372" s="1">
        <v>0</v>
      </c>
      <c r="T372" s="1">
        <v>0</v>
      </c>
      <c r="U372" s="1">
        <v>0</v>
      </c>
      <c r="V372" s="1">
        <v>0</v>
      </c>
      <c r="W372" s="1">
        <v>0</v>
      </c>
      <c r="X372" s="1">
        <v>0</v>
      </c>
      <c r="Y372" s="1">
        <v>0</v>
      </c>
      <c r="Z372" s="1">
        <v>0</v>
      </c>
      <c r="AA372" s="1">
        <v>0</v>
      </c>
      <c r="AB372" s="1">
        <v>0</v>
      </c>
      <c r="AC372" s="1">
        <v>0</v>
      </c>
      <c r="AD372" s="1">
        <v>0</v>
      </c>
      <c r="AE372" s="1">
        <v>0</v>
      </c>
      <c r="AF372" s="1">
        <v>0</v>
      </c>
      <c r="AG372" s="1">
        <v>0</v>
      </c>
      <c r="AH372" s="1">
        <v>0</v>
      </c>
      <c r="AI372" s="1">
        <v>0</v>
      </c>
      <c r="AJ372" s="1">
        <v>0</v>
      </c>
      <c r="AK372" s="1">
        <v>0</v>
      </c>
      <c r="AL372" s="1">
        <v>0</v>
      </c>
      <c r="AM372" s="1">
        <v>0</v>
      </c>
      <c r="AN372" s="1">
        <v>0</v>
      </c>
      <c r="AO372" s="1">
        <v>0</v>
      </c>
      <c r="AP372" s="1">
        <v>0</v>
      </c>
      <c r="AQ372" s="1">
        <v>0</v>
      </c>
      <c r="AR372" s="1">
        <v>0</v>
      </c>
      <c r="AS372" s="1">
        <v>0</v>
      </c>
    </row>
    <row r="373" spans="1:45">
      <c r="A373" s="1" t="str">
        <f>VLOOKUP(D373,epiunits!A$1:C$4000,2,FALSE)</f>
      </c>
      <c r="B373" s="1" t="str">
        <f>VLOOKUP(D373,epiunits!A$1:C$4000,3,FALSE)</f>
      </c>
      <c r="C373" s="1" t="str">
        <f>VLOOKUP(E373,Inspector!A$1:B$50,2,FALSE)</f>
      </c>
      <c r="I373" s="1" t="str">
        <f>VLOOKUP(D373,epiunits!A$1:J$4000,6,FALSE)</f>
      </c>
      <c r="J373" s="1" t="str">
        <f>VLOOKUP(D373,epiunits!A$1:J$4000,7,FALSE)</f>
      </c>
      <c r="K373" s="1" t="str">
        <f>VLOOKUP(D373,epiunits!A$1:J$4000,8,FALSE)</f>
      </c>
      <c r="L373" s="1" t="str">
        <f>VLOOKUP(D373,epiunits!A$1:J$4000,9,FALSE)</f>
      </c>
      <c r="M373" s="1" t="str">
        <f>VLOOKUP(D373,epiunits!A$1:J$4000,10,FALSE)</f>
      </c>
      <c r="N373" s="1">
        <v>0</v>
      </c>
      <c r="O373" s="1">
        <v>0</v>
      </c>
      <c r="P373" s="1">
        <v>0</v>
      </c>
      <c r="Q373" s="1">
        <v>0</v>
      </c>
      <c r="R373" s="1">
        <v>0</v>
      </c>
      <c r="S373" s="1">
        <v>0</v>
      </c>
      <c r="T373" s="1">
        <v>0</v>
      </c>
      <c r="U373" s="1">
        <v>0</v>
      </c>
      <c r="V373" s="1">
        <v>0</v>
      </c>
      <c r="W373" s="1">
        <v>0</v>
      </c>
      <c r="X373" s="1">
        <v>0</v>
      </c>
      <c r="Y373" s="1">
        <v>0</v>
      </c>
      <c r="Z373" s="1">
        <v>0</v>
      </c>
      <c r="AA373" s="1">
        <v>0</v>
      </c>
      <c r="AB373" s="1">
        <v>0</v>
      </c>
      <c r="AC373" s="1">
        <v>0</v>
      </c>
      <c r="AD373" s="1">
        <v>0</v>
      </c>
      <c r="AE373" s="1">
        <v>0</v>
      </c>
      <c r="AF373" s="1">
        <v>0</v>
      </c>
      <c r="AG373" s="1">
        <v>0</v>
      </c>
      <c r="AH373" s="1">
        <v>0</v>
      </c>
      <c r="AI373" s="1">
        <v>0</v>
      </c>
      <c r="AJ373" s="1">
        <v>0</v>
      </c>
      <c r="AK373" s="1">
        <v>0</v>
      </c>
      <c r="AL373" s="1">
        <v>0</v>
      </c>
      <c r="AM373" s="1">
        <v>0</v>
      </c>
      <c r="AN373" s="1">
        <v>0</v>
      </c>
      <c r="AO373" s="1">
        <v>0</v>
      </c>
      <c r="AP373" s="1">
        <v>0</v>
      </c>
      <c r="AQ373" s="1">
        <v>0</v>
      </c>
      <c r="AR373" s="1">
        <v>0</v>
      </c>
      <c r="AS373" s="1">
        <v>0</v>
      </c>
    </row>
    <row r="374" spans="1:45">
      <c r="A374" s="1" t="str">
        <f>VLOOKUP(D374,epiunits!A$1:C$4000,2,FALSE)</f>
      </c>
      <c r="B374" s="1" t="str">
        <f>VLOOKUP(D374,epiunits!A$1:C$4000,3,FALSE)</f>
      </c>
      <c r="C374" s="1" t="str">
        <f>VLOOKUP(E374,Inspector!A$1:B$50,2,FALSE)</f>
      </c>
      <c r="I374" s="1" t="str">
        <f>VLOOKUP(D374,epiunits!A$1:J$4000,6,FALSE)</f>
      </c>
      <c r="J374" s="1" t="str">
        <f>VLOOKUP(D374,epiunits!A$1:J$4000,7,FALSE)</f>
      </c>
      <c r="K374" s="1" t="str">
        <f>VLOOKUP(D374,epiunits!A$1:J$4000,8,FALSE)</f>
      </c>
      <c r="L374" s="1" t="str">
        <f>VLOOKUP(D374,epiunits!A$1:J$4000,9,FALSE)</f>
      </c>
      <c r="M374" s="1" t="str">
        <f>VLOOKUP(D374,epiunits!A$1:J$4000,10,FALSE)</f>
      </c>
      <c r="N374" s="1">
        <v>0</v>
      </c>
      <c r="O374" s="1">
        <v>0</v>
      </c>
      <c r="P374" s="1">
        <v>0</v>
      </c>
      <c r="Q374" s="1">
        <v>0</v>
      </c>
      <c r="R374" s="1">
        <v>0</v>
      </c>
      <c r="S374" s="1">
        <v>0</v>
      </c>
      <c r="T374" s="1">
        <v>0</v>
      </c>
      <c r="U374" s="1">
        <v>0</v>
      </c>
      <c r="V374" s="1">
        <v>0</v>
      </c>
      <c r="W374" s="1">
        <v>0</v>
      </c>
      <c r="X374" s="1">
        <v>0</v>
      </c>
      <c r="Y374" s="1">
        <v>0</v>
      </c>
      <c r="Z374" s="1">
        <v>0</v>
      </c>
      <c r="AA374" s="1">
        <v>0</v>
      </c>
      <c r="AB374" s="1">
        <v>0</v>
      </c>
      <c r="AC374" s="1">
        <v>0</v>
      </c>
      <c r="AD374" s="1">
        <v>0</v>
      </c>
      <c r="AE374" s="1">
        <v>0</v>
      </c>
      <c r="AF374" s="1">
        <v>0</v>
      </c>
      <c r="AG374" s="1">
        <v>0</v>
      </c>
      <c r="AH374" s="1">
        <v>0</v>
      </c>
      <c r="AI374" s="1">
        <v>0</v>
      </c>
      <c r="AJ374" s="1">
        <v>0</v>
      </c>
      <c r="AK374" s="1">
        <v>0</v>
      </c>
      <c r="AL374" s="1">
        <v>0</v>
      </c>
      <c r="AM374" s="1">
        <v>0</v>
      </c>
      <c r="AN374" s="1">
        <v>0</v>
      </c>
      <c r="AO374" s="1">
        <v>0</v>
      </c>
      <c r="AP374" s="1">
        <v>0</v>
      </c>
      <c r="AQ374" s="1">
        <v>0</v>
      </c>
      <c r="AR374" s="1">
        <v>0</v>
      </c>
      <c r="AS374" s="1">
        <v>0</v>
      </c>
    </row>
    <row r="375" spans="1:45">
      <c r="A375" s="1" t="str">
        <f>VLOOKUP(D375,epiunits!A$1:C$4000,2,FALSE)</f>
      </c>
      <c r="B375" s="1" t="str">
        <f>VLOOKUP(D375,epiunits!A$1:C$4000,3,FALSE)</f>
      </c>
      <c r="C375" s="1" t="str">
        <f>VLOOKUP(E375,Inspector!A$1:B$50,2,FALSE)</f>
      </c>
      <c r="I375" s="1" t="str">
        <f>VLOOKUP(D375,epiunits!A$1:J$4000,6,FALSE)</f>
      </c>
      <c r="J375" s="1" t="str">
        <f>VLOOKUP(D375,epiunits!A$1:J$4000,7,FALSE)</f>
      </c>
      <c r="K375" s="1" t="str">
        <f>VLOOKUP(D375,epiunits!A$1:J$4000,8,FALSE)</f>
      </c>
      <c r="L375" s="1" t="str">
        <f>VLOOKUP(D375,epiunits!A$1:J$4000,9,FALSE)</f>
      </c>
      <c r="M375" s="1" t="str">
        <f>VLOOKUP(D375,epiunits!A$1:J$4000,10,FALSE)</f>
      </c>
      <c r="N375" s="1">
        <v>0</v>
      </c>
      <c r="O375" s="1">
        <v>0</v>
      </c>
      <c r="P375" s="1">
        <v>0</v>
      </c>
      <c r="Q375" s="1">
        <v>0</v>
      </c>
      <c r="R375" s="1">
        <v>0</v>
      </c>
      <c r="S375" s="1">
        <v>0</v>
      </c>
      <c r="T375" s="1">
        <v>0</v>
      </c>
      <c r="U375" s="1">
        <v>0</v>
      </c>
      <c r="V375" s="1">
        <v>0</v>
      </c>
      <c r="W375" s="1">
        <v>0</v>
      </c>
      <c r="X375" s="1">
        <v>0</v>
      </c>
      <c r="Y375" s="1">
        <v>0</v>
      </c>
      <c r="Z375" s="1">
        <v>0</v>
      </c>
      <c r="AA375" s="1">
        <v>0</v>
      </c>
      <c r="AB375" s="1">
        <v>0</v>
      </c>
      <c r="AC375" s="1">
        <v>0</v>
      </c>
      <c r="AD375" s="1">
        <v>0</v>
      </c>
      <c r="AE375" s="1">
        <v>0</v>
      </c>
      <c r="AF375" s="1">
        <v>0</v>
      </c>
      <c r="AG375" s="1">
        <v>0</v>
      </c>
      <c r="AH375" s="1">
        <v>0</v>
      </c>
      <c r="AI375" s="1">
        <v>0</v>
      </c>
      <c r="AJ375" s="1">
        <v>0</v>
      </c>
      <c r="AK375" s="1">
        <v>0</v>
      </c>
      <c r="AL375" s="1">
        <v>0</v>
      </c>
      <c r="AM375" s="1">
        <v>0</v>
      </c>
      <c r="AN375" s="1">
        <v>0</v>
      </c>
      <c r="AO375" s="1">
        <v>0</v>
      </c>
      <c r="AP375" s="1">
        <v>0</v>
      </c>
      <c r="AQ375" s="1">
        <v>0</v>
      </c>
      <c r="AR375" s="1">
        <v>0</v>
      </c>
      <c r="AS375" s="1">
        <v>0</v>
      </c>
    </row>
    <row r="376" spans="1:45">
      <c r="A376" s="1" t="str">
        <f>VLOOKUP(D376,epiunits!A$1:C$4000,2,FALSE)</f>
      </c>
      <c r="B376" s="1" t="str">
        <f>VLOOKUP(D376,epiunits!A$1:C$4000,3,FALSE)</f>
      </c>
      <c r="C376" s="1" t="str">
        <f>VLOOKUP(E376,Inspector!A$1:B$50,2,FALSE)</f>
      </c>
      <c r="I376" s="1" t="str">
        <f>VLOOKUP(D376,epiunits!A$1:J$4000,6,FALSE)</f>
      </c>
      <c r="J376" s="1" t="str">
        <f>VLOOKUP(D376,epiunits!A$1:J$4000,7,FALSE)</f>
      </c>
      <c r="K376" s="1" t="str">
        <f>VLOOKUP(D376,epiunits!A$1:J$4000,8,FALSE)</f>
      </c>
      <c r="L376" s="1" t="str">
        <f>VLOOKUP(D376,epiunits!A$1:J$4000,9,FALSE)</f>
      </c>
      <c r="M376" s="1" t="str">
        <f>VLOOKUP(D376,epiunits!A$1:J$4000,10,FALSE)</f>
      </c>
      <c r="N376" s="1">
        <v>0</v>
      </c>
      <c r="O376" s="1">
        <v>0</v>
      </c>
      <c r="P376" s="1">
        <v>0</v>
      </c>
      <c r="Q376" s="1">
        <v>0</v>
      </c>
      <c r="R376" s="1">
        <v>0</v>
      </c>
      <c r="S376" s="1">
        <v>0</v>
      </c>
      <c r="T376" s="1">
        <v>0</v>
      </c>
      <c r="U376" s="1">
        <v>0</v>
      </c>
      <c r="V376" s="1">
        <v>0</v>
      </c>
      <c r="W376" s="1">
        <v>0</v>
      </c>
      <c r="X376" s="1">
        <v>0</v>
      </c>
      <c r="Y376" s="1">
        <v>0</v>
      </c>
      <c r="Z376" s="1">
        <v>0</v>
      </c>
      <c r="AA376" s="1">
        <v>0</v>
      </c>
      <c r="AB376" s="1">
        <v>0</v>
      </c>
      <c r="AC376" s="1">
        <v>0</v>
      </c>
      <c r="AD376" s="1">
        <v>0</v>
      </c>
      <c r="AE376" s="1">
        <v>0</v>
      </c>
      <c r="AF376" s="1">
        <v>0</v>
      </c>
      <c r="AG376" s="1">
        <v>0</v>
      </c>
      <c r="AH376" s="1">
        <v>0</v>
      </c>
      <c r="AI376" s="1">
        <v>0</v>
      </c>
      <c r="AJ376" s="1">
        <v>0</v>
      </c>
      <c r="AK376" s="1">
        <v>0</v>
      </c>
      <c r="AL376" s="1">
        <v>0</v>
      </c>
      <c r="AM376" s="1">
        <v>0</v>
      </c>
      <c r="AN376" s="1">
        <v>0</v>
      </c>
      <c r="AO376" s="1">
        <v>0</v>
      </c>
      <c r="AP376" s="1">
        <v>0</v>
      </c>
      <c r="AQ376" s="1">
        <v>0</v>
      </c>
      <c r="AR376" s="1">
        <v>0</v>
      </c>
      <c r="AS376" s="1">
        <v>0</v>
      </c>
    </row>
    <row r="377" spans="1:45">
      <c r="A377" s="1" t="str">
        <f>VLOOKUP(D377,epiunits!A$1:C$4000,2,FALSE)</f>
      </c>
      <c r="B377" s="1" t="str">
        <f>VLOOKUP(D377,epiunits!A$1:C$4000,3,FALSE)</f>
      </c>
      <c r="C377" s="1" t="str">
        <f>VLOOKUP(E377,Inspector!A$1:B$50,2,FALSE)</f>
      </c>
      <c r="I377" s="1" t="str">
        <f>VLOOKUP(D377,epiunits!A$1:J$4000,6,FALSE)</f>
      </c>
      <c r="J377" s="1" t="str">
        <f>VLOOKUP(D377,epiunits!A$1:J$4000,7,FALSE)</f>
      </c>
      <c r="K377" s="1" t="str">
        <f>VLOOKUP(D377,epiunits!A$1:J$4000,8,FALSE)</f>
      </c>
      <c r="L377" s="1" t="str">
        <f>VLOOKUP(D377,epiunits!A$1:J$4000,9,FALSE)</f>
      </c>
      <c r="M377" s="1" t="str">
        <f>VLOOKUP(D377,epiunits!A$1:J$4000,10,FALSE)</f>
      </c>
      <c r="N377" s="1">
        <v>0</v>
      </c>
      <c r="O377" s="1">
        <v>0</v>
      </c>
      <c r="P377" s="1">
        <v>0</v>
      </c>
      <c r="Q377" s="1">
        <v>0</v>
      </c>
      <c r="R377" s="1">
        <v>0</v>
      </c>
      <c r="S377" s="1">
        <v>0</v>
      </c>
      <c r="T377" s="1">
        <v>0</v>
      </c>
      <c r="U377" s="1">
        <v>0</v>
      </c>
      <c r="V377" s="1">
        <v>0</v>
      </c>
      <c r="W377" s="1">
        <v>0</v>
      </c>
      <c r="X377" s="1">
        <v>0</v>
      </c>
      <c r="Y377" s="1">
        <v>0</v>
      </c>
      <c r="Z377" s="1">
        <v>0</v>
      </c>
      <c r="AA377" s="1">
        <v>0</v>
      </c>
      <c r="AB377" s="1">
        <v>0</v>
      </c>
      <c r="AC377" s="1">
        <v>0</v>
      </c>
      <c r="AD377" s="1">
        <v>0</v>
      </c>
      <c r="AE377" s="1">
        <v>0</v>
      </c>
      <c r="AF377" s="1">
        <v>0</v>
      </c>
      <c r="AG377" s="1">
        <v>0</v>
      </c>
      <c r="AH377" s="1">
        <v>0</v>
      </c>
      <c r="AI377" s="1">
        <v>0</v>
      </c>
      <c r="AJ377" s="1">
        <v>0</v>
      </c>
      <c r="AK377" s="1">
        <v>0</v>
      </c>
      <c r="AL377" s="1">
        <v>0</v>
      </c>
      <c r="AM377" s="1">
        <v>0</v>
      </c>
      <c r="AN377" s="1">
        <v>0</v>
      </c>
      <c r="AO377" s="1">
        <v>0</v>
      </c>
      <c r="AP377" s="1">
        <v>0</v>
      </c>
      <c r="AQ377" s="1">
        <v>0</v>
      </c>
      <c r="AR377" s="1">
        <v>0</v>
      </c>
      <c r="AS377" s="1">
        <v>0</v>
      </c>
    </row>
    <row r="378" spans="1:45">
      <c r="A378" s="1" t="str">
        <f>VLOOKUP(D378,epiunits!A$1:C$4000,2,FALSE)</f>
      </c>
      <c r="B378" s="1" t="str">
        <f>VLOOKUP(D378,epiunits!A$1:C$4000,3,FALSE)</f>
      </c>
      <c r="C378" s="1" t="str">
        <f>VLOOKUP(E378,Inspector!A$1:B$50,2,FALSE)</f>
      </c>
      <c r="I378" s="1" t="str">
        <f>VLOOKUP(D378,epiunits!A$1:J$4000,6,FALSE)</f>
      </c>
      <c r="J378" s="1" t="str">
        <f>VLOOKUP(D378,epiunits!A$1:J$4000,7,FALSE)</f>
      </c>
      <c r="K378" s="1" t="str">
        <f>VLOOKUP(D378,epiunits!A$1:J$4000,8,FALSE)</f>
      </c>
      <c r="L378" s="1" t="str">
        <f>VLOOKUP(D378,epiunits!A$1:J$4000,9,FALSE)</f>
      </c>
      <c r="M378" s="1" t="str">
        <f>VLOOKUP(D378,epiunits!A$1:J$4000,10,FALSE)</f>
      </c>
      <c r="N378" s="1">
        <v>0</v>
      </c>
      <c r="O378" s="1">
        <v>0</v>
      </c>
      <c r="P378" s="1">
        <v>0</v>
      </c>
      <c r="Q378" s="1">
        <v>0</v>
      </c>
      <c r="R378" s="1">
        <v>0</v>
      </c>
      <c r="S378" s="1">
        <v>0</v>
      </c>
      <c r="T378" s="1">
        <v>0</v>
      </c>
      <c r="U378" s="1">
        <v>0</v>
      </c>
      <c r="V378" s="1">
        <v>0</v>
      </c>
      <c r="W378" s="1">
        <v>0</v>
      </c>
      <c r="X378" s="1">
        <v>0</v>
      </c>
      <c r="Y378" s="1">
        <v>0</v>
      </c>
      <c r="Z378" s="1">
        <v>0</v>
      </c>
      <c r="AA378" s="1">
        <v>0</v>
      </c>
      <c r="AB378" s="1">
        <v>0</v>
      </c>
      <c r="AC378" s="1">
        <v>0</v>
      </c>
      <c r="AD378" s="1">
        <v>0</v>
      </c>
      <c r="AE378" s="1">
        <v>0</v>
      </c>
      <c r="AF378" s="1">
        <v>0</v>
      </c>
      <c r="AG378" s="1">
        <v>0</v>
      </c>
      <c r="AH378" s="1">
        <v>0</v>
      </c>
      <c r="AI378" s="1">
        <v>0</v>
      </c>
      <c r="AJ378" s="1">
        <v>0</v>
      </c>
      <c r="AK378" s="1">
        <v>0</v>
      </c>
      <c r="AL378" s="1">
        <v>0</v>
      </c>
      <c r="AM378" s="1">
        <v>0</v>
      </c>
      <c r="AN378" s="1">
        <v>0</v>
      </c>
      <c r="AO378" s="1">
        <v>0</v>
      </c>
      <c r="AP378" s="1">
        <v>0</v>
      </c>
      <c r="AQ378" s="1">
        <v>0</v>
      </c>
      <c r="AR378" s="1">
        <v>0</v>
      </c>
      <c r="AS378" s="1">
        <v>0</v>
      </c>
    </row>
    <row r="379" spans="1:45">
      <c r="A379" s="1" t="str">
        <f>VLOOKUP(D379,epiunits!A$1:C$4000,2,FALSE)</f>
      </c>
      <c r="B379" s="1" t="str">
        <f>VLOOKUP(D379,epiunits!A$1:C$4000,3,FALSE)</f>
      </c>
      <c r="C379" s="1" t="str">
        <f>VLOOKUP(E379,Inspector!A$1:B$50,2,FALSE)</f>
      </c>
      <c r="I379" s="1" t="str">
        <f>VLOOKUP(D379,epiunits!A$1:J$4000,6,FALSE)</f>
      </c>
      <c r="J379" s="1" t="str">
        <f>VLOOKUP(D379,epiunits!A$1:J$4000,7,FALSE)</f>
      </c>
      <c r="K379" s="1" t="str">
        <f>VLOOKUP(D379,epiunits!A$1:J$4000,8,FALSE)</f>
      </c>
      <c r="L379" s="1" t="str">
        <f>VLOOKUP(D379,epiunits!A$1:J$4000,9,FALSE)</f>
      </c>
      <c r="M379" s="1" t="str">
        <f>VLOOKUP(D379,epiunits!A$1:J$4000,10,FALSE)</f>
      </c>
      <c r="N379" s="1">
        <v>0</v>
      </c>
      <c r="O379" s="1">
        <v>0</v>
      </c>
      <c r="P379" s="1">
        <v>0</v>
      </c>
      <c r="Q379" s="1">
        <v>0</v>
      </c>
      <c r="R379" s="1">
        <v>0</v>
      </c>
      <c r="S379" s="1">
        <v>0</v>
      </c>
      <c r="T379" s="1">
        <v>0</v>
      </c>
      <c r="U379" s="1">
        <v>0</v>
      </c>
      <c r="V379" s="1">
        <v>0</v>
      </c>
      <c r="W379" s="1">
        <v>0</v>
      </c>
      <c r="X379" s="1">
        <v>0</v>
      </c>
      <c r="Y379" s="1">
        <v>0</v>
      </c>
      <c r="Z379" s="1">
        <v>0</v>
      </c>
      <c r="AA379" s="1">
        <v>0</v>
      </c>
      <c r="AB379" s="1">
        <v>0</v>
      </c>
      <c r="AC379" s="1">
        <v>0</v>
      </c>
      <c r="AD379" s="1">
        <v>0</v>
      </c>
      <c r="AE379" s="1">
        <v>0</v>
      </c>
      <c r="AF379" s="1">
        <v>0</v>
      </c>
      <c r="AG379" s="1">
        <v>0</v>
      </c>
      <c r="AH379" s="1">
        <v>0</v>
      </c>
      <c r="AI379" s="1">
        <v>0</v>
      </c>
      <c r="AJ379" s="1">
        <v>0</v>
      </c>
      <c r="AK379" s="1">
        <v>0</v>
      </c>
      <c r="AL379" s="1">
        <v>0</v>
      </c>
      <c r="AM379" s="1">
        <v>0</v>
      </c>
      <c r="AN379" s="1">
        <v>0</v>
      </c>
      <c r="AO379" s="1">
        <v>0</v>
      </c>
      <c r="AP379" s="1">
        <v>0</v>
      </c>
      <c r="AQ379" s="1">
        <v>0</v>
      </c>
      <c r="AR379" s="1">
        <v>0</v>
      </c>
      <c r="AS379" s="1">
        <v>0</v>
      </c>
    </row>
    <row r="380" spans="1:45">
      <c r="A380" s="1" t="str">
        <f>VLOOKUP(D380,epiunits!A$1:C$4000,2,FALSE)</f>
      </c>
      <c r="B380" s="1" t="str">
        <f>VLOOKUP(D380,epiunits!A$1:C$4000,3,FALSE)</f>
      </c>
      <c r="C380" s="1" t="str">
        <f>VLOOKUP(E380,Inspector!A$1:B$50,2,FALSE)</f>
      </c>
      <c r="I380" s="1" t="str">
        <f>VLOOKUP(D380,epiunits!A$1:J$4000,6,FALSE)</f>
      </c>
      <c r="J380" s="1" t="str">
        <f>VLOOKUP(D380,epiunits!A$1:J$4000,7,FALSE)</f>
      </c>
      <c r="K380" s="1" t="str">
        <f>VLOOKUP(D380,epiunits!A$1:J$4000,8,FALSE)</f>
      </c>
      <c r="L380" s="1" t="str">
        <f>VLOOKUP(D380,epiunits!A$1:J$4000,9,FALSE)</f>
      </c>
      <c r="M380" s="1" t="str">
        <f>VLOOKUP(D380,epiunits!A$1:J$4000,10,FALSE)</f>
      </c>
      <c r="N380" s="1">
        <v>0</v>
      </c>
      <c r="O380" s="1">
        <v>0</v>
      </c>
      <c r="P380" s="1">
        <v>0</v>
      </c>
      <c r="Q380" s="1">
        <v>0</v>
      </c>
      <c r="R380" s="1">
        <v>0</v>
      </c>
      <c r="S380" s="1">
        <v>0</v>
      </c>
      <c r="T380" s="1">
        <v>0</v>
      </c>
      <c r="U380" s="1">
        <v>0</v>
      </c>
      <c r="V380" s="1">
        <v>0</v>
      </c>
      <c r="W380" s="1">
        <v>0</v>
      </c>
      <c r="X380" s="1">
        <v>0</v>
      </c>
      <c r="Y380" s="1">
        <v>0</v>
      </c>
      <c r="Z380" s="1">
        <v>0</v>
      </c>
      <c r="AA380" s="1">
        <v>0</v>
      </c>
      <c r="AB380" s="1">
        <v>0</v>
      </c>
      <c r="AC380" s="1">
        <v>0</v>
      </c>
      <c r="AD380" s="1">
        <v>0</v>
      </c>
      <c r="AE380" s="1">
        <v>0</v>
      </c>
      <c r="AF380" s="1">
        <v>0</v>
      </c>
      <c r="AG380" s="1">
        <v>0</v>
      </c>
      <c r="AH380" s="1">
        <v>0</v>
      </c>
      <c r="AI380" s="1">
        <v>0</v>
      </c>
      <c r="AJ380" s="1">
        <v>0</v>
      </c>
      <c r="AK380" s="1">
        <v>0</v>
      </c>
      <c r="AL380" s="1">
        <v>0</v>
      </c>
      <c r="AM380" s="1">
        <v>0</v>
      </c>
      <c r="AN380" s="1">
        <v>0</v>
      </c>
      <c r="AO380" s="1">
        <v>0</v>
      </c>
      <c r="AP380" s="1">
        <v>0</v>
      </c>
      <c r="AQ380" s="1">
        <v>0</v>
      </c>
      <c r="AR380" s="1">
        <v>0</v>
      </c>
      <c r="AS380" s="1">
        <v>0</v>
      </c>
    </row>
    <row r="381" spans="1:45">
      <c r="A381" s="1" t="str">
        <f>VLOOKUP(D381,epiunits!A$1:C$4000,2,FALSE)</f>
      </c>
      <c r="B381" s="1" t="str">
        <f>VLOOKUP(D381,epiunits!A$1:C$4000,3,FALSE)</f>
      </c>
      <c r="C381" s="1" t="str">
        <f>VLOOKUP(E381,Inspector!A$1:B$50,2,FALSE)</f>
      </c>
      <c r="I381" s="1" t="str">
        <f>VLOOKUP(D381,epiunits!A$1:J$4000,6,FALSE)</f>
      </c>
      <c r="J381" s="1" t="str">
        <f>VLOOKUP(D381,epiunits!A$1:J$4000,7,FALSE)</f>
      </c>
      <c r="K381" s="1" t="str">
        <f>VLOOKUP(D381,epiunits!A$1:J$4000,8,FALSE)</f>
      </c>
      <c r="L381" s="1" t="str">
        <f>VLOOKUP(D381,epiunits!A$1:J$4000,9,FALSE)</f>
      </c>
      <c r="M381" s="1" t="str">
        <f>VLOOKUP(D381,epiunits!A$1:J$4000,10,FALSE)</f>
      </c>
      <c r="N381" s="1">
        <v>0</v>
      </c>
      <c r="O381" s="1">
        <v>0</v>
      </c>
      <c r="P381" s="1">
        <v>0</v>
      </c>
      <c r="Q381" s="1">
        <v>0</v>
      </c>
      <c r="R381" s="1">
        <v>0</v>
      </c>
      <c r="S381" s="1">
        <v>0</v>
      </c>
      <c r="T381" s="1">
        <v>0</v>
      </c>
      <c r="U381" s="1">
        <v>0</v>
      </c>
      <c r="V381" s="1">
        <v>0</v>
      </c>
      <c r="W381" s="1">
        <v>0</v>
      </c>
      <c r="X381" s="1">
        <v>0</v>
      </c>
      <c r="Y381" s="1">
        <v>0</v>
      </c>
      <c r="Z381" s="1">
        <v>0</v>
      </c>
      <c r="AA381" s="1">
        <v>0</v>
      </c>
      <c r="AB381" s="1">
        <v>0</v>
      </c>
      <c r="AC381" s="1">
        <v>0</v>
      </c>
      <c r="AD381" s="1">
        <v>0</v>
      </c>
      <c r="AE381" s="1">
        <v>0</v>
      </c>
      <c r="AF381" s="1">
        <v>0</v>
      </c>
      <c r="AG381" s="1">
        <v>0</v>
      </c>
      <c r="AH381" s="1">
        <v>0</v>
      </c>
      <c r="AI381" s="1">
        <v>0</v>
      </c>
      <c r="AJ381" s="1">
        <v>0</v>
      </c>
      <c r="AK381" s="1">
        <v>0</v>
      </c>
      <c r="AL381" s="1">
        <v>0</v>
      </c>
      <c r="AM381" s="1">
        <v>0</v>
      </c>
      <c r="AN381" s="1">
        <v>0</v>
      </c>
      <c r="AO381" s="1">
        <v>0</v>
      </c>
      <c r="AP381" s="1">
        <v>0</v>
      </c>
      <c r="AQ381" s="1">
        <v>0</v>
      </c>
      <c r="AR381" s="1">
        <v>0</v>
      </c>
      <c r="AS381" s="1">
        <v>0</v>
      </c>
    </row>
    <row r="382" spans="1:45">
      <c r="A382" s="1" t="str">
        <f>VLOOKUP(D382,epiunits!A$1:C$4000,2,FALSE)</f>
      </c>
      <c r="B382" s="1" t="str">
        <f>VLOOKUP(D382,epiunits!A$1:C$4000,3,FALSE)</f>
      </c>
      <c r="C382" s="1" t="str">
        <f>VLOOKUP(E382,Inspector!A$1:B$50,2,FALSE)</f>
      </c>
      <c r="I382" s="1" t="str">
        <f>VLOOKUP(D382,epiunits!A$1:J$4000,6,FALSE)</f>
      </c>
      <c r="J382" s="1" t="str">
        <f>VLOOKUP(D382,epiunits!A$1:J$4000,7,FALSE)</f>
      </c>
      <c r="K382" s="1" t="str">
        <f>VLOOKUP(D382,epiunits!A$1:J$4000,8,FALSE)</f>
      </c>
      <c r="L382" s="1" t="str">
        <f>VLOOKUP(D382,epiunits!A$1:J$4000,9,FALSE)</f>
      </c>
      <c r="M382" s="1" t="str">
        <f>VLOOKUP(D382,epiunits!A$1:J$4000,10,FALSE)</f>
      </c>
      <c r="N382" s="1">
        <v>0</v>
      </c>
      <c r="O382" s="1">
        <v>0</v>
      </c>
      <c r="P382" s="1">
        <v>0</v>
      </c>
      <c r="Q382" s="1">
        <v>0</v>
      </c>
      <c r="R382" s="1">
        <v>0</v>
      </c>
      <c r="S382" s="1">
        <v>0</v>
      </c>
      <c r="T382" s="1">
        <v>0</v>
      </c>
      <c r="U382" s="1">
        <v>0</v>
      </c>
      <c r="V382" s="1">
        <v>0</v>
      </c>
      <c r="W382" s="1">
        <v>0</v>
      </c>
      <c r="X382" s="1">
        <v>0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  <c r="AD382" s="1">
        <v>0</v>
      </c>
      <c r="AE382" s="1">
        <v>0</v>
      </c>
      <c r="AF382" s="1">
        <v>0</v>
      </c>
      <c r="AG382" s="1">
        <v>0</v>
      </c>
      <c r="AH382" s="1">
        <v>0</v>
      </c>
      <c r="AI382" s="1">
        <v>0</v>
      </c>
      <c r="AJ382" s="1">
        <v>0</v>
      </c>
      <c r="AK382" s="1">
        <v>0</v>
      </c>
      <c r="AL382" s="1">
        <v>0</v>
      </c>
      <c r="AM382" s="1">
        <v>0</v>
      </c>
      <c r="AN382" s="1">
        <v>0</v>
      </c>
      <c r="AO382" s="1">
        <v>0</v>
      </c>
      <c r="AP382" s="1">
        <v>0</v>
      </c>
      <c r="AQ382" s="1">
        <v>0</v>
      </c>
      <c r="AR382" s="1">
        <v>0</v>
      </c>
      <c r="AS382" s="1">
        <v>0</v>
      </c>
    </row>
    <row r="383" spans="1:45">
      <c r="A383" s="1" t="str">
        <f>VLOOKUP(D383,epiunits!A$1:C$4000,2,FALSE)</f>
      </c>
      <c r="B383" s="1" t="str">
        <f>VLOOKUP(D383,epiunits!A$1:C$4000,3,FALSE)</f>
      </c>
      <c r="C383" s="1" t="str">
        <f>VLOOKUP(E383,Inspector!A$1:B$50,2,FALSE)</f>
      </c>
      <c r="I383" s="1" t="str">
        <f>VLOOKUP(D383,epiunits!A$1:J$4000,6,FALSE)</f>
      </c>
      <c r="J383" s="1" t="str">
        <f>VLOOKUP(D383,epiunits!A$1:J$4000,7,FALSE)</f>
      </c>
      <c r="K383" s="1" t="str">
        <f>VLOOKUP(D383,epiunits!A$1:J$4000,8,FALSE)</f>
      </c>
      <c r="L383" s="1" t="str">
        <f>VLOOKUP(D383,epiunits!A$1:J$4000,9,FALSE)</f>
      </c>
      <c r="M383" s="1" t="str">
        <f>VLOOKUP(D383,epiunits!A$1:J$4000,10,FALSE)</f>
      </c>
      <c r="N383" s="1">
        <v>0</v>
      </c>
      <c r="O383" s="1">
        <v>0</v>
      </c>
      <c r="P383" s="1">
        <v>0</v>
      </c>
      <c r="Q383" s="1">
        <v>0</v>
      </c>
      <c r="R383" s="1">
        <v>0</v>
      </c>
      <c r="S383" s="1">
        <v>0</v>
      </c>
      <c r="T383" s="1">
        <v>0</v>
      </c>
      <c r="U383" s="1">
        <v>0</v>
      </c>
      <c r="V383" s="1">
        <v>0</v>
      </c>
      <c r="W383" s="1">
        <v>0</v>
      </c>
      <c r="X383" s="1">
        <v>0</v>
      </c>
      <c r="Y383" s="1">
        <v>0</v>
      </c>
      <c r="Z383" s="1">
        <v>0</v>
      </c>
      <c r="AA383" s="1">
        <v>0</v>
      </c>
      <c r="AB383" s="1">
        <v>0</v>
      </c>
      <c r="AC383" s="1">
        <v>0</v>
      </c>
      <c r="AD383" s="1">
        <v>0</v>
      </c>
      <c r="AE383" s="1">
        <v>0</v>
      </c>
      <c r="AF383" s="1">
        <v>0</v>
      </c>
      <c r="AG383" s="1">
        <v>0</v>
      </c>
      <c r="AH383" s="1">
        <v>0</v>
      </c>
      <c r="AI383" s="1">
        <v>0</v>
      </c>
      <c r="AJ383" s="1">
        <v>0</v>
      </c>
      <c r="AK383" s="1">
        <v>0</v>
      </c>
      <c r="AL383" s="1">
        <v>0</v>
      </c>
      <c r="AM383" s="1">
        <v>0</v>
      </c>
      <c r="AN383" s="1">
        <v>0</v>
      </c>
      <c r="AO383" s="1">
        <v>0</v>
      </c>
      <c r="AP383" s="1">
        <v>0</v>
      </c>
      <c r="AQ383" s="1">
        <v>0</v>
      </c>
      <c r="AR383" s="1">
        <v>0</v>
      </c>
      <c r="AS383" s="1">
        <v>0</v>
      </c>
    </row>
    <row r="384" spans="1:45">
      <c r="A384" s="1" t="str">
        <f>VLOOKUP(D384,epiunits!A$1:C$4000,2,FALSE)</f>
      </c>
      <c r="B384" s="1" t="str">
        <f>VLOOKUP(D384,epiunits!A$1:C$4000,3,FALSE)</f>
      </c>
      <c r="C384" s="1" t="str">
        <f>VLOOKUP(E384,Inspector!A$1:B$50,2,FALSE)</f>
      </c>
      <c r="I384" s="1" t="str">
        <f>VLOOKUP(D384,epiunits!A$1:J$4000,6,FALSE)</f>
      </c>
      <c r="J384" s="1" t="str">
        <f>VLOOKUP(D384,epiunits!A$1:J$4000,7,FALSE)</f>
      </c>
      <c r="K384" s="1" t="str">
        <f>VLOOKUP(D384,epiunits!A$1:J$4000,8,FALSE)</f>
      </c>
      <c r="L384" s="1" t="str">
        <f>VLOOKUP(D384,epiunits!A$1:J$4000,9,FALSE)</f>
      </c>
      <c r="M384" s="1" t="str">
        <f>VLOOKUP(D384,epiunits!A$1:J$4000,10,FALSE)</f>
      </c>
      <c r="N384" s="1">
        <v>0</v>
      </c>
      <c r="O384" s="1">
        <v>0</v>
      </c>
      <c r="P384" s="1">
        <v>0</v>
      </c>
      <c r="Q384" s="1">
        <v>0</v>
      </c>
      <c r="R384" s="1">
        <v>0</v>
      </c>
      <c r="S384" s="1">
        <v>0</v>
      </c>
      <c r="T384" s="1">
        <v>0</v>
      </c>
      <c r="U384" s="1">
        <v>0</v>
      </c>
      <c r="V384" s="1">
        <v>0</v>
      </c>
      <c r="W384" s="1">
        <v>0</v>
      </c>
      <c r="X384" s="1">
        <v>0</v>
      </c>
      <c r="Y384" s="1">
        <v>0</v>
      </c>
      <c r="Z384" s="1">
        <v>0</v>
      </c>
      <c r="AA384" s="1">
        <v>0</v>
      </c>
      <c r="AB384" s="1">
        <v>0</v>
      </c>
      <c r="AC384" s="1">
        <v>0</v>
      </c>
      <c r="AD384" s="1">
        <v>0</v>
      </c>
      <c r="AE384" s="1">
        <v>0</v>
      </c>
      <c r="AF384" s="1">
        <v>0</v>
      </c>
      <c r="AG384" s="1">
        <v>0</v>
      </c>
      <c r="AH384" s="1">
        <v>0</v>
      </c>
      <c r="AI384" s="1">
        <v>0</v>
      </c>
      <c r="AJ384" s="1">
        <v>0</v>
      </c>
      <c r="AK384" s="1">
        <v>0</v>
      </c>
      <c r="AL384" s="1">
        <v>0</v>
      </c>
      <c r="AM384" s="1">
        <v>0</v>
      </c>
      <c r="AN384" s="1">
        <v>0</v>
      </c>
      <c r="AO384" s="1">
        <v>0</v>
      </c>
      <c r="AP384" s="1">
        <v>0</v>
      </c>
      <c r="AQ384" s="1">
        <v>0</v>
      </c>
      <c r="AR384" s="1">
        <v>0</v>
      </c>
      <c r="AS384" s="1">
        <v>0</v>
      </c>
    </row>
    <row r="385" spans="1:45">
      <c r="A385" s="1" t="str">
        <f>VLOOKUP(D385,epiunits!A$1:C$4000,2,FALSE)</f>
      </c>
      <c r="B385" s="1" t="str">
        <f>VLOOKUP(D385,epiunits!A$1:C$4000,3,FALSE)</f>
      </c>
      <c r="C385" s="1" t="str">
        <f>VLOOKUP(E385,Inspector!A$1:B$50,2,FALSE)</f>
      </c>
      <c r="I385" s="1" t="str">
        <f>VLOOKUP(D385,epiunits!A$1:J$4000,6,FALSE)</f>
      </c>
      <c r="J385" s="1" t="str">
        <f>VLOOKUP(D385,epiunits!A$1:J$4000,7,FALSE)</f>
      </c>
      <c r="K385" s="1" t="str">
        <f>VLOOKUP(D385,epiunits!A$1:J$4000,8,FALSE)</f>
      </c>
      <c r="L385" s="1" t="str">
        <f>VLOOKUP(D385,epiunits!A$1:J$4000,9,FALSE)</f>
      </c>
      <c r="M385" s="1" t="str">
        <f>VLOOKUP(D385,epiunits!A$1:J$4000,10,FALSE)</f>
      </c>
      <c r="N385" s="1">
        <v>0</v>
      </c>
      <c r="O385" s="1">
        <v>0</v>
      </c>
      <c r="P385" s="1">
        <v>0</v>
      </c>
      <c r="Q385" s="1">
        <v>0</v>
      </c>
      <c r="R385" s="1">
        <v>0</v>
      </c>
      <c r="S385" s="1">
        <v>0</v>
      </c>
      <c r="T385" s="1">
        <v>0</v>
      </c>
      <c r="U385" s="1">
        <v>0</v>
      </c>
      <c r="V385" s="1">
        <v>0</v>
      </c>
      <c r="W385" s="1">
        <v>0</v>
      </c>
      <c r="X385" s="1">
        <v>0</v>
      </c>
      <c r="Y385" s="1">
        <v>0</v>
      </c>
      <c r="Z385" s="1">
        <v>0</v>
      </c>
      <c r="AA385" s="1">
        <v>0</v>
      </c>
      <c r="AB385" s="1">
        <v>0</v>
      </c>
      <c r="AC385" s="1">
        <v>0</v>
      </c>
      <c r="AD385" s="1">
        <v>0</v>
      </c>
      <c r="AE385" s="1">
        <v>0</v>
      </c>
      <c r="AF385" s="1">
        <v>0</v>
      </c>
      <c r="AG385" s="1">
        <v>0</v>
      </c>
      <c r="AH385" s="1">
        <v>0</v>
      </c>
      <c r="AI385" s="1">
        <v>0</v>
      </c>
      <c r="AJ385" s="1">
        <v>0</v>
      </c>
      <c r="AK385" s="1">
        <v>0</v>
      </c>
      <c r="AL385" s="1">
        <v>0</v>
      </c>
      <c r="AM385" s="1">
        <v>0</v>
      </c>
      <c r="AN385" s="1">
        <v>0</v>
      </c>
      <c r="AO385" s="1">
        <v>0</v>
      </c>
      <c r="AP385" s="1">
        <v>0</v>
      </c>
      <c r="AQ385" s="1">
        <v>0</v>
      </c>
      <c r="AR385" s="1">
        <v>0</v>
      </c>
      <c r="AS385" s="1">
        <v>0</v>
      </c>
    </row>
    <row r="386" spans="1:45">
      <c r="A386" s="1" t="str">
        <f>VLOOKUP(D386,epiunits!A$1:C$4000,2,FALSE)</f>
      </c>
      <c r="B386" s="1" t="str">
        <f>VLOOKUP(D386,epiunits!A$1:C$4000,3,FALSE)</f>
      </c>
      <c r="C386" s="1" t="str">
        <f>VLOOKUP(E386,Inspector!A$1:B$50,2,FALSE)</f>
      </c>
      <c r="I386" s="1" t="str">
        <f>VLOOKUP(D386,epiunits!A$1:J$4000,6,FALSE)</f>
      </c>
      <c r="J386" s="1" t="str">
        <f>VLOOKUP(D386,epiunits!A$1:J$4000,7,FALSE)</f>
      </c>
      <c r="K386" s="1" t="str">
        <f>VLOOKUP(D386,epiunits!A$1:J$4000,8,FALSE)</f>
      </c>
      <c r="L386" s="1" t="str">
        <f>VLOOKUP(D386,epiunits!A$1:J$4000,9,FALSE)</f>
      </c>
      <c r="M386" s="1" t="str">
        <f>VLOOKUP(D386,epiunits!A$1:J$4000,10,FALSE)</f>
      </c>
      <c r="N386" s="1">
        <v>0</v>
      </c>
      <c r="O386" s="1">
        <v>0</v>
      </c>
      <c r="P386" s="1">
        <v>0</v>
      </c>
      <c r="Q386" s="1">
        <v>0</v>
      </c>
      <c r="R386" s="1">
        <v>0</v>
      </c>
      <c r="S386" s="1">
        <v>0</v>
      </c>
      <c r="T386" s="1">
        <v>0</v>
      </c>
      <c r="U386" s="1">
        <v>0</v>
      </c>
      <c r="V386" s="1">
        <v>0</v>
      </c>
      <c r="W386" s="1">
        <v>0</v>
      </c>
      <c r="X386" s="1">
        <v>0</v>
      </c>
      <c r="Y386" s="1">
        <v>0</v>
      </c>
      <c r="Z386" s="1">
        <v>0</v>
      </c>
      <c r="AA386" s="1">
        <v>0</v>
      </c>
      <c r="AB386" s="1">
        <v>0</v>
      </c>
      <c r="AC386" s="1">
        <v>0</v>
      </c>
      <c r="AD386" s="1">
        <v>0</v>
      </c>
      <c r="AE386" s="1">
        <v>0</v>
      </c>
      <c r="AF386" s="1">
        <v>0</v>
      </c>
      <c r="AG386" s="1">
        <v>0</v>
      </c>
      <c r="AH386" s="1">
        <v>0</v>
      </c>
      <c r="AI386" s="1">
        <v>0</v>
      </c>
      <c r="AJ386" s="1">
        <v>0</v>
      </c>
      <c r="AK386" s="1">
        <v>0</v>
      </c>
      <c r="AL386" s="1">
        <v>0</v>
      </c>
      <c r="AM386" s="1">
        <v>0</v>
      </c>
      <c r="AN386" s="1">
        <v>0</v>
      </c>
      <c r="AO386" s="1">
        <v>0</v>
      </c>
      <c r="AP386" s="1">
        <v>0</v>
      </c>
      <c r="AQ386" s="1">
        <v>0</v>
      </c>
      <c r="AR386" s="1">
        <v>0</v>
      </c>
      <c r="AS386" s="1">
        <v>0</v>
      </c>
    </row>
    <row r="387" spans="1:45">
      <c r="A387" s="1" t="str">
        <f>VLOOKUP(D387,epiunits!A$1:C$4000,2,FALSE)</f>
      </c>
      <c r="B387" s="1" t="str">
        <f>VLOOKUP(D387,epiunits!A$1:C$4000,3,FALSE)</f>
      </c>
      <c r="C387" s="1" t="str">
        <f>VLOOKUP(E387,Inspector!A$1:B$50,2,FALSE)</f>
      </c>
      <c r="I387" s="1" t="str">
        <f>VLOOKUP(D387,epiunits!A$1:J$4000,6,FALSE)</f>
      </c>
      <c r="J387" s="1" t="str">
        <f>VLOOKUP(D387,epiunits!A$1:J$4000,7,FALSE)</f>
      </c>
      <c r="K387" s="1" t="str">
        <f>VLOOKUP(D387,epiunits!A$1:J$4000,8,FALSE)</f>
      </c>
      <c r="L387" s="1" t="str">
        <f>VLOOKUP(D387,epiunits!A$1:J$4000,9,FALSE)</f>
      </c>
      <c r="M387" s="1" t="str">
        <f>VLOOKUP(D387,epiunits!A$1:J$4000,10,FALSE)</f>
      </c>
      <c r="N387" s="1">
        <v>0</v>
      </c>
      <c r="O387" s="1">
        <v>0</v>
      </c>
      <c r="P387" s="1">
        <v>0</v>
      </c>
      <c r="Q387" s="1">
        <v>0</v>
      </c>
      <c r="R387" s="1">
        <v>0</v>
      </c>
      <c r="S387" s="1">
        <v>0</v>
      </c>
      <c r="T387" s="1">
        <v>0</v>
      </c>
      <c r="U387" s="1">
        <v>0</v>
      </c>
      <c r="V387" s="1">
        <v>0</v>
      </c>
      <c r="W387" s="1">
        <v>0</v>
      </c>
      <c r="X387" s="1">
        <v>0</v>
      </c>
      <c r="Y387" s="1">
        <v>0</v>
      </c>
      <c r="Z387" s="1">
        <v>0</v>
      </c>
      <c r="AA387" s="1">
        <v>0</v>
      </c>
      <c r="AB387" s="1">
        <v>0</v>
      </c>
      <c r="AC387" s="1">
        <v>0</v>
      </c>
      <c r="AD387" s="1">
        <v>0</v>
      </c>
      <c r="AE387" s="1">
        <v>0</v>
      </c>
      <c r="AF387" s="1">
        <v>0</v>
      </c>
      <c r="AG387" s="1">
        <v>0</v>
      </c>
      <c r="AH387" s="1">
        <v>0</v>
      </c>
      <c r="AI387" s="1">
        <v>0</v>
      </c>
      <c r="AJ387" s="1">
        <v>0</v>
      </c>
      <c r="AK387" s="1">
        <v>0</v>
      </c>
      <c r="AL387" s="1">
        <v>0</v>
      </c>
      <c r="AM387" s="1">
        <v>0</v>
      </c>
      <c r="AN387" s="1">
        <v>0</v>
      </c>
      <c r="AO387" s="1">
        <v>0</v>
      </c>
      <c r="AP387" s="1">
        <v>0</v>
      </c>
      <c r="AQ387" s="1">
        <v>0</v>
      </c>
      <c r="AR387" s="1">
        <v>0</v>
      </c>
      <c r="AS387" s="1">
        <v>0</v>
      </c>
    </row>
    <row r="388" spans="1:45">
      <c r="A388" s="1" t="str">
        <f>VLOOKUP(D388,epiunits!A$1:C$4000,2,FALSE)</f>
      </c>
      <c r="B388" s="1" t="str">
        <f>VLOOKUP(D388,epiunits!A$1:C$4000,3,FALSE)</f>
      </c>
      <c r="C388" s="1" t="str">
        <f>VLOOKUP(E388,Inspector!A$1:B$50,2,FALSE)</f>
      </c>
      <c r="I388" s="1" t="str">
        <f>VLOOKUP(D388,epiunits!A$1:J$4000,6,FALSE)</f>
      </c>
      <c r="J388" s="1" t="str">
        <f>VLOOKUP(D388,epiunits!A$1:J$4000,7,FALSE)</f>
      </c>
      <c r="K388" s="1" t="str">
        <f>VLOOKUP(D388,epiunits!A$1:J$4000,8,FALSE)</f>
      </c>
      <c r="L388" s="1" t="str">
        <f>VLOOKUP(D388,epiunits!A$1:J$4000,9,FALSE)</f>
      </c>
      <c r="M388" s="1" t="str">
        <f>VLOOKUP(D388,epiunits!A$1:J$4000,10,FALSE)</f>
      </c>
      <c r="N388" s="1">
        <v>0</v>
      </c>
      <c r="O388" s="1">
        <v>0</v>
      </c>
      <c r="P388" s="1">
        <v>0</v>
      </c>
      <c r="Q388" s="1">
        <v>0</v>
      </c>
      <c r="R388" s="1">
        <v>0</v>
      </c>
      <c r="S388" s="1">
        <v>0</v>
      </c>
      <c r="T388" s="1">
        <v>0</v>
      </c>
      <c r="U388" s="1">
        <v>0</v>
      </c>
      <c r="V388" s="1">
        <v>0</v>
      </c>
      <c r="W388" s="1">
        <v>0</v>
      </c>
      <c r="X388" s="1">
        <v>0</v>
      </c>
      <c r="Y388" s="1">
        <v>0</v>
      </c>
      <c r="Z388" s="1">
        <v>0</v>
      </c>
      <c r="AA388" s="1">
        <v>0</v>
      </c>
      <c r="AB388" s="1">
        <v>0</v>
      </c>
      <c r="AC388" s="1">
        <v>0</v>
      </c>
      <c r="AD388" s="1">
        <v>0</v>
      </c>
      <c r="AE388" s="1">
        <v>0</v>
      </c>
      <c r="AF388" s="1">
        <v>0</v>
      </c>
      <c r="AG388" s="1">
        <v>0</v>
      </c>
      <c r="AH388" s="1">
        <v>0</v>
      </c>
      <c r="AI388" s="1">
        <v>0</v>
      </c>
      <c r="AJ388" s="1">
        <v>0</v>
      </c>
      <c r="AK388" s="1">
        <v>0</v>
      </c>
      <c r="AL388" s="1">
        <v>0</v>
      </c>
      <c r="AM388" s="1">
        <v>0</v>
      </c>
      <c r="AN388" s="1">
        <v>0</v>
      </c>
      <c r="AO388" s="1">
        <v>0</v>
      </c>
      <c r="AP388" s="1">
        <v>0</v>
      </c>
      <c r="AQ388" s="1">
        <v>0</v>
      </c>
      <c r="AR388" s="1">
        <v>0</v>
      </c>
      <c r="AS388" s="1">
        <v>0</v>
      </c>
    </row>
    <row r="389" spans="1:45">
      <c r="A389" s="1" t="str">
        <f>VLOOKUP(D389,epiunits!A$1:C$4000,2,FALSE)</f>
      </c>
      <c r="B389" s="1" t="str">
        <f>VLOOKUP(D389,epiunits!A$1:C$4000,3,FALSE)</f>
      </c>
      <c r="C389" s="1" t="str">
        <f>VLOOKUP(E389,Inspector!A$1:B$50,2,FALSE)</f>
      </c>
      <c r="I389" s="1" t="str">
        <f>VLOOKUP(D389,epiunits!A$1:J$4000,6,FALSE)</f>
      </c>
      <c r="J389" s="1" t="str">
        <f>VLOOKUP(D389,epiunits!A$1:J$4000,7,FALSE)</f>
      </c>
      <c r="K389" s="1" t="str">
        <f>VLOOKUP(D389,epiunits!A$1:J$4000,8,FALSE)</f>
      </c>
      <c r="L389" s="1" t="str">
        <f>VLOOKUP(D389,epiunits!A$1:J$4000,9,FALSE)</f>
      </c>
      <c r="M389" s="1" t="str">
        <f>VLOOKUP(D389,epiunits!A$1:J$4000,10,FALSE)</f>
      </c>
      <c r="N389" s="1">
        <v>0</v>
      </c>
      <c r="O389" s="1">
        <v>0</v>
      </c>
      <c r="P389" s="1">
        <v>0</v>
      </c>
      <c r="Q389" s="1">
        <v>0</v>
      </c>
      <c r="R389" s="1">
        <v>0</v>
      </c>
      <c r="S389" s="1">
        <v>0</v>
      </c>
      <c r="T389" s="1">
        <v>0</v>
      </c>
      <c r="U389" s="1">
        <v>0</v>
      </c>
      <c r="V389" s="1">
        <v>0</v>
      </c>
      <c r="W389" s="1">
        <v>0</v>
      </c>
      <c r="X389" s="1">
        <v>0</v>
      </c>
      <c r="Y389" s="1">
        <v>0</v>
      </c>
      <c r="Z389" s="1">
        <v>0</v>
      </c>
      <c r="AA389" s="1">
        <v>0</v>
      </c>
      <c r="AB389" s="1">
        <v>0</v>
      </c>
      <c r="AC389" s="1">
        <v>0</v>
      </c>
      <c r="AD389" s="1">
        <v>0</v>
      </c>
      <c r="AE389" s="1">
        <v>0</v>
      </c>
      <c r="AF389" s="1">
        <v>0</v>
      </c>
      <c r="AG389" s="1">
        <v>0</v>
      </c>
      <c r="AH389" s="1">
        <v>0</v>
      </c>
      <c r="AI389" s="1">
        <v>0</v>
      </c>
      <c r="AJ389" s="1">
        <v>0</v>
      </c>
      <c r="AK389" s="1">
        <v>0</v>
      </c>
      <c r="AL389" s="1">
        <v>0</v>
      </c>
      <c r="AM389" s="1">
        <v>0</v>
      </c>
      <c r="AN389" s="1">
        <v>0</v>
      </c>
      <c r="AO389" s="1">
        <v>0</v>
      </c>
      <c r="AP389" s="1">
        <v>0</v>
      </c>
      <c r="AQ389" s="1">
        <v>0</v>
      </c>
      <c r="AR389" s="1">
        <v>0</v>
      </c>
      <c r="AS389" s="1">
        <v>0</v>
      </c>
    </row>
    <row r="390" spans="1:45">
      <c r="A390" s="1" t="str">
        <f>VLOOKUP(D390,epiunits!A$1:C$4000,2,FALSE)</f>
      </c>
      <c r="B390" s="1" t="str">
        <f>VLOOKUP(D390,epiunits!A$1:C$4000,3,FALSE)</f>
      </c>
      <c r="C390" s="1" t="str">
        <f>VLOOKUP(E390,Inspector!A$1:B$50,2,FALSE)</f>
      </c>
      <c r="I390" s="1" t="str">
        <f>VLOOKUP(D390,epiunits!A$1:J$4000,6,FALSE)</f>
      </c>
      <c r="J390" s="1" t="str">
        <f>VLOOKUP(D390,epiunits!A$1:J$4000,7,FALSE)</f>
      </c>
      <c r="K390" s="1" t="str">
        <f>VLOOKUP(D390,epiunits!A$1:J$4000,8,FALSE)</f>
      </c>
      <c r="L390" s="1" t="str">
        <f>VLOOKUP(D390,epiunits!A$1:J$4000,9,FALSE)</f>
      </c>
      <c r="M390" s="1" t="str">
        <f>VLOOKUP(D390,epiunits!A$1:J$4000,10,FALSE)</f>
      </c>
      <c r="N390" s="1">
        <v>0</v>
      </c>
      <c r="O390" s="1">
        <v>0</v>
      </c>
      <c r="P390" s="1">
        <v>0</v>
      </c>
      <c r="Q390" s="1">
        <v>0</v>
      </c>
      <c r="R390" s="1">
        <v>0</v>
      </c>
      <c r="S390" s="1">
        <v>0</v>
      </c>
      <c r="T390" s="1">
        <v>0</v>
      </c>
      <c r="U390" s="1">
        <v>0</v>
      </c>
      <c r="V390" s="1">
        <v>0</v>
      </c>
      <c r="W390" s="1">
        <v>0</v>
      </c>
      <c r="X390" s="1">
        <v>0</v>
      </c>
      <c r="Y390" s="1">
        <v>0</v>
      </c>
      <c r="Z390" s="1">
        <v>0</v>
      </c>
      <c r="AA390" s="1">
        <v>0</v>
      </c>
      <c r="AB390" s="1">
        <v>0</v>
      </c>
      <c r="AC390" s="1">
        <v>0</v>
      </c>
      <c r="AD390" s="1">
        <v>0</v>
      </c>
      <c r="AE390" s="1">
        <v>0</v>
      </c>
      <c r="AF390" s="1">
        <v>0</v>
      </c>
      <c r="AG390" s="1">
        <v>0</v>
      </c>
      <c r="AH390" s="1">
        <v>0</v>
      </c>
      <c r="AI390" s="1">
        <v>0</v>
      </c>
      <c r="AJ390" s="1">
        <v>0</v>
      </c>
      <c r="AK390" s="1">
        <v>0</v>
      </c>
      <c r="AL390" s="1">
        <v>0</v>
      </c>
      <c r="AM390" s="1">
        <v>0</v>
      </c>
      <c r="AN390" s="1">
        <v>0</v>
      </c>
      <c r="AO390" s="1">
        <v>0</v>
      </c>
      <c r="AP390" s="1">
        <v>0</v>
      </c>
      <c r="AQ390" s="1">
        <v>0</v>
      </c>
      <c r="AR390" s="1">
        <v>0</v>
      </c>
      <c r="AS390" s="1">
        <v>0</v>
      </c>
    </row>
    <row r="391" spans="1:45">
      <c r="A391" s="1" t="str">
        <f>VLOOKUP(D391,epiunits!A$1:C$4000,2,FALSE)</f>
      </c>
      <c r="B391" s="1" t="str">
        <f>VLOOKUP(D391,epiunits!A$1:C$4000,3,FALSE)</f>
      </c>
      <c r="C391" s="1" t="str">
        <f>VLOOKUP(E391,Inspector!A$1:B$50,2,FALSE)</f>
      </c>
      <c r="I391" s="1" t="str">
        <f>VLOOKUP(D391,epiunits!A$1:J$4000,6,FALSE)</f>
      </c>
      <c r="J391" s="1" t="str">
        <f>VLOOKUP(D391,epiunits!A$1:J$4000,7,FALSE)</f>
      </c>
      <c r="K391" s="1" t="str">
        <f>VLOOKUP(D391,epiunits!A$1:J$4000,8,FALSE)</f>
      </c>
      <c r="L391" s="1" t="str">
        <f>VLOOKUP(D391,epiunits!A$1:J$4000,9,FALSE)</f>
      </c>
      <c r="M391" s="1" t="str">
        <f>VLOOKUP(D391,epiunits!A$1:J$4000,10,FALSE)</f>
      </c>
      <c r="N391" s="1">
        <v>0</v>
      </c>
      <c r="O391" s="1">
        <v>0</v>
      </c>
      <c r="P391" s="1">
        <v>0</v>
      </c>
      <c r="Q391" s="1">
        <v>0</v>
      </c>
      <c r="R391" s="1">
        <v>0</v>
      </c>
      <c r="S391" s="1">
        <v>0</v>
      </c>
      <c r="T391" s="1">
        <v>0</v>
      </c>
      <c r="U391" s="1">
        <v>0</v>
      </c>
      <c r="V391" s="1">
        <v>0</v>
      </c>
      <c r="W391" s="1">
        <v>0</v>
      </c>
      <c r="X391" s="1">
        <v>0</v>
      </c>
      <c r="Y391" s="1">
        <v>0</v>
      </c>
      <c r="Z391" s="1">
        <v>0</v>
      </c>
      <c r="AA391" s="1">
        <v>0</v>
      </c>
      <c r="AB391" s="1">
        <v>0</v>
      </c>
      <c r="AC391" s="1">
        <v>0</v>
      </c>
      <c r="AD391" s="1">
        <v>0</v>
      </c>
      <c r="AE391" s="1">
        <v>0</v>
      </c>
      <c r="AF391" s="1">
        <v>0</v>
      </c>
      <c r="AG391" s="1">
        <v>0</v>
      </c>
      <c r="AH391" s="1">
        <v>0</v>
      </c>
      <c r="AI391" s="1">
        <v>0</v>
      </c>
      <c r="AJ391" s="1">
        <v>0</v>
      </c>
      <c r="AK391" s="1">
        <v>0</v>
      </c>
      <c r="AL391" s="1">
        <v>0</v>
      </c>
      <c r="AM391" s="1">
        <v>0</v>
      </c>
      <c r="AN391" s="1">
        <v>0</v>
      </c>
      <c r="AO391" s="1">
        <v>0</v>
      </c>
      <c r="AP391" s="1">
        <v>0</v>
      </c>
      <c r="AQ391" s="1">
        <v>0</v>
      </c>
      <c r="AR391" s="1">
        <v>0</v>
      </c>
      <c r="AS391" s="1">
        <v>0</v>
      </c>
    </row>
    <row r="392" spans="1:45">
      <c r="A392" s="1" t="str">
        <f>VLOOKUP(D392,epiunits!A$1:C$4000,2,FALSE)</f>
      </c>
      <c r="B392" s="1" t="str">
        <f>VLOOKUP(D392,epiunits!A$1:C$4000,3,FALSE)</f>
      </c>
      <c r="C392" s="1" t="str">
        <f>VLOOKUP(E392,Inspector!A$1:B$50,2,FALSE)</f>
      </c>
      <c r="I392" s="1" t="str">
        <f>VLOOKUP(D392,epiunits!A$1:J$4000,6,FALSE)</f>
      </c>
      <c r="J392" s="1" t="str">
        <f>VLOOKUP(D392,epiunits!A$1:J$4000,7,FALSE)</f>
      </c>
      <c r="K392" s="1" t="str">
        <f>VLOOKUP(D392,epiunits!A$1:J$4000,8,FALSE)</f>
      </c>
      <c r="L392" s="1" t="str">
        <f>VLOOKUP(D392,epiunits!A$1:J$4000,9,FALSE)</f>
      </c>
      <c r="M392" s="1" t="str">
        <f>VLOOKUP(D392,epiunits!A$1:J$4000,10,FALSE)</f>
      </c>
      <c r="N392" s="1">
        <v>0</v>
      </c>
      <c r="O392" s="1">
        <v>0</v>
      </c>
      <c r="P392" s="1">
        <v>0</v>
      </c>
      <c r="Q392" s="1">
        <v>0</v>
      </c>
      <c r="R392" s="1">
        <v>0</v>
      </c>
      <c r="S392" s="1">
        <v>0</v>
      </c>
      <c r="T392" s="1">
        <v>0</v>
      </c>
      <c r="U392" s="1">
        <v>0</v>
      </c>
      <c r="V392" s="1">
        <v>0</v>
      </c>
      <c r="W392" s="1">
        <v>0</v>
      </c>
      <c r="X392" s="1">
        <v>0</v>
      </c>
      <c r="Y392" s="1">
        <v>0</v>
      </c>
      <c r="Z392" s="1">
        <v>0</v>
      </c>
      <c r="AA392" s="1">
        <v>0</v>
      </c>
      <c r="AB392" s="1">
        <v>0</v>
      </c>
      <c r="AC392" s="1">
        <v>0</v>
      </c>
      <c r="AD392" s="1">
        <v>0</v>
      </c>
      <c r="AE392" s="1">
        <v>0</v>
      </c>
      <c r="AF392" s="1">
        <v>0</v>
      </c>
      <c r="AG392" s="1">
        <v>0</v>
      </c>
      <c r="AH392" s="1">
        <v>0</v>
      </c>
      <c r="AI392" s="1">
        <v>0</v>
      </c>
      <c r="AJ392" s="1">
        <v>0</v>
      </c>
      <c r="AK392" s="1">
        <v>0</v>
      </c>
      <c r="AL392" s="1">
        <v>0</v>
      </c>
      <c r="AM392" s="1">
        <v>0</v>
      </c>
      <c r="AN392" s="1">
        <v>0</v>
      </c>
      <c r="AO392" s="1">
        <v>0</v>
      </c>
      <c r="AP392" s="1">
        <v>0</v>
      </c>
      <c r="AQ392" s="1">
        <v>0</v>
      </c>
      <c r="AR392" s="1">
        <v>0</v>
      </c>
      <c r="AS392" s="1">
        <v>0</v>
      </c>
    </row>
    <row r="393" spans="1:45">
      <c r="A393" s="1" t="str">
        <f>VLOOKUP(D393,epiunits!A$1:C$4000,2,FALSE)</f>
      </c>
      <c r="B393" s="1" t="str">
        <f>VLOOKUP(D393,epiunits!A$1:C$4000,3,FALSE)</f>
      </c>
      <c r="C393" s="1" t="str">
        <f>VLOOKUP(E393,Inspector!A$1:B$50,2,FALSE)</f>
      </c>
      <c r="I393" s="1" t="str">
        <f>VLOOKUP(D393,epiunits!A$1:J$4000,6,FALSE)</f>
      </c>
      <c r="J393" s="1" t="str">
        <f>VLOOKUP(D393,epiunits!A$1:J$4000,7,FALSE)</f>
      </c>
      <c r="K393" s="1" t="str">
        <f>VLOOKUP(D393,epiunits!A$1:J$4000,8,FALSE)</f>
      </c>
      <c r="L393" s="1" t="str">
        <f>VLOOKUP(D393,epiunits!A$1:J$4000,9,FALSE)</f>
      </c>
      <c r="M393" s="1" t="str">
        <f>VLOOKUP(D393,epiunits!A$1:J$4000,10,FALSE)</f>
      </c>
      <c r="N393" s="1">
        <v>0</v>
      </c>
      <c r="O393" s="1">
        <v>0</v>
      </c>
      <c r="P393" s="1">
        <v>0</v>
      </c>
      <c r="Q393" s="1">
        <v>0</v>
      </c>
      <c r="R393" s="1">
        <v>0</v>
      </c>
      <c r="S393" s="1">
        <v>0</v>
      </c>
      <c r="T393" s="1">
        <v>0</v>
      </c>
      <c r="U393" s="1">
        <v>0</v>
      </c>
      <c r="V393" s="1">
        <v>0</v>
      </c>
      <c r="W393" s="1">
        <v>0</v>
      </c>
      <c r="X393" s="1">
        <v>0</v>
      </c>
      <c r="Y393" s="1">
        <v>0</v>
      </c>
      <c r="Z393" s="1">
        <v>0</v>
      </c>
      <c r="AA393" s="1">
        <v>0</v>
      </c>
      <c r="AB393" s="1">
        <v>0</v>
      </c>
      <c r="AC393" s="1">
        <v>0</v>
      </c>
      <c r="AD393" s="1">
        <v>0</v>
      </c>
      <c r="AE393" s="1">
        <v>0</v>
      </c>
      <c r="AF393" s="1">
        <v>0</v>
      </c>
      <c r="AG393" s="1">
        <v>0</v>
      </c>
      <c r="AH393" s="1">
        <v>0</v>
      </c>
      <c r="AI393" s="1">
        <v>0</v>
      </c>
      <c r="AJ393" s="1">
        <v>0</v>
      </c>
      <c r="AK393" s="1">
        <v>0</v>
      </c>
      <c r="AL393" s="1">
        <v>0</v>
      </c>
      <c r="AM393" s="1">
        <v>0</v>
      </c>
      <c r="AN393" s="1">
        <v>0</v>
      </c>
      <c r="AO393" s="1">
        <v>0</v>
      </c>
      <c r="AP393" s="1">
        <v>0</v>
      </c>
      <c r="AQ393" s="1">
        <v>0</v>
      </c>
      <c r="AR393" s="1">
        <v>0</v>
      </c>
      <c r="AS393" s="1">
        <v>0</v>
      </c>
    </row>
    <row r="394" spans="1:45">
      <c r="A394" s="1" t="str">
        <f>VLOOKUP(D394,epiunits!A$1:C$4000,2,FALSE)</f>
      </c>
      <c r="B394" s="1" t="str">
        <f>VLOOKUP(D394,epiunits!A$1:C$4000,3,FALSE)</f>
      </c>
      <c r="C394" s="1" t="str">
        <f>VLOOKUP(E394,Inspector!A$1:B$50,2,FALSE)</f>
      </c>
      <c r="I394" s="1" t="str">
        <f>VLOOKUP(D394,epiunits!A$1:J$4000,6,FALSE)</f>
      </c>
      <c r="J394" s="1" t="str">
        <f>VLOOKUP(D394,epiunits!A$1:J$4000,7,FALSE)</f>
      </c>
      <c r="K394" s="1" t="str">
        <f>VLOOKUP(D394,epiunits!A$1:J$4000,8,FALSE)</f>
      </c>
      <c r="L394" s="1" t="str">
        <f>VLOOKUP(D394,epiunits!A$1:J$4000,9,FALSE)</f>
      </c>
      <c r="M394" s="1" t="str">
        <f>VLOOKUP(D394,epiunits!A$1:J$4000,10,FALSE)</f>
      </c>
      <c r="N394" s="1">
        <v>0</v>
      </c>
      <c r="O394" s="1">
        <v>0</v>
      </c>
      <c r="P394" s="1">
        <v>0</v>
      </c>
      <c r="Q394" s="1">
        <v>0</v>
      </c>
      <c r="R394" s="1">
        <v>0</v>
      </c>
      <c r="S394" s="1">
        <v>0</v>
      </c>
      <c r="T394" s="1">
        <v>0</v>
      </c>
      <c r="U394" s="1">
        <v>0</v>
      </c>
      <c r="V394" s="1">
        <v>0</v>
      </c>
      <c r="W394" s="1">
        <v>0</v>
      </c>
      <c r="X394" s="1">
        <v>0</v>
      </c>
      <c r="Y394" s="1">
        <v>0</v>
      </c>
      <c r="Z394" s="1">
        <v>0</v>
      </c>
      <c r="AA394" s="1">
        <v>0</v>
      </c>
      <c r="AB394" s="1">
        <v>0</v>
      </c>
      <c r="AC394" s="1">
        <v>0</v>
      </c>
      <c r="AD394" s="1">
        <v>0</v>
      </c>
      <c r="AE394" s="1">
        <v>0</v>
      </c>
      <c r="AF394" s="1">
        <v>0</v>
      </c>
      <c r="AG394" s="1">
        <v>0</v>
      </c>
      <c r="AH394" s="1">
        <v>0</v>
      </c>
      <c r="AI394" s="1">
        <v>0</v>
      </c>
      <c r="AJ394" s="1">
        <v>0</v>
      </c>
      <c r="AK394" s="1">
        <v>0</v>
      </c>
      <c r="AL394" s="1">
        <v>0</v>
      </c>
      <c r="AM394" s="1">
        <v>0</v>
      </c>
      <c r="AN394" s="1">
        <v>0</v>
      </c>
      <c r="AO394" s="1">
        <v>0</v>
      </c>
      <c r="AP394" s="1">
        <v>0</v>
      </c>
      <c r="AQ394" s="1">
        <v>0</v>
      </c>
      <c r="AR394" s="1">
        <v>0</v>
      </c>
      <c r="AS394" s="1">
        <v>0</v>
      </c>
    </row>
    <row r="395" spans="1:45">
      <c r="A395" s="1" t="str">
        <f>VLOOKUP(D395,epiunits!A$1:C$4000,2,FALSE)</f>
      </c>
      <c r="B395" s="1" t="str">
        <f>VLOOKUP(D395,epiunits!A$1:C$4000,3,FALSE)</f>
      </c>
      <c r="C395" s="1" t="str">
        <f>VLOOKUP(E395,Inspector!A$1:B$50,2,FALSE)</f>
      </c>
      <c r="I395" s="1" t="str">
        <f>VLOOKUP(D395,epiunits!A$1:J$4000,6,FALSE)</f>
      </c>
      <c r="J395" s="1" t="str">
        <f>VLOOKUP(D395,epiunits!A$1:J$4000,7,FALSE)</f>
      </c>
      <c r="K395" s="1" t="str">
        <f>VLOOKUP(D395,epiunits!A$1:J$4000,8,FALSE)</f>
      </c>
      <c r="L395" s="1" t="str">
        <f>VLOOKUP(D395,epiunits!A$1:J$4000,9,FALSE)</f>
      </c>
      <c r="M395" s="1" t="str">
        <f>VLOOKUP(D395,epiunits!A$1:J$4000,10,FALSE)</f>
      </c>
      <c r="N395" s="1">
        <v>0</v>
      </c>
      <c r="O395" s="1">
        <v>0</v>
      </c>
      <c r="P395" s="1">
        <v>0</v>
      </c>
      <c r="Q395" s="1">
        <v>0</v>
      </c>
      <c r="R395" s="1">
        <v>0</v>
      </c>
      <c r="S395" s="1">
        <v>0</v>
      </c>
      <c r="T395" s="1">
        <v>0</v>
      </c>
      <c r="U395" s="1">
        <v>0</v>
      </c>
      <c r="V395" s="1">
        <v>0</v>
      </c>
      <c r="W395" s="1">
        <v>0</v>
      </c>
      <c r="X395" s="1">
        <v>0</v>
      </c>
      <c r="Y395" s="1">
        <v>0</v>
      </c>
      <c r="Z395" s="1">
        <v>0</v>
      </c>
      <c r="AA395" s="1">
        <v>0</v>
      </c>
      <c r="AB395" s="1">
        <v>0</v>
      </c>
      <c r="AC395" s="1">
        <v>0</v>
      </c>
      <c r="AD395" s="1">
        <v>0</v>
      </c>
      <c r="AE395" s="1">
        <v>0</v>
      </c>
      <c r="AF395" s="1">
        <v>0</v>
      </c>
      <c r="AG395" s="1">
        <v>0</v>
      </c>
      <c r="AH395" s="1">
        <v>0</v>
      </c>
      <c r="AI395" s="1">
        <v>0</v>
      </c>
      <c r="AJ395" s="1">
        <v>0</v>
      </c>
      <c r="AK395" s="1">
        <v>0</v>
      </c>
      <c r="AL395" s="1">
        <v>0</v>
      </c>
      <c r="AM395" s="1">
        <v>0</v>
      </c>
      <c r="AN395" s="1">
        <v>0</v>
      </c>
      <c r="AO395" s="1">
        <v>0</v>
      </c>
      <c r="AP395" s="1">
        <v>0</v>
      </c>
      <c r="AQ395" s="1">
        <v>0</v>
      </c>
      <c r="AR395" s="1">
        <v>0</v>
      </c>
      <c r="AS395" s="1">
        <v>0</v>
      </c>
    </row>
    <row r="396" spans="1:45">
      <c r="A396" s="1" t="str">
        <f>VLOOKUP(D396,epiunits!A$1:C$4000,2,FALSE)</f>
      </c>
      <c r="B396" s="1" t="str">
        <f>VLOOKUP(D396,epiunits!A$1:C$4000,3,FALSE)</f>
      </c>
      <c r="C396" s="1" t="str">
        <f>VLOOKUP(E396,Inspector!A$1:B$50,2,FALSE)</f>
      </c>
      <c r="I396" s="1" t="str">
        <f>VLOOKUP(D396,epiunits!A$1:J$4000,6,FALSE)</f>
      </c>
      <c r="J396" s="1" t="str">
        <f>VLOOKUP(D396,epiunits!A$1:J$4000,7,FALSE)</f>
      </c>
      <c r="K396" s="1" t="str">
        <f>VLOOKUP(D396,epiunits!A$1:J$4000,8,FALSE)</f>
      </c>
      <c r="L396" s="1" t="str">
        <f>VLOOKUP(D396,epiunits!A$1:J$4000,9,FALSE)</f>
      </c>
      <c r="M396" s="1" t="str">
        <f>VLOOKUP(D396,epiunits!A$1:J$4000,10,FALSE)</f>
      </c>
      <c r="N396" s="1">
        <v>0</v>
      </c>
      <c r="O396" s="1">
        <v>0</v>
      </c>
      <c r="P396" s="1">
        <v>0</v>
      </c>
      <c r="Q396" s="1">
        <v>0</v>
      </c>
      <c r="R396" s="1">
        <v>0</v>
      </c>
      <c r="S396" s="1">
        <v>0</v>
      </c>
      <c r="T396" s="1">
        <v>0</v>
      </c>
      <c r="U396" s="1">
        <v>0</v>
      </c>
      <c r="V396" s="1">
        <v>0</v>
      </c>
      <c r="W396" s="1">
        <v>0</v>
      </c>
      <c r="X396" s="1">
        <v>0</v>
      </c>
      <c r="Y396" s="1">
        <v>0</v>
      </c>
      <c r="Z396" s="1">
        <v>0</v>
      </c>
      <c r="AA396" s="1">
        <v>0</v>
      </c>
      <c r="AB396" s="1">
        <v>0</v>
      </c>
      <c r="AC396" s="1">
        <v>0</v>
      </c>
      <c r="AD396" s="1">
        <v>0</v>
      </c>
      <c r="AE396" s="1">
        <v>0</v>
      </c>
      <c r="AF396" s="1">
        <v>0</v>
      </c>
      <c r="AG396" s="1">
        <v>0</v>
      </c>
      <c r="AH396" s="1">
        <v>0</v>
      </c>
      <c r="AI396" s="1">
        <v>0</v>
      </c>
      <c r="AJ396" s="1">
        <v>0</v>
      </c>
      <c r="AK396" s="1">
        <v>0</v>
      </c>
      <c r="AL396" s="1">
        <v>0</v>
      </c>
      <c r="AM396" s="1">
        <v>0</v>
      </c>
      <c r="AN396" s="1">
        <v>0</v>
      </c>
      <c r="AO396" s="1">
        <v>0</v>
      </c>
      <c r="AP396" s="1">
        <v>0</v>
      </c>
      <c r="AQ396" s="1">
        <v>0</v>
      </c>
      <c r="AR396" s="1">
        <v>0</v>
      </c>
      <c r="AS396" s="1">
        <v>0</v>
      </c>
    </row>
    <row r="397" spans="1:45">
      <c r="A397" s="1" t="str">
        <f>VLOOKUP(D397,epiunits!A$1:C$4000,2,FALSE)</f>
      </c>
      <c r="B397" s="1" t="str">
        <f>VLOOKUP(D397,epiunits!A$1:C$4000,3,FALSE)</f>
      </c>
      <c r="C397" s="1" t="str">
        <f>VLOOKUP(E397,Inspector!A$1:B$50,2,FALSE)</f>
      </c>
      <c r="I397" s="1" t="str">
        <f>VLOOKUP(D397,epiunits!A$1:J$4000,6,FALSE)</f>
      </c>
      <c r="J397" s="1" t="str">
        <f>VLOOKUP(D397,epiunits!A$1:J$4000,7,FALSE)</f>
      </c>
      <c r="K397" s="1" t="str">
        <f>VLOOKUP(D397,epiunits!A$1:J$4000,8,FALSE)</f>
      </c>
      <c r="L397" s="1" t="str">
        <f>VLOOKUP(D397,epiunits!A$1:J$4000,9,FALSE)</f>
      </c>
      <c r="M397" s="1" t="str">
        <f>VLOOKUP(D397,epiunits!A$1:J$4000,10,FALSE)</f>
      </c>
      <c r="N397" s="1">
        <v>0</v>
      </c>
      <c r="O397" s="1">
        <v>0</v>
      </c>
      <c r="P397" s="1">
        <v>0</v>
      </c>
      <c r="Q397" s="1">
        <v>0</v>
      </c>
      <c r="R397" s="1">
        <v>0</v>
      </c>
      <c r="S397" s="1">
        <v>0</v>
      </c>
      <c r="T397" s="1">
        <v>0</v>
      </c>
      <c r="U397" s="1">
        <v>0</v>
      </c>
      <c r="V397" s="1">
        <v>0</v>
      </c>
      <c r="W397" s="1">
        <v>0</v>
      </c>
      <c r="X397" s="1">
        <v>0</v>
      </c>
      <c r="Y397" s="1">
        <v>0</v>
      </c>
      <c r="Z397" s="1">
        <v>0</v>
      </c>
      <c r="AA397" s="1">
        <v>0</v>
      </c>
      <c r="AB397" s="1">
        <v>0</v>
      </c>
      <c r="AC397" s="1">
        <v>0</v>
      </c>
      <c r="AD397" s="1">
        <v>0</v>
      </c>
      <c r="AE397" s="1">
        <v>0</v>
      </c>
      <c r="AF397" s="1">
        <v>0</v>
      </c>
      <c r="AG397" s="1">
        <v>0</v>
      </c>
      <c r="AH397" s="1">
        <v>0</v>
      </c>
      <c r="AI397" s="1">
        <v>0</v>
      </c>
      <c r="AJ397" s="1">
        <v>0</v>
      </c>
      <c r="AK397" s="1">
        <v>0</v>
      </c>
      <c r="AL397" s="1">
        <v>0</v>
      </c>
      <c r="AM397" s="1">
        <v>0</v>
      </c>
      <c r="AN397" s="1">
        <v>0</v>
      </c>
      <c r="AO397" s="1">
        <v>0</v>
      </c>
      <c r="AP397" s="1">
        <v>0</v>
      </c>
      <c r="AQ397" s="1">
        <v>0</v>
      </c>
      <c r="AR397" s="1">
        <v>0</v>
      </c>
      <c r="AS397" s="1">
        <v>0</v>
      </c>
    </row>
    <row r="398" spans="1:45">
      <c r="A398" s="1" t="str">
        <f>VLOOKUP(D398,epiunits!A$1:C$4000,2,FALSE)</f>
      </c>
      <c r="B398" s="1" t="str">
        <f>VLOOKUP(D398,epiunits!A$1:C$4000,3,FALSE)</f>
      </c>
      <c r="C398" s="1" t="str">
        <f>VLOOKUP(E398,Inspector!A$1:B$50,2,FALSE)</f>
      </c>
      <c r="I398" s="1" t="str">
        <f>VLOOKUP(D398,epiunits!A$1:J$4000,6,FALSE)</f>
      </c>
      <c r="J398" s="1" t="str">
        <f>VLOOKUP(D398,epiunits!A$1:J$4000,7,FALSE)</f>
      </c>
      <c r="K398" s="1" t="str">
        <f>VLOOKUP(D398,epiunits!A$1:J$4000,8,FALSE)</f>
      </c>
      <c r="L398" s="1" t="str">
        <f>VLOOKUP(D398,epiunits!A$1:J$4000,9,FALSE)</f>
      </c>
      <c r="M398" s="1" t="str">
        <f>VLOOKUP(D398,epiunits!A$1:J$4000,10,FALSE)</f>
      </c>
      <c r="N398" s="1">
        <v>0</v>
      </c>
      <c r="O398" s="1">
        <v>0</v>
      </c>
      <c r="P398" s="1">
        <v>0</v>
      </c>
      <c r="Q398" s="1">
        <v>0</v>
      </c>
      <c r="R398" s="1">
        <v>0</v>
      </c>
      <c r="S398" s="1">
        <v>0</v>
      </c>
      <c r="T398" s="1">
        <v>0</v>
      </c>
      <c r="U398" s="1">
        <v>0</v>
      </c>
      <c r="V398" s="1">
        <v>0</v>
      </c>
      <c r="W398" s="1">
        <v>0</v>
      </c>
      <c r="X398" s="1">
        <v>0</v>
      </c>
      <c r="Y398" s="1">
        <v>0</v>
      </c>
      <c r="Z398" s="1">
        <v>0</v>
      </c>
      <c r="AA398" s="1">
        <v>0</v>
      </c>
      <c r="AB398" s="1">
        <v>0</v>
      </c>
      <c r="AC398" s="1">
        <v>0</v>
      </c>
      <c r="AD398" s="1">
        <v>0</v>
      </c>
      <c r="AE398" s="1">
        <v>0</v>
      </c>
      <c r="AF398" s="1">
        <v>0</v>
      </c>
      <c r="AG398" s="1">
        <v>0</v>
      </c>
      <c r="AH398" s="1">
        <v>0</v>
      </c>
      <c r="AI398" s="1">
        <v>0</v>
      </c>
      <c r="AJ398" s="1">
        <v>0</v>
      </c>
      <c r="AK398" s="1">
        <v>0</v>
      </c>
      <c r="AL398" s="1">
        <v>0</v>
      </c>
      <c r="AM398" s="1">
        <v>0</v>
      </c>
      <c r="AN398" s="1">
        <v>0</v>
      </c>
      <c r="AO398" s="1">
        <v>0</v>
      </c>
      <c r="AP398" s="1">
        <v>0</v>
      </c>
      <c r="AQ398" s="1">
        <v>0</v>
      </c>
      <c r="AR398" s="1">
        <v>0</v>
      </c>
      <c r="AS398" s="1">
        <v>0</v>
      </c>
    </row>
    <row r="399" spans="1:45">
      <c r="A399" s="1" t="str">
        <f>VLOOKUP(D399,epiunits!A$1:C$4000,2,FALSE)</f>
      </c>
      <c r="B399" s="1" t="str">
        <f>VLOOKUP(D399,epiunits!A$1:C$4000,3,FALSE)</f>
      </c>
      <c r="C399" s="1" t="str">
        <f>VLOOKUP(E399,Inspector!A$1:B$50,2,FALSE)</f>
      </c>
      <c r="I399" s="1" t="str">
        <f>VLOOKUP(D399,epiunits!A$1:J$4000,6,FALSE)</f>
      </c>
      <c r="J399" s="1" t="str">
        <f>VLOOKUP(D399,epiunits!A$1:J$4000,7,FALSE)</f>
      </c>
      <c r="K399" s="1" t="str">
        <f>VLOOKUP(D399,epiunits!A$1:J$4000,8,FALSE)</f>
      </c>
      <c r="L399" s="1" t="str">
        <f>VLOOKUP(D399,epiunits!A$1:J$4000,9,FALSE)</f>
      </c>
      <c r="M399" s="1" t="str">
        <f>VLOOKUP(D399,epiunits!A$1:J$4000,10,FALSE)</f>
      </c>
      <c r="N399" s="1">
        <v>0</v>
      </c>
      <c r="O399" s="1">
        <v>0</v>
      </c>
      <c r="P399" s="1">
        <v>0</v>
      </c>
      <c r="Q399" s="1">
        <v>0</v>
      </c>
      <c r="R399" s="1">
        <v>0</v>
      </c>
      <c r="S399" s="1">
        <v>0</v>
      </c>
      <c r="T399" s="1">
        <v>0</v>
      </c>
      <c r="U399" s="1">
        <v>0</v>
      </c>
      <c r="V399" s="1">
        <v>0</v>
      </c>
      <c r="W399" s="1">
        <v>0</v>
      </c>
      <c r="X399" s="1">
        <v>0</v>
      </c>
      <c r="Y399" s="1">
        <v>0</v>
      </c>
      <c r="Z399" s="1">
        <v>0</v>
      </c>
      <c r="AA399" s="1">
        <v>0</v>
      </c>
      <c r="AB399" s="1">
        <v>0</v>
      </c>
      <c r="AC399" s="1">
        <v>0</v>
      </c>
      <c r="AD399" s="1">
        <v>0</v>
      </c>
      <c r="AE399" s="1">
        <v>0</v>
      </c>
      <c r="AF399" s="1">
        <v>0</v>
      </c>
      <c r="AG399" s="1">
        <v>0</v>
      </c>
      <c r="AH399" s="1">
        <v>0</v>
      </c>
      <c r="AI399" s="1">
        <v>0</v>
      </c>
      <c r="AJ399" s="1">
        <v>0</v>
      </c>
      <c r="AK399" s="1">
        <v>0</v>
      </c>
      <c r="AL399" s="1">
        <v>0</v>
      </c>
      <c r="AM399" s="1">
        <v>0</v>
      </c>
      <c r="AN399" s="1">
        <v>0</v>
      </c>
      <c r="AO399" s="1">
        <v>0</v>
      </c>
      <c r="AP399" s="1">
        <v>0</v>
      </c>
      <c r="AQ399" s="1">
        <v>0</v>
      </c>
      <c r="AR399" s="1">
        <v>0</v>
      </c>
      <c r="AS399" s="1">
        <v>0</v>
      </c>
    </row>
    <row r="400" spans="1:45">
      <c r="A400" s="1" t="str">
        <f>VLOOKUP(D400,epiunits!A$1:C$4000,2,FALSE)</f>
      </c>
      <c r="B400" s="1" t="str">
        <f>VLOOKUP(D400,epiunits!A$1:C$4000,3,FALSE)</f>
      </c>
      <c r="C400" s="1" t="str">
        <f>VLOOKUP(E400,Inspector!A$1:B$50,2,FALSE)</f>
      </c>
      <c r="I400" s="1" t="str">
        <f>VLOOKUP(D400,epiunits!A$1:J$4000,6,FALSE)</f>
      </c>
      <c r="J400" s="1" t="str">
        <f>VLOOKUP(D400,epiunits!A$1:J$4000,7,FALSE)</f>
      </c>
      <c r="K400" s="1" t="str">
        <f>VLOOKUP(D400,epiunits!A$1:J$4000,8,FALSE)</f>
      </c>
      <c r="L400" s="1" t="str">
        <f>VLOOKUP(D400,epiunits!A$1:J$4000,9,FALSE)</f>
      </c>
      <c r="M400" s="1" t="str">
        <f>VLOOKUP(D400,epiunits!A$1:J$4000,10,FALSE)</f>
      </c>
      <c r="N400" s="1">
        <v>0</v>
      </c>
      <c r="O400" s="1">
        <v>0</v>
      </c>
      <c r="P400" s="1">
        <v>0</v>
      </c>
      <c r="Q400" s="1">
        <v>0</v>
      </c>
      <c r="R400" s="1">
        <v>0</v>
      </c>
      <c r="S400" s="1">
        <v>0</v>
      </c>
      <c r="T400" s="1">
        <v>0</v>
      </c>
      <c r="U400" s="1">
        <v>0</v>
      </c>
      <c r="V400" s="1">
        <v>0</v>
      </c>
      <c r="W400" s="1">
        <v>0</v>
      </c>
      <c r="X400" s="1">
        <v>0</v>
      </c>
      <c r="Y400" s="1">
        <v>0</v>
      </c>
      <c r="Z400" s="1">
        <v>0</v>
      </c>
      <c r="AA400" s="1">
        <v>0</v>
      </c>
      <c r="AB400" s="1">
        <v>0</v>
      </c>
      <c r="AC400" s="1">
        <v>0</v>
      </c>
      <c r="AD400" s="1">
        <v>0</v>
      </c>
      <c r="AE400" s="1">
        <v>0</v>
      </c>
      <c r="AF400" s="1">
        <v>0</v>
      </c>
      <c r="AG400" s="1">
        <v>0</v>
      </c>
      <c r="AH400" s="1">
        <v>0</v>
      </c>
      <c r="AI400" s="1">
        <v>0</v>
      </c>
      <c r="AJ400" s="1">
        <v>0</v>
      </c>
      <c r="AK400" s="1">
        <v>0</v>
      </c>
      <c r="AL400" s="1">
        <v>0</v>
      </c>
      <c r="AM400" s="1">
        <v>0</v>
      </c>
      <c r="AN400" s="1">
        <v>0</v>
      </c>
      <c r="AO400" s="1">
        <v>0</v>
      </c>
      <c r="AP400" s="1">
        <v>0</v>
      </c>
      <c r="AQ400" s="1">
        <v>0</v>
      </c>
      <c r="AR400" s="1">
        <v>0</v>
      </c>
      <c r="AS400" s="1">
        <v>0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J20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10">
      <c r="A1" t="s">
        <v>45</v>
      </c>
      <c r="B1">
        <v>2145</v>
      </c>
      <c r="C1" t="s">
        <v>45</v>
      </c>
      <c r="D1">
        <v>100</v>
      </c>
      <c r="E1">
        <v>1</v>
      </c>
      <c r="F1">
        <v>90</v>
      </c>
      <c r="G1">
        <v>0</v>
      </c>
      <c r="H1">
        <v>0</v>
      </c>
      <c r="I1">
        <v>0</v>
      </c>
      <c r="J1">
        <v>0</v>
      </c>
    </row>
    <row r="2" spans="1:10">
      <c r="A2" t="s">
        <v>46</v>
      </c>
      <c r="B2">
        <v>2153</v>
      </c>
      <c r="C2" t="s">
        <v>46</v>
      </c>
      <c r="D2">
        <v>100</v>
      </c>
      <c r="E2">
        <v>1</v>
      </c>
      <c r="F2">
        <v>107</v>
      </c>
      <c r="G2">
        <v>45</v>
      </c>
      <c r="H2">
        <v>0</v>
      </c>
      <c r="I2">
        <v>0</v>
      </c>
      <c r="J2">
        <v>0</v>
      </c>
    </row>
    <row r="3" spans="1:10">
      <c r="A3" t="s">
        <v>47</v>
      </c>
      <c r="B3">
        <v>2150</v>
      </c>
      <c r="C3" t="s">
        <v>47</v>
      </c>
      <c r="D3">
        <v>100</v>
      </c>
      <c r="E3">
        <v>1</v>
      </c>
      <c r="F3">
        <v>0</v>
      </c>
      <c r="G3">
        <v>316</v>
      </c>
      <c r="H3">
        <v>120</v>
      </c>
      <c r="I3">
        <v>0</v>
      </c>
      <c r="J3">
        <v>0</v>
      </c>
    </row>
    <row r="4" spans="1:10">
      <c r="A4" t="s">
        <v>48</v>
      </c>
      <c r="B4">
        <v>2159</v>
      </c>
      <c r="C4" t="s">
        <v>48</v>
      </c>
      <c r="D4">
        <v>100</v>
      </c>
      <c r="E4">
        <v>1</v>
      </c>
      <c r="F4">
        <v>184</v>
      </c>
      <c r="G4">
        <v>98</v>
      </c>
      <c r="H4">
        <v>0</v>
      </c>
      <c r="I4">
        <v>0</v>
      </c>
      <c r="J4">
        <v>0</v>
      </c>
    </row>
    <row r="5" spans="1:10">
      <c r="A5" t="s">
        <v>49</v>
      </c>
      <c r="B5">
        <v>2162</v>
      </c>
      <c r="C5" t="s">
        <v>49</v>
      </c>
      <c r="D5">
        <v>100</v>
      </c>
      <c r="E5">
        <v>1</v>
      </c>
      <c r="F5">
        <v>0</v>
      </c>
      <c r="G5">
        <v>113</v>
      </c>
      <c r="H5">
        <v>120</v>
      </c>
      <c r="I5">
        <v>0</v>
      </c>
      <c r="J5">
        <v>0</v>
      </c>
    </row>
    <row r="6" spans="1:10">
      <c r="A6" t="s">
        <v>50</v>
      </c>
      <c r="B6">
        <v>2147</v>
      </c>
      <c r="C6" t="s">
        <v>50</v>
      </c>
      <c r="D6">
        <v>100</v>
      </c>
      <c r="E6">
        <v>1</v>
      </c>
      <c r="F6">
        <v>127</v>
      </c>
      <c r="G6">
        <v>105</v>
      </c>
      <c r="H6">
        <v>13</v>
      </c>
      <c r="I6">
        <v>0</v>
      </c>
      <c r="J6">
        <v>0</v>
      </c>
    </row>
    <row r="7" spans="1:10">
      <c r="A7" t="s">
        <v>51</v>
      </c>
      <c r="B7">
        <v>2156</v>
      </c>
      <c r="C7" t="s">
        <v>51</v>
      </c>
      <c r="D7">
        <v>100</v>
      </c>
      <c r="E7">
        <v>1</v>
      </c>
      <c r="F7">
        <v>41</v>
      </c>
      <c r="G7">
        <v>200</v>
      </c>
      <c r="H7">
        <v>0</v>
      </c>
      <c r="I7">
        <v>0</v>
      </c>
      <c r="J7">
        <v>0</v>
      </c>
    </row>
    <row r="8" spans="1:10">
      <c r="A8" t="s">
        <v>52</v>
      </c>
      <c r="B8">
        <v>2149</v>
      </c>
      <c r="C8" t="s">
        <v>52</v>
      </c>
      <c r="D8">
        <v>100</v>
      </c>
      <c r="E8">
        <v>1</v>
      </c>
      <c r="F8">
        <v>0</v>
      </c>
      <c r="G8">
        <v>447</v>
      </c>
      <c r="H8">
        <v>53</v>
      </c>
      <c r="I8">
        <v>0</v>
      </c>
      <c r="J8">
        <v>0</v>
      </c>
    </row>
    <row r="9" spans="1:10">
      <c r="A9" t="s">
        <v>53</v>
      </c>
      <c r="B9">
        <v>2164</v>
      </c>
      <c r="C9" t="s">
        <v>53</v>
      </c>
      <c r="D9">
        <v>100</v>
      </c>
      <c r="E9">
        <v>1</v>
      </c>
      <c r="F9">
        <v>153</v>
      </c>
      <c r="G9">
        <v>13</v>
      </c>
      <c r="H9">
        <v>0</v>
      </c>
      <c r="I9">
        <v>0</v>
      </c>
      <c r="J9">
        <v>0</v>
      </c>
    </row>
    <row r="10" spans="1:10">
      <c r="A10" t="s">
        <v>54</v>
      </c>
      <c r="B10">
        <v>2160</v>
      </c>
      <c r="C10" t="s">
        <v>54</v>
      </c>
      <c r="D10">
        <v>100</v>
      </c>
      <c r="E10">
        <v>1</v>
      </c>
      <c r="F10">
        <v>427</v>
      </c>
      <c r="G10">
        <v>570</v>
      </c>
      <c r="H10">
        <v>101</v>
      </c>
      <c r="I10">
        <v>0</v>
      </c>
      <c r="J10">
        <v>0</v>
      </c>
    </row>
    <row r="11" spans="1:10">
      <c r="A11" t="s">
        <v>55</v>
      </c>
      <c r="B11">
        <v>2152</v>
      </c>
      <c r="C11" t="s">
        <v>55</v>
      </c>
      <c r="D11">
        <v>100</v>
      </c>
      <c r="E11">
        <v>1</v>
      </c>
      <c r="F11">
        <v>94</v>
      </c>
      <c r="G11">
        <v>92</v>
      </c>
      <c r="H11">
        <v>17</v>
      </c>
      <c r="I11">
        <v>0</v>
      </c>
      <c r="J11">
        <v>0</v>
      </c>
    </row>
    <row r="12" spans="1:10">
      <c r="A12" t="s">
        <v>56</v>
      </c>
      <c r="B12">
        <v>2155</v>
      </c>
      <c r="C12" t="s">
        <v>56</v>
      </c>
      <c r="D12">
        <v>100</v>
      </c>
      <c r="E12">
        <v>1</v>
      </c>
      <c r="F12">
        <v>281</v>
      </c>
      <c r="G12">
        <v>29</v>
      </c>
      <c r="H12">
        <v>0</v>
      </c>
      <c r="I12">
        <v>0</v>
      </c>
      <c r="J12">
        <v>0</v>
      </c>
    </row>
    <row r="13" spans="1:10">
      <c r="A13" t="s">
        <v>57</v>
      </c>
      <c r="B13">
        <v>2158</v>
      </c>
      <c r="C13" t="s">
        <v>57</v>
      </c>
      <c r="D13">
        <v>100</v>
      </c>
      <c r="E13">
        <v>1</v>
      </c>
      <c r="F13">
        <v>257</v>
      </c>
      <c r="G13">
        <v>0</v>
      </c>
      <c r="H13">
        <v>0</v>
      </c>
      <c r="I13">
        <v>0</v>
      </c>
      <c r="J13">
        <v>0</v>
      </c>
    </row>
    <row r="14" spans="1:10">
      <c r="A14" t="s">
        <v>58</v>
      </c>
      <c r="B14">
        <v>2157</v>
      </c>
      <c r="C14" t="s">
        <v>58</v>
      </c>
      <c r="D14">
        <v>100</v>
      </c>
      <c r="E14">
        <v>1</v>
      </c>
      <c r="F14">
        <v>205</v>
      </c>
      <c r="G14">
        <v>321</v>
      </c>
      <c r="H14">
        <v>224</v>
      </c>
      <c r="I14">
        <v>0</v>
      </c>
      <c r="J14">
        <v>0</v>
      </c>
    </row>
    <row r="15" spans="1:10">
      <c r="A15" t="s">
        <v>59</v>
      </c>
      <c r="B15">
        <v>2154</v>
      </c>
      <c r="C15" t="s">
        <v>59</v>
      </c>
      <c r="D15">
        <v>100</v>
      </c>
      <c r="E15">
        <v>1</v>
      </c>
      <c r="F15">
        <v>70</v>
      </c>
      <c r="G15">
        <v>267</v>
      </c>
      <c r="H15">
        <v>107</v>
      </c>
      <c r="I15">
        <v>0</v>
      </c>
      <c r="J15">
        <v>0</v>
      </c>
    </row>
    <row r="16" spans="1:10">
      <c r="A16" t="s">
        <v>60</v>
      </c>
      <c r="B16">
        <v>2148</v>
      </c>
      <c r="C16" t="s">
        <v>60</v>
      </c>
      <c r="D16">
        <v>100</v>
      </c>
      <c r="E16">
        <v>1</v>
      </c>
      <c r="F16">
        <v>0</v>
      </c>
      <c r="G16">
        <v>306</v>
      </c>
      <c r="H16">
        <v>10</v>
      </c>
      <c r="I16">
        <v>0</v>
      </c>
      <c r="J16">
        <v>0</v>
      </c>
    </row>
    <row r="17" spans="1:10">
      <c r="A17" t="s">
        <v>61</v>
      </c>
      <c r="B17">
        <v>2151</v>
      </c>
      <c r="C17" t="s">
        <v>61</v>
      </c>
      <c r="D17">
        <v>100</v>
      </c>
      <c r="E17">
        <v>1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>
      <c r="A18" t="s">
        <v>62</v>
      </c>
      <c r="B18">
        <v>2163</v>
      </c>
      <c r="C18" t="s">
        <v>62</v>
      </c>
      <c r="D18">
        <v>100</v>
      </c>
      <c r="E18">
        <v>1</v>
      </c>
      <c r="F18">
        <v>262</v>
      </c>
      <c r="G18">
        <v>0</v>
      </c>
      <c r="H18">
        <v>0</v>
      </c>
      <c r="I18">
        <v>0</v>
      </c>
      <c r="J18">
        <v>0</v>
      </c>
    </row>
    <row r="19" spans="1:10">
      <c r="A19" t="s">
        <v>63</v>
      </c>
      <c r="B19">
        <v>2146</v>
      </c>
      <c r="C19" t="s">
        <v>63</v>
      </c>
      <c r="D19">
        <v>100</v>
      </c>
      <c r="E19">
        <v>1</v>
      </c>
      <c r="F19">
        <v>6</v>
      </c>
      <c r="G19">
        <v>0</v>
      </c>
      <c r="H19">
        <v>0</v>
      </c>
      <c r="I19">
        <v>0</v>
      </c>
      <c r="J19">
        <v>0</v>
      </c>
    </row>
    <row r="20" spans="1:10">
      <c r="A20" t="s">
        <v>64</v>
      </c>
      <c r="B20">
        <v>2161</v>
      </c>
      <c r="C20" t="s">
        <v>64</v>
      </c>
      <c r="D20">
        <v>100</v>
      </c>
      <c r="E20">
        <v>1</v>
      </c>
      <c r="F20">
        <v>232</v>
      </c>
      <c r="G20">
        <v>37</v>
      </c>
      <c r="H20">
        <v>8</v>
      </c>
      <c r="I20">
        <v>0</v>
      </c>
      <c r="J20">
        <v>0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B7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2">
      <c r="A1" t="s">
        <v>65</v>
      </c>
      <c r="B1">
        <v>7</v>
      </c>
    </row>
    <row r="2" spans="1:2">
      <c r="A2" t="s">
        <v>66</v>
      </c>
      <c r="B2">
        <v>12</v>
      </c>
    </row>
    <row r="3" spans="1:2">
      <c r="A3" t="s">
        <v>67</v>
      </c>
      <c r="B3">
        <v>5</v>
      </c>
    </row>
    <row r="4" spans="1:2">
      <c r="A4" t="s">
        <v>68</v>
      </c>
      <c r="B4">
        <v>10</v>
      </c>
    </row>
    <row r="5" spans="1:2">
      <c r="A5" t="s">
        <v>69</v>
      </c>
      <c r="B5">
        <v>8</v>
      </c>
    </row>
    <row r="6" spans="1:2">
      <c r="A6" t="s">
        <v>70</v>
      </c>
      <c r="B6">
        <v>6</v>
      </c>
    </row>
    <row r="7" spans="1:2">
      <c r="A7" t="s">
        <v>71</v>
      </c>
      <c r="B7">
        <v>9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epiunits</vt:lpstr>
      <vt:lpstr>Inspector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Thrace Export</dc:creator>
  <cp:lastModifiedBy>Thrace Export</cp:lastModifiedBy>
  <dcterms:created xsi:type="dcterms:W3CDTF">2026-01-26T08:11:16+00:00</dcterms:created>
  <dcterms:modified xsi:type="dcterms:W3CDTF">2026-01-26T08:11:16+00:00</dcterms:modified>
  <dc:title>ThraceActivities</dc:title>
  <dc:description>Export da PhpSpreadsheet: Data intatto con formule, riferimenti interni corretti.</dc:description>
  <dc:subject>Export</dc:subject>
  <cp:keywords/>
  <cp:category/>
</cp:coreProperties>
</file>